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4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5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6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7.xml" ContentType="application/vnd.openxmlformats-officedocument.drawing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6519"/>
  <workbookPr codeName="ThisWorkbook" autoCompressPictures="0"/>
  <bookViews>
    <workbookView xWindow="2700" yWindow="220" windowWidth="31980" windowHeight="19660" tabRatio="776" activeTab="6"/>
  </bookViews>
  <sheets>
    <sheet name="Betula_pubescens" sheetId="12" r:id="rId1"/>
    <sheet name="Betula_pendula" sheetId="35" r:id="rId2"/>
    <sheet name="Pinus_sylvestris" sheetId="3" r:id="rId3"/>
    <sheet name="Picea_abies_Krutzsch" sheetId="4" r:id="rId4"/>
    <sheet name="Pca_abies_estimates" sheetId="8" r:id="rId5"/>
    <sheet name="Vaccinium_myrtillus_abundance" sheetId="33" r:id="rId6"/>
    <sheet name="Vaccinium_vitis-idea_abundance" sheetId="34" r:id="rId7"/>
  </sheets>
  <definedNames>
    <definedName name="_xlnm._FilterDatabase" localSheetId="1" hidden="1">Betula_pendula!$A$5:$A$155</definedName>
    <definedName name="_xlnm._FilterDatabase" localSheetId="0" hidden="1">Betula_pubescens!$A$5:$A$155</definedName>
    <definedName name="_xlnm._FilterDatabase" localSheetId="4" hidden="1">Pca_abies_estimates!$A$4:$A$154</definedName>
    <definedName name="_xlnm._FilterDatabase" localSheetId="3" hidden="1">Picea_abies_Krutzsch!$A$5:$A$155</definedName>
    <definedName name="_xlnm._FilterDatabase" localSheetId="2" hidden="1">Pinus_sylvestris!$A$4:$A$154</definedName>
    <definedName name="_xlnm._FilterDatabase" localSheetId="5" hidden="1">Vaccinium_myrtillus_abundance!$A$11:$A$166</definedName>
    <definedName name="_xlnm._FilterDatabase" localSheetId="6" hidden="1">'Vaccinium_vitis-idea_abundance'!$A$11:$A$135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H13" i="33" l="1"/>
  <c r="BI141" i="3"/>
  <c r="BI140" i="3"/>
  <c r="BI139" i="3"/>
  <c r="BI138" i="3"/>
  <c r="BI137" i="3"/>
  <c r="BI136" i="3"/>
  <c r="BI135" i="3"/>
  <c r="BI134" i="3"/>
  <c r="BI133" i="3"/>
  <c r="BI132" i="3"/>
  <c r="BI131" i="3"/>
  <c r="BI130" i="3"/>
  <c r="BI129" i="3"/>
  <c r="BI128" i="3"/>
  <c r="BI127" i="3"/>
  <c r="BI126" i="3"/>
  <c r="BI125" i="3"/>
  <c r="BI75" i="3"/>
  <c r="BI74" i="3"/>
  <c r="BI73" i="3"/>
  <c r="BI72" i="3"/>
  <c r="BI71" i="3"/>
  <c r="BI70" i="3"/>
  <c r="BI69" i="3"/>
  <c r="BI68" i="3"/>
  <c r="BI67" i="3"/>
  <c r="BI66" i="3"/>
  <c r="BI65" i="3"/>
  <c r="BI47" i="3"/>
  <c r="BI46" i="3"/>
  <c r="BI45" i="3"/>
  <c r="BI44" i="3"/>
  <c r="BI43" i="3"/>
  <c r="BI42" i="3"/>
  <c r="BI41" i="3"/>
  <c r="BI40" i="3"/>
  <c r="BI39" i="3"/>
  <c r="BI38" i="3"/>
  <c r="BI37" i="3"/>
  <c r="BI36" i="3"/>
  <c r="BI35" i="3"/>
  <c r="BN6" i="35"/>
  <c r="AZ66" i="35"/>
  <c r="AZ67" i="35"/>
  <c r="AZ68" i="35"/>
  <c r="AZ69" i="35"/>
  <c r="AZ70" i="35"/>
  <c r="AZ71" i="35"/>
  <c r="AZ72" i="35"/>
  <c r="AZ73" i="35"/>
  <c r="AZ74" i="35"/>
  <c r="AZ75" i="35"/>
  <c r="AZ76" i="35"/>
  <c r="AZ77" i="35"/>
  <c r="AZ78" i="35"/>
  <c r="AZ79" i="35"/>
  <c r="AZ80" i="35"/>
  <c r="AZ81" i="35"/>
  <c r="AZ82" i="35"/>
  <c r="AZ83" i="35"/>
  <c r="AZ84" i="35"/>
  <c r="AZ85" i="35"/>
  <c r="AZ86" i="35"/>
  <c r="AZ87" i="35"/>
  <c r="AZ88" i="35"/>
  <c r="AZ89" i="35"/>
  <c r="AZ90" i="35"/>
  <c r="AZ91" i="35"/>
  <c r="AZ92" i="35"/>
  <c r="AZ93" i="35"/>
  <c r="AZ94" i="35"/>
  <c r="AZ96" i="35"/>
  <c r="AZ97" i="35"/>
  <c r="AZ98" i="35"/>
  <c r="AZ99" i="35"/>
  <c r="AZ100" i="35"/>
  <c r="AZ101" i="35"/>
  <c r="AZ102" i="35"/>
  <c r="AZ103" i="35"/>
  <c r="AZ104" i="35"/>
  <c r="AZ105" i="35"/>
  <c r="AZ106" i="35"/>
  <c r="AZ107" i="35"/>
  <c r="AZ108" i="35"/>
  <c r="AZ109" i="35"/>
  <c r="AZ110" i="35"/>
  <c r="AZ111" i="35"/>
  <c r="AZ112" i="35"/>
  <c r="AZ113" i="35"/>
  <c r="AZ114" i="35"/>
  <c r="AZ115" i="35"/>
  <c r="AZ116" i="35"/>
  <c r="AZ117" i="35"/>
  <c r="AZ118" i="35"/>
  <c r="AZ119" i="35"/>
  <c r="AZ120" i="35"/>
  <c r="AZ121" i="35"/>
  <c r="AZ122" i="35"/>
  <c r="AZ123" i="35"/>
  <c r="AZ124" i="35"/>
  <c r="AZ126" i="35"/>
  <c r="AZ127" i="35"/>
  <c r="AZ128" i="35"/>
  <c r="AZ129" i="35"/>
  <c r="AZ130" i="35"/>
  <c r="AZ131" i="35"/>
  <c r="AZ132" i="35"/>
  <c r="AZ133" i="35"/>
  <c r="AZ134" i="35"/>
  <c r="AZ135" i="35"/>
  <c r="AZ136" i="35"/>
  <c r="AZ137" i="35"/>
  <c r="AZ138" i="35"/>
  <c r="AZ139" i="35"/>
  <c r="AZ140" i="35"/>
  <c r="AZ141" i="35"/>
  <c r="AZ142" i="35"/>
  <c r="AZ143" i="35"/>
  <c r="AZ144" i="35"/>
  <c r="AZ145" i="35"/>
  <c r="AZ146" i="35"/>
  <c r="AZ147" i="35"/>
  <c r="AZ148" i="35"/>
  <c r="AZ149" i="35"/>
  <c r="AZ150" i="35"/>
  <c r="AZ151" i="35"/>
  <c r="AZ152" i="35"/>
  <c r="AZ153" i="35"/>
  <c r="AZ154" i="35"/>
  <c r="AZ155" i="35"/>
  <c r="AZ36" i="35"/>
  <c r="AZ37" i="35"/>
  <c r="AZ38" i="35"/>
  <c r="AZ39" i="35"/>
  <c r="AZ40" i="35"/>
  <c r="AZ41" i="35"/>
  <c r="AZ42" i="35"/>
  <c r="AZ43" i="35"/>
  <c r="AZ44" i="35"/>
  <c r="AZ45" i="35"/>
  <c r="AZ46" i="35"/>
  <c r="AZ47" i="35"/>
  <c r="AZ48" i="35"/>
  <c r="AZ49" i="35"/>
  <c r="AZ50" i="35"/>
  <c r="AZ51" i="35"/>
  <c r="AZ52" i="35"/>
  <c r="AZ53" i="35"/>
  <c r="AZ54" i="35"/>
  <c r="AZ55" i="35"/>
  <c r="AZ56" i="35"/>
  <c r="AZ57" i="35"/>
  <c r="AZ58" i="35"/>
  <c r="AZ59" i="35"/>
  <c r="AZ60" i="35"/>
  <c r="AZ61" i="35"/>
  <c r="AZ62" i="35"/>
  <c r="AZ63" i="35"/>
  <c r="AZ64" i="35"/>
  <c r="AZ6" i="12"/>
  <c r="AH135" i="33"/>
  <c r="AH134" i="33"/>
  <c r="AH133" i="33"/>
  <c r="AH132" i="33"/>
  <c r="AH131" i="33"/>
  <c r="AH130" i="33"/>
  <c r="AH129" i="33"/>
  <c r="AH128" i="33"/>
  <c r="AH127" i="33"/>
  <c r="AH126" i="33"/>
  <c r="AH125" i="33"/>
  <c r="AH124" i="33"/>
  <c r="AH123" i="33"/>
  <c r="AH122" i="33"/>
  <c r="AH121" i="33"/>
  <c r="AH120" i="33"/>
  <c r="AH119" i="33"/>
  <c r="AH118" i="33"/>
  <c r="AH117" i="33"/>
  <c r="AH116" i="33"/>
  <c r="AH115" i="33"/>
  <c r="AH114" i="33"/>
  <c r="AH113" i="33"/>
  <c r="AH112" i="33"/>
  <c r="AH111" i="33"/>
  <c r="AH110" i="33"/>
  <c r="AH109" i="33"/>
  <c r="AH108" i="33"/>
  <c r="AH107" i="33"/>
  <c r="AH106" i="33"/>
  <c r="AJ106" i="33"/>
  <c r="AI106" i="33"/>
  <c r="AH75" i="33"/>
  <c r="AK17" i="8"/>
  <c r="AL17" i="8"/>
  <c r="AM17" i="8"/>
  <c r="AK18" i="8"/>
  <c r="AL18" i="8"/>
  <c r="AM18" i="8"/>
  <c r="AU6" i="4"/>
  <c r="AU7" i="4"/>
  <c r="AU8" i="4"/>
  <c r="AU9" i="4"/>
  <c r="AU10" i="4"/>
  <c r="AU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T6" i="4"/>
  <c r="AT7" i="4"/>
  <c r="AT8" i="4"/>
  <c r="AT9" i="4"/>
  <c r="AT10" i="4"/>
  <c r="AT11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6" i="4"/>
  <c r="AT37" i="4"/>
  <c r="AT38" i="4"/>
  <c r="AT39" i="4"/>
  <c r="AT40" i="4"/>
  <c r="AT41" i="4"/>
  <c r="AT42" i="4"/>
  <c r="AT43" i="4"/>
  <c r="AT44" i="4"/>
  <c r="AT45" i="4"/>
  <c r="AT46" i="4"/>
  <c r="AT47" i="4"/>
  <c r="AT48" i="4"/>
  <c r="AT49" i="4"/>
  <c r="AT50" i="4"/>
  <c r="AT51" i="4"/>
  <c r="AT52" i="4"/>
  <c r="AT53" i="4"/>
  <c r="AT54" i="4"/>
  <c r="AT55" i="4"/>
  <c r="AT56" i="4"/>
  <c r="AT57" i="4"/>
  <c r="AT58" i="4"/>
  <c r="AT59" i="4"/>
  <c r="AT60" i="4"/>
  <c r="AT61" i="4"/>
  <c r="AT62" i="4"/>
  <c r="AT63" i="4"/>
  <c r="AT64" i="4"/>
  <c r="BO6" i="35"/>
  <c r="BO7" i="35"/>
  <c r="BO8" i="35"/>
  <c r="BO9" i="35"/>
  <c r="BO10" i="35"/>
  <c r="BO11" i="35"/>
  <c r="BO12" i="35"/>
  <c r="BO13" i="35"/>
  <c r="BO14" i="35"/>
  <c r="BO15" i="35"/>
  <c r="BO16" i="35"/>
  <c r="BO17" i="35"/>
  <c r="BO18" i="35"/>
  <c r="BO19" i="35"/>
  <c r="BO20" i="35"/>
  <c r="BO21" i="35"/>
  <c r="BO22" i="35"/>
  <c r="BO23" i="35"/>
  <c r="BO24" i="35"/>
  <c r="BO25" i="35"/>
  <c r="BO26" i="35"/>
  <c r="BO27" i="35"/>
  <c r="BO28" i="35"/>
  <c r="BO29" i="35"/>
  <c r="BO30" i="35"/>
  <c r="BO31" i="35"/>
  <c r="BO32" i="35"/>
  <c r="BO33" i="35"/>
  <c r="BO34" i="35"/>
  <c r="BO35" i="35"/>
  <c r="BO36" i="35"/>
  <c r="BO37" i="35"/>
  <c r="BO38" i="35"/>
  <c r="BO39" i="35"/>
  <c r="BO40" i="35"/>
  <c r="BO41" i="35"/>
  <c r="BO42" i="35"/>
  <c r="BO43" i="35"/>
  <c r="BO44" i="35"/>
  <c r="BO45" i="35"/>
  <c r="BO46" i="35"/>
  <c r="BO47" i="35"/>
  <c r="BO48" i="35"/>
  <c r="BO49" i="35"/>
  <c r="BO50" i="35"/>
  <c r="BO51" i="35"/>
  <c r="BO52" i="35"/>
  <c r="BO53" i="35"/>
  <c r="BO54" i="35"/>
  <c r="BO55" i="35"/>
  <c r="BO56" i="35"/>
  <c r="BO57" i="35"/>
  <c r="BO58" i="35"/>
  <c r="BO59" i="35"/>
  <c r="BO60" i="35"/>
  <c r="BO61" i="35"/>
  <c r="BO62" i="35"/>
  <c r="BO63" i="35"/>
  <c r="BO64" i="35"/>
  <c r="BO65" i="35"/>
  <c r="BO66" i="35"/>
  <c r="BO67" i="35"/>
  <c r="BO68" i="35"/>
  <c r="BO69" i="35"/>
  <c r="BO70" i="35"/>
  <c r="BO71" i="35"/>
  <c r="BO72" i="35"/>
  <c r="BO73" i="35"/>
  <c r="BO74" i="35"/>
  <c r="BO75" i="35"/>
  <c r="BO76" i="35"/>
  <c r="BO77" i="35"/>
  <c r="BO78" i="35"/>
  <c r="BO79" i="35"/>
  <c r="BO80" i="35"/>
  <c r="BO81" i="35"/>
  <c r="BO82" i="35"/>
  <c r="BO83" i="35"/>
  <c r="BO84" i="35"/>
  <c r="BO85" i="35"/>
  <c r="BO86" i="35"/>
  <c r="BO87" i="35"/>
  <c r="BO88" i="35"/>
  <c r="BO89" i="35"/>
  <c r="BO90" i="35"/>
  <c r="BO91" i="35"/>
  <c r="BO92" i="35"/>
  <c r="BO93" i="35"/>
  <c r="BO94" i="35"/>
  <c r="BO95" i="35"/>
  <c r="BO96" i="35"/>
  <c r="BO97" i="35"/>
  <c r="BO98" i="35"/>
  <c r="BO99" i="35"/>
  <c r="BO100" i="35"/>
  <c r="BO101" i="35"/>
  <c r="BO102" i="35"/>
  <c r="BO103" i="35"/>
  <c r="BO104" i="35"/>
  <c r="BO105" i="35"/>
  <c r="BO106" i="35"/>
  <c r="BO107" i="35"/>
  <c r="BO108" i="35"/>
  <c r="BO109" i="35"/>
  <c r="BO110" i="35"/>
  <c r="BO111" i="35"/>
  <c r="BO112" i="35"/>
  <c r="BO113" i="35"/>
  <c r="BO114" i="35"/>
  <c r="BO115" i="35"/>
  <c r="BO116" i="35"/>
  <c r="BO117" i="35"/>
  <c r="BO118" i="35"/>
  <c r="BO119" i="35"/>
  <c r="BO120" i="35"/>
  <c r="BO121" i="35"/>
  <c r="BO122" i="35"/>
  <c r="BO123" i="35"/>
  <c r="BO124" i="35"/>
  <c r="BO125" i="35"/>
  <c r="BO126" i="35"/>
  <c r="BO127" i="35"/>
  <c r="BO128" i="35"/>
  <c r="BO129" i="35"/>
  <c r="BO130" i="35"/>
  <c r="BO131" i="35"/>
  <c r="BO132" i="35"/>
  <c r="BO133" i="35"/>
  <c r="BO134" i="35"/>
  <c r="BO135" i="35"/>
  <c r="BO136" i="35"/>
  <c r="BO137" i="35"/>
  <c r="BO138" i="35"/>
  <c r="BO139" i="35"/>
  <c r="BO140" i="35"/>
  <c r="BO141" i="35"/>
  <c r="BO142" i="35"/>
  <c r="BO143" i="35"/>
  <c r="BO144" i="35"/>
  <c r="BO145" i="35"/>
  <c r="BO146" i="35"/>
  <c r="BO147" i="35"/>
  <c r="BO148" i="35"/>
  <c r="BO149" i="35"/>
  <c r="BO150" i="35"/>
  <c r="BO151" i="35"/>
  <c r="BO152" i="35"/>
  <c r="BO153" i="35"/>
  <c r="BO154" i="35"/>
  <c r="BO155" i="35"/>
  <c r="BA6" i="35"/>
  <c r="BA7" i="35"/>
  <c r="BA8" i="35"/>
  <c r="BA9" i="35"/>
  <c r="BA10" i="35"/>
  <c r="BA11" i="35"/>
  <c r="BA12" i="35"/>
  <c r="BA13" i="35"/>
  <c r="BA14" i="35"/>
  <c r="BA15" i="35"/>
  <c r="BA16" i="35"/>
  <c r="BA17" i="35"/>
  <c r="BA18" i="35"/>
  <c r="BA19" i="35"/>
  <c r="BA20" i="35"/>
  <c r="BA21" i="35"/>
  <c r="BA22" i="35"/>
  <c r="BA23" i="35"/>
  <c r="BA24" i="35"/>
  <c r="BA25" i="35"/>
  <c r="BA26" i="35"/>
  <c r="BA27" i="35"/>
  <c r="BA28" i="35"/>
  <c r="BA29" i="35"/>
  <c r="BA30" i="35"/>
  <c r="BA31" i="35"/>
  <c r="BA32" i="35"/>
  <c r="BA33" i="35"/>
  <c r="BA34" i="35"/>
  <c r="BA35" i="35"/>
  <c r="BA36" i="35"/>
  <c r="BA37" i="35"/>
  <c r="BA38" i="35"/>
  <c r="BA39" i="35"/>
  <c r="BA40" i="35"/>
  <c r="BA41" i="35"/>
  <c r="BA42" i="35"/>
  <c r="BA43" i="35"/>
  <c r="BA44" i="35"/>
  <c r="BA45" i="35"/>
  <c r="BA46" i="35"/>
  <c r="BA47" i="35"/>
  <c r="BA48" i="35"/>
  <c r="BA49" i="35"/>
  <c r="BA50" i="35"/>
  <c r="BA51" i="35"/>
  <c r="BA52" i="35"/>
  <c r="BA53" i="35"/>
  <c r="BA54" i="35"/>
  <c r="BA55" i="35"/>
  <c r="BA56" i="35"/>
  <c r="BA57" i="35"/>
  <c r="BA58" i="35"/>
  <c r="BA59" i="35"/>
  <c r="BA60" i="35"/>
  <c r="BA61" i="35"/>
  <c r="BA62" i="35"/>
  <c r="BA63" i="35"/>
  <c r="BA64" i="35"/>
  <c r="BA65" i="35"/>
  <c r="BA66" i="35"/>
  <c r="BA67" i="35"/>
  <c r="BA68" i="35"/>
  <c r="BA69" i="35"/>
  <c r="BA70" i="35"/>
  <c r="BA71" i="35"/>
  <c r="BA72" i="35"/>
  <c r="BA73" i="35"/>
  <c r="BA74" i="35"/>
  <c r="BA75" i="35"/>
  <c r="BA76" i="35"/>
  <c r="BA77" i="35"/>
  <c r="BA78" i="35"/>
  <c r="BA79" i="35"/>
  <c r="BA80" i="35"/>
  <c r="BA81" i="35"/>
  <c r="BA82" i="35"/>
  <c r="BA83" i="35"/>
  <c r="BA84" i="35"/>
  <c r="BA85" i="35"/>
  <c r="BA86" i="35"/>
  <c r="BA87" i="35"/>
  <c r="BA88" i="35"/>
  <c r="BA89" i="35"/>
  <c r="BA90" i="35"/>
  <c r="BA91" i="35"/>
  <c r="BA92" i="35"/>
  <c r="BA93" i="35"/>
  <c r="BA94" i="35"/>
  <c r="BA95" i="35"/>
  <c r="BA96" i="35"/>
  <c r="BA97" i="35"/>
  <c r="BA98" i="35"/>
  <c r="BA99" i="35"/>
  <c r="BA100" i="35"/>
  <c r="BA101" i="35"/>
  <c r="BA102" i="35"/>
  <c r="BA103" i="35"/>
  <c r="BA104" i="35"/>
  <c r="BA105" i="35"/>
  <c r="BA106" i="35"/>
  <c r="BA107" i="35"/>
  <c r="BA108" i="35"/>
  <c r="BA109" i="35"/>
  <c r="BA110" i="35"/>
  <c r="BA111" i="35"/>
  <c r="BA112" i="35"/>
  <c r="BA113" i="35"/>
  <c r="BA114" i="35"/>
  <c r="BA115" i="35"/>
  <c r="BA116" i="35"/>
  <c r="BA117" i="35"/>
  <c r="BA118" i="35"/>
  <c r="BA119" i="35"/>
  <c r="BA120" i="35"/>
  <c r="BA121" i="35"/>
  <c r="BA122" i="35"/>
  <c r="BA123" i="35"/>
  <c r="BA124" i="35"/>
  <c r="BA125" i="35"/>
  <c r="BA126" i="35"/>
  <c r="BA127" i="35"/>
  <c r="BA128" i="35"/>
  <c r="BA129" i="35"/>
  <c r="BA130" i="35"/>
  <c r="BA131" i="35"/>
  <c r="BA132" i="35"/>
  <c r="BA133" i="35"/>
  <c r="BA134" i="35"/>
  <c r="BA135" i="35"/>
  <c r="BA136" i="35"/>
  <c r="BA137" i="35"/>
  <c r="BA138" i="35"/>
  <c r="BA139" i="35"/>
  <c r="BA140" i="35"/>
  <c r="BA141" i="35"/>
  <c r="BA142" i="35"/>
  <c r="BA143" i="35"/>
  <c r="BA144" i="35"/>
  <c r="BA145" i="35"/>
  <c r="BA146" i="35"/>
  <c r="BA147" i="35"/>
  <c r="BA148" i="35"/>
  <c r="BA149" i="35"/>
  <c r="BA150" i="35"/>
  <c r="BA151" i="35"/>
  <c r="BA152" i="35"/>
  <c r="BA153" i="35"/>
  <c r="BA154" i="35"/>
  <c r="BA155" i="35"/>
  <c r="AZ6" i="35"/>
  <c r="AZ7" i="35"/>
  <c r="AZ8" i="35"/>
  <c r="AZ9" i="35"/>
  <c r="AZ10" i="35"/>
  <c r="AZ11" i="35"/>
  <c r="AZ12" i="35"/>
  <c r="AZ13" i="35"/>
  <c r="AZ14" i="35"/>
  <c r="AZ15" i="35"/>
  <c r="AZ16" i="35"/>
  <c r="AZ17" i="35"/>
  <c r="AZ18" i="35"/>
  <c r="AZ19" i="35"/>
  <c r="AZ20" i="35"/>
  <c r="AZ21" i="35"/>
  <c r="AZ22" i="35"/>
  <c r="AZ23" i="35"/>
  <c r="AZ24" i="35"/>
  <c r="AZ25" i="35"/>
  <c r="AZ26" i="35"/>
  <c r="AZ27" i="35"/>
  <c r="AZ28" i="35"/>
  <c r="AZ29" i="35"/>
  <c r="AZ30" i="35"/>
  <c r="AZ31" i="35"/>
  <c r="AZ32" i="35"/>
  <c r="AZ33" i="35"/>
  <c r="AZ34" i="35"/>
  <c r="BE6" i="8"/>
  <c r="BE7" i="8"/>
  <c r="BE8" i="8"/>
  <c r="BE9" i="8"/>
  <c r="BE10" i="8"/>
  <c r="BE11" i="8"/>
  <c r="BE12" i="8"/>
  <c r="BE13" i="8"/>
  <c r="BE14" i="8"/>
  <c r="BE15" i="8"/>
  <c r="BE16" i="8"/>
  <c r="BE17" i="8"/>
  <c r="BE5" i="8"/>
  <c r="BB5" i="8"/>
  <c r="AX5" i="8"/>
  <c r="AX6" i="8"/>
  <c r="AX7" i="8"/>
  <c r="AX8" i="8"/>
  <c r="AX9" i="8"/>
  <c r="AX10" i="8"/>
  <c r="AX11" i="8"/>
  <c r="AX12" i="8"/>
  <c r="AX13" i="8"/>
  <c r="AX14" i="8"/>
  <c r="AX15" i="8"/>
  <c r="AX16" i="8"/>
  <c r="AX17" i="8"/>
  <c r="AX18" i="8"/>
  <c r="AX19" i="8"/>
  <c r="AX20" i="8"/>
  <c r="AX21" i="8"/>
  <c r="AX22" i="8"/>
  <c r="AX23" i="8"/>
  <c r="AX24" i="8"/>
  <c r="AX25" i="8"/>
  <c r="AX26" i="8"/>
  <c r="AX27" i="8"/>
  <c r="AX28" i="8"/>
  <c r="AX29" i="8"/>
  <c r="AX30" i="8"/>
  <c r="AX31" i="8"/>
  <c r="AX32" i="8"/>
  <c r="AX33" i="8"/>
  <c r="AX34" i="8"/>
  <c r="AX35" i="8"/>
  <c r="AX36" i="8"/>
  <c r="AX37" i="8"/>
  <c r="AX38" i="8"/>
  <c r="AX39" i="8"/>
  <c r="AX40" i="8"/>
  <c r="AX41" i="8"/>
  <c r="AX42" i="8"/>
  <c r="AX43" i="8"/>
  <c r="AX44" i="8"/>
  <c r="AX45" i="8"/>
  <c r="AX46" i="8"/>
  <c r="AX47" i="8"/>
  <c r="AX48" i="8"/>
  <c r="AX49" i="8"/>
  <c r="AX50" i="8"/>
  <c r="AX51" i="8"/>
  <c r="AX52" i="8"/>
  <c r="AX53" i="8"/>
  <c r="AX54" i="8"/>
  <c r="AX55" i="8"/>
  <c r="AX56" i="8"/>
  <c r="AX57" i="8"/>
  <c r="AX58" i="8"/>
  <c r="AX59" i="8"/>
  <c r="AX60" i="8"/>
  <c r="AX61" i="8"/>
  <c r="AX62" i="8"/>
  <c r="AX63" i="8"/>
  <c r="AX64" i="8"/>
  <c r="AX65" i="8"/>
  <c r="AX66" i="8"/>
  <c r="AX67" i="8"/>
  <c r="AX68" i="8"/>
  <c r="AX69" i="8"/>
  <c r="AX70" i="8"/>
  <c r="AX71" i="8"/>
  <c r="AX72" i="8"/>
  <c r="AX73" i="8"/>
  <c r="AX74" i="8"/>
  <c r="AX75" i="8"/>
  <c r="AX76" i="8"/>
  <c r="AX77" i="8"/>
  <c r="AX78" i="8"/>
  <c r="AX79" i="8"/>
  <c r="AX80" i="8"/>
  <c r="AX81" i="8"/>
  <c r="AX82" i="8"/>
  <c r="AX83" i="8"/>
  <c r="AX84" i="8"/>
  <c r="AX85" i="8"/>
  <c r="AX86" i="8"/>
  <c r="AX87" i="8"/>
  <c r="AX88" i="8"/>
  <c r="AX89" i="8"/>
  <c r="AX90" i="8"/>
  <c r="AX91" i="8"/>
  <c r="AX92" i="8"/>
  <c r="AX93" i="8"/>
  <c r="AX94" i="8"/>
  <c r="AX95" i="8"/>
  <c r="AX96" i="8"/>
  <c r="AX97" i="8"/>
  <c r="AX98" i="8"/>
  <c r="AX99" i="8"/>
  <c r="AX100" i="8"/>
  <c r="AX101" i="8"/>
  <c r="AX102" i="8"/>
  <c r="AX103" i="8"/>
  <c r="AX104" i="8"/>
  <c r="AX105" i="8"/>
  <c r="AX106" i="8"/>
  <c r="AX107" i="8"/>
  <c r="AX108" i="8"/>
  <c r="AX109" i="8"/>
  <c r="AX110" i="8"/>
  <c r="AX111" i="8"/>
  <c r="AX112" i="8"/>
  <c r="AX113" i="8"/>
  <c r="AX114" i="8"/>
  <c r="AX115" i="8"/>
  <c r="AX116" i="8"/>
  <c r="AX117" i="8"/>
  <c r="AX118" i="8"/>
  <c r="AX119" i="8"/>
  <c r="AX120" i="8"/>
  <c r="AX121" i="8"/>
  <c r="AX122" i="8"/>
  <c r="AX123" i="8"/>
  <c r="AX124" i="8"/>
  <c r="AX125" i="8"/>
  <c r="AX126" i="8"/>
  <c r="AX127" i="8"/>
  <c r="AX128" i="8"/>
  <c r="AX129" i="8"/>
  <c r="AX130" i="8"/>
  <c r="AX131" i="8"/>
  <c r="AX132" i="8"/>
  <c r="AX133" i="8"/>
  <c r="AX134" i="8"/>
  <c r="AX135" i="8"/>
  <c r="AX136" i="8"/>
  <c r="AX137" i="8"/>
  <c r="AX138" i="8"/>
  <c r="AX139" i="8"/>
  <c r="AX140" i="8"/>
  <c r="AX141" i="8"/>
  <c r="AX142" i="8"/>
  <c r="AX143" i="8"/>
  <c r="AX144" i="8"/>
  <c r="AX145" i="8"/>
  <c r="AX146" i="8"/>
  <c r="AX147" i="8"/>
  <c r="AX148" i="8"/>
  <c r="AX149" i="8"/>
  <c r="AX150" i="8"/>
  <c r="AX151" i="8"/>
  <c r="AX152" i="8"/>
  <c r="AX153" i="8"/>
  <c r="AX154" i="8"/>
  <c r="BC6" i="3"/>
  <c r="BC7" i="3"/>
  <c r="BC8" i="3"/>
  <c r="BC9" i="3"/>
  <c r="BC10" i="3"/>
  <c r="BC11" i="3"/>
  <c r="BC12" i="3"/>
  <c r="BC13" i="3"/>
  <c r="BC14" i="3"/>
  <c r="BC15" i="3"/>
  <c r="BC16" i="3"/>
  <c r="BC17" i="3"/>
  <c r="BC18" i="3"/>
  <c r="BC19" i="3"/>
  <c r="BC20" i="3"/>
  <c r="BC21" i="3"/>
  <c r="BC22" i="3"/>
  <c r="BC23" i="3"/>
  <c r="BC24" i="3"/>
  <c r="BC25" i="3"/>
  <c r="BC26" i="3"/>
  <c r="BC27" i="3"/>
  <c r="BC28" i="3"/>
  <c r="BC29" i="3"/>
  <c r="BC30" i="3"/>
  <c r="BC31" i="3"/>
  <c r="BC32" i="3"/>
  <c r="BC33" i="3"/>
  <c r="BC34" i="3"/>
  <c r="BC5" i="3"/>
  <c r="AV5" i="3"/>
  <c r="AV6" i="3"/>
  <c r="AV7" i="3"/>
  <c r="AV8" i="3"/>
  <c r="AV9" i="3"/>
  <c r="AV10" i="3"/>
  <c r="AV11" i="3"/>
  <c r="AV12" i="3"/>
  <c r="AV13" i="3"/>
  <c r="AV14" i="3"/>
  <c r="AV15" i="3"/>
  <c r="AV16" i="3"/>
  <c r="AV17" i="3"/>
  <c r="AV18" i="3"/>
  <c r="AV19" i="3"/>
  <c r="AV20" i="3"/>
  <c r="AV21" i="3"/>
  <c r="AV22" i="3"/>
  <c r="AV23" i="3"/>
  <c r="AV24" i="3"/>
  <c r="AV25" i="3"/>
  <c r="AV26" i="3"/>
  <c r="AV27" i="3"/>
  <c r="AV28" i="3"/>
  <c r="AV29" i="3"/>
  <c r="AV30" i="3"/>
  <c r="AV31" i="3"/>
  <c r="AV32" i="3"/>
  <c r="AV33" i="3"/>
  <c r="AV34" i="3"/>
  <c r="AV35" i="3"/>
  <c r="AV36" i="3"/>
  <c r="AV37" i="3"/>
  <c r="AV38" i="3"/>
  <c r="AV39" i="3"/>
  <c r="AV40" i="3"/>
  <c r="AV41" i="3"/>
  <c r="AV42" i="3"/>
  <c r="AV43" i="3"/>
  <c r="AV44" i="3"/>
  <c r="AV45" i="3"/>
  <c r="AV46" i="3"/>
  <c r="AV47" i="3"/>
  <c r="AV48" i="3"/>
  <c r="AV49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V63" i="3"/>
  <c r="AV64" i="3"/>
  <c r="AV65" i="3"/>
  <c r="AV66" i="3"/>
  <c r="AV67" i="3"/>
  <c r="AV68" i="3"/>
  <c r="AV69" i="3"/>
  <c r="AV70" i="3"/>
  <c r="AV71" i="3"/>
  <c r="AV72" i="3"/>
  <c r="AV73" i="3"/>
  <c r="AV74" i="3"/>
  <c r="AV75" i="3"/>
  <c r="AV76" i="3"/>
  <c r="AV77" i="3"/>
  <c r="AV78" i="3"/>
  <c r="AV79" i="3"/>
  <c r="AV80" i="3"/>
  <c r="AV81" i="3"/>
  <c r="AV82" i="3"/>
  <c r="AV83" i="3"/>
  <c r="AV84" i="3"/>
  <c r="AV85" i="3"/>
  <c r="AV86" i="3"/>
  <c r="AV87" i="3"/>
  <c r="AV88" i="3"/>
  <c r="AV89" i="3"/>
  <c r="AV90" i="3"/>
  <c r="AV91" i="3"/>
  <c r="AV92" i="3"/>
  <c r="AV93" i="3"/>
  <c r="AV94" i="3"/>
  <c r="AV95" i="3"/>
  <c r="AV96" i="3"/>
  <c r="AV97" i="3"/>
  <c r="AV98" i="3"/>
  <c r="AV99" i="3"/>
  <c r="AV100" i="3"/>
  <c r="AV101" i="3"/>
  <c r="AV102" i="3"/>
  <c r="AV103" i="3"/>
  <c r="AV104" i="3"/>
  <c r="AV105" i="3"/>
  <c r="AV106" i="3"/>
  <c r="AV107" i="3"/>
  <c r="AV108" i="3"/>
  <c r="AV109" i="3"/>
  <c r="AV110" i="3"/>
  <c r="AV111" i="3"/>
  <c r="AV112" i="3"/>
  <c r="AV113" i="3"/>
  <c r="AV114" i="3"/>
  <c r="AV115" i="3"/>
  <c r="AV116" i="3"/>
  <c r="AV117" i="3"/>
  <c r="AV118" i="3"/>
  <c r="AV119" i="3"/>
  <c r="AV120" i="3"/>
  <c r="AV121" i="3"/>
  <c r="AV122" i="3"/>
  <c r="AV123" i="3"/>
  <c r="AV124" i="3"/>
  <c r="AV125" i="3"/>
  <c r="AV126" i="3"/>
  <c r="AV127" i="3"/>
  <c r="AV128" i="3"/>
  <c r="AV129" i="3"/>
  <c r="AV130" i="3"/>
  <c r="AV131" i="3"/>
  <c r="AV132" i="3"/>
  <c r="AV133" i="3"/>
  <c r="AV134" i="3"/>
  <c r="AV135" i="3"/>
  <c r="AV136" i="3"/>
  <c r="AV137" i="3"/>
  <c r="AV138" i="3"/>
  <c r="AV139" i="3"/>
  <c r="AV140" i="3"/>
  <c r="AV141" i="3"/>
  <c r="AV142" i="3"/>
  <c r="AV143" i="3"/>
  <c r="AV144" i="3"/>
  <c r="AV145" i="3"/>
  <c r="AV146" i="3"/>
  <c r="AV147" i="3"/>
  <c r="AV148" i="3"/>
  <c r="AV149" i="3"/>
  <c r="AV150" i="3"/>
  <c r="AV151" i="3"/>
  <c r="AV152" i="3"/>
  <c r="AV153" i="3"/>
  <c r="AV154" i="3"/>
  <c r="AZ5" i="3"/>
  <c r="AJ166" i="34"/>
  <c r="AI166" i="34"/>
  <c r="AH166" i="34"/>
  <c r="AJ165" i="34"/>
  <c r="AI165" i="34"/>
  <c r="AH165" i="34"/>
  <c r="AJ164" i="34"/>
  <c r="AI164" i="34"/>
  <c r="AH164" i="34"/>
  <c r="AJ163" i="34"/>
  <c r="AI163" i="34"/>
  <c r="AH163" i="34"/>
  <c r="AJ162" i="34"/>
  <c r="AI162" i="34"/>
  <c r="AH162" i="34"/>
  <c r="AJ161" i="34"/>
  <c r="AI161" i="34"/>
  <c r="AH161" i="34"/>
  <c r="AJ160" i="34"/>
  <c r="AI160" i="34"/>
  <c r="AH160" i="34"/>
  <c r="AJ159" i="34"/>
  <c r="AI159" i="34"/>
  <c r="AH159" i="34"/>
  <c r="AJ158" i="34"/>
  <c r="AI158" i="34"/>
  <c r="AH158" i="34"/>
  <c r="AJ157" i="34"/>
  <c r="AI157" i="34"/>
  <c r="AH157" i="34"/>
  <c r="AJ156" i="34"/>
  <c r="AI156" i="34"/>
  <c r="AH156" i="34"/>
  <c r="AJ155" i="34"/>
  <c r="AI155" i="34"/>
  <c r="AH155" i="34"/>
  <c r="AJ154" i="34"/>
  <c r="AI154" i="34"/>
  <c r="AH154" i="34"/>
  <c r="AJ153" i="34"/>
  <c r="AI153" i="34"/>
  <c r="AH153" i="34"/>
  <c r="AJ152" i="34"/>
  <c r="AI152" i="34"/>
  <c r="AH152" i="34"/>
  <c r="AJ151" i="34"/>
  <c r="AI151" i="34"/>
  <c r="AH151" i="34"/>
  <c r="AJ150" i="34"/>
  <c r="AI150" i="34"/>
  <c r="AH150" i="34"/>
  <c r="AJ149" i="34"/>
  <c r="AI149" i="34"/>
  <c r="AH149" i="34"/>
  <c r="AK149" i="34"/>
  <c r="AJ148" i="34"/>
  <c r="AI148" i="34"/>
  <c r="AH148" i="34"/>
  <c r="AJ147" i="34"/>
  <c r="AI147" i="34"/>
  <c r="AH147" i="34"/>
  <c r="AJ146" i="34"/>
  <c r="AI146" i="34"/>
  <c r="AH146" i="34"/>
  <c r="AJ145" i="34"/>
  <c r="AI145" i="34"/>
  <c r="AH145" i="34"/>
  <c r="AJ144" i="34"/>
  <c r="AI144" i="34"/>
  <c r="AH144" i="34"/>
  <c r="AJ143" i="34"/>
  <c r="AI143" i="34"/>
  <c r="AH143" i="34"/>
  <c r="AJ142" i="34"/>
  <c r="AI142" i="34"/>
  <c r="AH142" i="34"/>
  <c r="AJ141" i="34"/>
  <c r="AI141" i="34"/>
  <c r="AH141" i="34"/>
  <c r="AJ140" i="34"/>
  <c r="AI140" i="34"/>
  <c r="AH140" i="34"/>
  <c r="AJ139" i="34"/>
  <c r="AI139" i="34"/>
  <c r="AH139" i="34"/>
  <c r="AJ138" i="34"/>
  <c r="AI138" i="34"/>
  <c r="AH138" i="34"/>
  <c r="AJ137" i="34"/>
  <c r="AI137" i="34"/>
  <c r="AH137" i="34"/>
  <c r="AJ135" i="34"/>
  <c r="AI135" i="34"/>
  <c r="AH135" i="34"/>
  <c r="AJ134" i="34"/>
  <c r="AI134" i="34"/>
  <c r="AH134" i="34"/>
  <c r="AJ133" i="34"/>
  <c r="AI133" i="34"/>
  <c r="AH133" i="34"/>
  <c r="AJ132" i="34"/>
  <c r="AI132" i="34"/>
  <c r="AH132" i="34"/>
  <c r="AJ131" i="34"/>
  <c r="AI131" i="34"/>
  <c r="AH131" i="34"/>
  <c r="AJ130" i="34"/>
  <c r="AI130" i="34"/>
  <c r="AH130" i="34"/>
  <c r="AJ129" i="34"/>
  <c r="AI129" i="34"/>
  <c r="AH129" i="34"/>
  <c r="AJ128" i="34"/>
  <c r="AI128" i="34"/>
  <c r="AH128" i="34"/>
  <c r="AJ127" i="34"/>
  <c r="AI127" i="34"/>
  <c r="AH127" i="34"/>
  <c r="AJ126" i="34"/>
  <c r="AI126" i="34"/>
  <c r="AH126" i="34"/>
  <c r="AJ125" i="34"/>
  <c r="AI125" i="34"/>
  <c r="AH125" i="34"/>
  <c r="AJ124" i="34"/>
  <c r="AI124" i="34"/>
  <c r="AH124" i="34"/>
  <c r="AJ123" i="34"/>
  <c r="AI123" i="34"/>
  <c r="AH123" i="34"/>
  <c r="AJ122" i="34"/>
  <c r="AI122" i="34"/>
  <c r="AH122" i="34"/>
  <c r="AJ121" i="34"/>
  <c r="AI121" i="34"/>
  <c r="AH121" i="34"/>
  <c r="AJ120" i="34"/>
  <c r="AI120" i="34"/>
  <c r="AH120" i="34"/>
  <c r="AJ119" i="34"/>
  <c r="AI119" i="34"/>
  <c r="AH119" i="34"/>
  <c r="AJ118" i="34"/>
  <c r="AI118" i="34"/>
  <c r="AH118" i="34"/>
  <c r="AJ117" i="34"/>
  <c r="AI117" i="34"/>
  <c r="AH117" i="34"/>
  <c r="AJ116" i="34"/>
  <c r="AI116" i="34"/>
  <c r="AH116" i="34"/>
  <c r="AJ115" i="34"/>
  <c r="AI115" i="34"/>
  <c r="AH115" i="34"/>
  <c r="AJ114" i="34"/>
  <c r="AH114" i="34"/>
  <c r="AI114" i="34"/>
  <c r="AK114" i="34"/>
  <c r="AJ113" i="34"/>
  <c r="AI113" i="34"/>
  <c r="AH113" i="34"/>
  <c r="AJ112" i="34"/>
  <c r="AI112" i="34"/>
  <c r="AH112" i="34"/>
  <c r="AJ111" i="34"/>
  <c r="AI111" i="34"/>
  <c r="AH111" i="34"/>
  <c r="AJ110" i="34"/>
  <c r="AI110" i="34"/>
  <c r="AH110" i="34"/>
  <c r="AJ109" i="34"/>
  <c r="AI109" i="34"/>
  <c r="AH109" i="34"/>
  <c r="AJ108" i="34"/>
  <c r="AI108" i="34"/>
  <c r="AH108" i="34"/>
  <c r="AJ107" i="34"/>
  <c r="AI107" i="34"/>
  <c r="AH107" i="34"/>
  <c r="AJ106" i="34"/>
  <c r="AI106" i="34"/>
  <c r="AH106" i="34"/>
  <c r="AJ104" i="34"/>
  <c r="AI104" i="34"/>
  <c r="AH104" i="34"/>
  <c r="AJ103" i="34"/>
  <c r="AI103" i="34"/>
  <c r="AH103" i="34"/>
  <c r="AJ102" i="34"/>
  <c r="AI102" i="34"/>
  <c r="AH102" i="34"/>
  <c r="AJ101" i="34"/>
  <c r="AI101" i="34"/>
  <c r="AH101" i="34"/>
  <c r="AJ100" i="34"/>
  <c r="AI100" i="34"/>
  <c r="AH100" i="34"/>
  <c r="AJ99" i="34"/>
  <c r="AI99" i="34"/>
  <c r="AH99" i="34"/>
  <c r="AJ98" i="34"/>
  <c r="AI98" i="34"/>
  <c r="AH98" i="34"/>
  <c r="AJ97" i="34"/>
  <c r="AI97" i="34"/>
  <c r="AH97" i="34"/>
  <c r="AJ96" i="34"/>
  <c r="AI96" i="34"/>
  <c r="AH96" i="34"/>
  <c r="AJ95" i="34"/>
  <c r="AI95" i="34"/>
  <c r="AH95" i="34"/>
  <c r="AJ94" i="34"/>
  <c r="AI94" i="34"/>
  <c r="AH94" i="34"/>
  <c r="AJ93" i="34"/>
  <c r="AI93" i="34"/>
  <c r="AH93" i="34"/>
  <c r="AJ92" i="34"/>
  <c r="AI92" i="34"/>
  <c r="AH92" i="34"/>
  <c r="AJ91" i="34"/>
  <c r="AI91" i="34"/>
  <c r="AH91" i="34"/>
  <c r="AJ90" i="34"/>
  <c r="AI90" i="34"/>
  <c r="AH90" i="34"/>
  <c r="AJ89" i="34"/>
  <c r="AI89" i="34"/>
  <c r="AH89" i="34"/>
  <c r="AJ88" i="34"/>
  <c r="AI88" i="34"/>
  <c r="AH88" i="34"/>
  <c r="AJ87" i="34"/>
  <c r="AI87" i="34"/>
  <c r="AH87" i="34"/>
  <c r="AJ86" i="34"/>
  <c r="AI86" i="34"/>
  <c r="AH86" i="34"/>
  <c r="AJ85" i="34"/>
  <c r="AI85" i="34"/>
  <c r="AH85" i="34"/>
  <c r="AJ84" i="34"/>
  <c r="AI84" i="34"/>
  <c r="AH84" i="34"/>
  <c r="AJ83" i="34"/>
  <c r="AI83" i="34"/>
  <c r="AH83" i="34"/>
  <c r="AJ82" i="34"/>
  <c r="AI82" i="34"/>
  <c r="AH82" i="34"/>
  <c r="AJ81" i="34"/>
  <c r="AI81" i="34"/>
  <c r="AH81" i="34"/>
  <c r="AJ80" i="34"/>
  <c r="AI80" i="34"/>
  <c r="AH80" i="34"/>
  <c r="AJ79" i="34"/>
  <c r="AI79" i="34"/>
  <c r="AH79" i="34"/>
  <c r="AJ78" i="34"/>
  <c r="AI78" i="34"/>
  <c r="AH78" i="34"/>
  <c r="AJ77" i="34"/>
  <c r="AI77" i="34"/>
  <c r="AH77" i="34"/>
  <c r="AJ76" i="34"/>
  <c r="AI76" i="34"/>
  <c r="AH76" i="34"/>
  <c r="AJ75" i="34"/>
  <c r="AI75" i="34"/>
  <c r="AH75" i="34"/>
  <c r="AJ73" i="34"/>
  <c r="AI73" i="34"/>
  <c r="AH73" i="34"/>
  <c r="AJ72" i="34"/>
  <c r="AI72" i="34"/>
  <c r="AH72" i="34"/>
  <c r="AJ71" i="34"/>
  <c r="AI71" i="34"/>
  <c r="AH71" i="34"/>
  <c r="AJ70" i="34"/>
  <c r="AI70" i="34"/>
  <c r="AH70" i="34"/>
  <c r="AJ69" i="34"/>
  <c r="AI69" i="34"/>
  <c r="AH69" i="34"/>
  <c r="AJ68" i="34"/>
  <c r="AI68" i="34"/>
  <c r="AH68" i="34"/>
  <c r="AJ67" i="34"/>
  <c r="AI67" i="34"/>
  <c r="AH67" i="34"/>
  <c r="AJ66" i="34"/>
  <c r="AI66" i="34"/>
  <c r="AH66" i="34"/>
  <c r="AJ65" i="34"/>
  <c r="AI65" i="34"/>
  <c r="AH65" i="34"/>
  <c r="AJ64" i="34"/>
  <c r="AI64" i="34"/>
  <c r="AH64" i="34"/>
  <c r="AJ63" i="34"/>
  <c r="AI63" i="34"/>
  <c r="AH63" i="34"/>
  <c r="AJ62" i="34"/>
  <c r="AI62" i="34"/>
  <c r="AH62" i="34"/>
  <c r="AJ61" i="34"/>
  <c r="AI61" i="34"/>
  <c r="AH61" i="34"/>
  <c r="AJ60" i="34"/>
  <c r="AI60" i="34"/>
  <c r="AH60" i="34"/>
  <c r="AJ59" i="34"/>
  <c r="AI59" i="34"/>
  <c r="AH59" i="34"/>
  <c r="AJ58" i="34"/>
  <c r="AI58" i="34"/>
  <c r="AH58" i="34"/>
  <c r="AJ57" i="34"/>
  <c r="AI57" i="34"/>
  <c r="AH57" i="34"/>
  <c r="AJ56" i="34"/>
  <c r="AI56" i="34"/>
  <c r="AH56" i="34"/>
  <c r="AJ55" i="34"/>
  <c r="AI55" i="34"/>
  <c r="AH55" i="34"/>
  <c r="AJ54" i="34"/>
  <c r="AI54" i="34"/>
  <c r="AH54" i="34"/>
  <c r="AJ53" i="34"/>
  <c r="AI53" i="34"/>
  <c r="AH53" i="34"/>
  <c r="AJ52" i="34"/>
  <c r="AI52" i="34"/>
  <c r="AH52" i="34"/>
  <c r="AJ51" i="34"/>
  <c r="AI51" i="34"/>
  <c r="AH51" i="34"/>
  <c r="AJ50" i="34"/>
  <c r="AI50" i="34"/>
  <c r="AH50" i="34"/>
  <c r="AJ49" i="34"/>
  <c r="AI49" i="34"/>
  <c r="AH49" i="34"/>
  <c r="AJ48" i="34"/>
  <c r="AI48" i="34"/>
  <c r="AH48" i="34"/>
  <c r="AJ47" i="34"/>
  <c r="AI47" i="34"/>
  <c r="AH47" i="34"/>
  <c r="AJ46" i="34"/>
  <c r="AI46" i="34"/>
  <c r="AH46" i="34"/>
  <c r="AJ45" i="34"/>
  <c r="AI45" i="34"/>
  <c r="AH45" i="34"/>
  <c r="AJ44" i="34"/>
  <c r="AI44" i="34"/>
  <c r="AH44" i="34"/>
  <c r="AJ42" i="34"/>
  <c r="AI42" i="34"/>
  <c r="AH42" i="34"/>
  <c r="AJ41" i="34"/>
  <c r="AI41" i="34"/>
  <c r="AH41" i="34"/>
  <c r="AJ40" i="34"/>
  <c r="AI40" i="34"/>
  <c r="AH40" i="34"/>
  <c r="AJ39" i="34"/>
  <c r="AI39" i="34"/>
  <c r="AH39" i="34"/>
  <c r="AJ38" i="34"/>
  <c r="AI38" i="34"/>
  <c r="AH38" i="34"/>
  <c r="AJ37" i="34"/>
  <c r="AI37" i="34"/>
  <c r="AH37" i="34"/>
  <c r="AJ36" i="34"/>
  <c r="AI36" i="34"/>
  <c r="AH36" i="34"/>
  <c r="AJ35" i="34"/>
  <c r="AI35" i="34"/>
  <c r="AH35" i="34"/>
  <c r="AJ34" i="34"/>
  <c r="AI34" i="34"/>
  <c r="AH34" i="34"/>
  <c r="AJ33" i="34"/>
  <c r="AI33" i="34"/>
  <c r="AH33" i="34"/>
  <c r="AJ32" i="34"/>
  <c r="AI32" i="34"/>
  <c r="AH32" i="34"/>
  <c r="AJ31" i="34"/>
  <c r="AI31" i="34"/>
  <c r="AH31" i="34"/>
  <c r="AJ30" i="34"/>
  <c r="AI30" i="34"/>
  <c r="AH30" i="34"/>
  <c r="AJ29" i="34"/>
  <c r="AI29" i="34"/>
  <c r="AH29" i="34"/>
  <c r="AJ28" i="34"/>
  <c r="AI28" i="34"/>
  <c r="AH28" i="34"/>
  <c r="AJ27" i="34"/>
  <c r="AI27" i="34"/>
  <c r="AH27" i="34"/>
  <c r="AJ26" i="34"/>
  <c r="AI26" i="34"/>
  <c r="AH26" i="34"/>
  <c r="AJ25" i="34"/>
  <c r="AI25" i="34"/>
  <c r="AH25" i="34"/>
  <c r="AJ24" i="34"/>
  <c r="AI24" i="34"/>
  <c r="AH24" i="34"/>
  <c r="AJ23" i="34"/>
  <c r="AI23" i="34"/>
  <c r="AH23" i="34"/>
  <c r="AJ22" i="34"/>
  <c r="AI22" i="34"/>
  <c r="AH22" i="34"/>
  <c r="AJ21" i="34"/>
  <c r="AI21" i="34"/>
  <c r="AH21" i="34"/>
  <c r="AJ20" i="34"/>
  <c r="AI20" i="34"/>
  <c r="AH20" i="34"/>
  <c r="AJ19" i="34"/>
  <c r="AI19" i="34"/>
  <c r="AH19" i="34"/>
  <c r="AJ18" i="34"/>
  <c r="AI18" i="34"/>
  <c r="AH18" i="34"/>
  <c r="AJ17" i="34"/>
  <c r="AI17" i="34"/>
  <c r="AH17" i="34"/>
  <c r="AJ16" i="34"/>
  <c r="AI16" i="34"/>
  <c r="AH16" i="34"/>
  <c r="AJ15" i="34"/>
  <c r="AI15" i="34"/>
  <c r="AH15" i="34"/>
  <c r="AJ14" i="34"/>
  <c r="AI14" i="34"/>
  <c r="AH14" i="34"/>
  <c r="AJ13" i="34"/>
  <c r="AI13" i="34"/>
  <c r="AH13" i="34"/>
  <c r="AJ166" i="33"/>
  <c r="AI166" i="33"/>
  <c r="AH166" i="33"/>
  <c r="AJ165" i="33"/>
  <c r="AI165" i="33"/>
  <c r="AH165" i="33"/>
  <c r="AJ164" i="33"/>
  <c r="AI164" i="33"/>
  <c r="AH164" i="33"/>
  <c r="AJ163" i="33"/>
  <c r="AI163" i="33"/>
  <c r="AH163" i="33"/>
  <c r="AJ162" i="33"/>
  <c r="AI162" i="33"/>
  <c r="AH162" i="33"/>
  <c r="AJ161" i="33"/>
  <c r="AI161" i="33"/>
  <c r="AH161" i="33"/>
  <c r="AJ160" i="33"/>
  <c r="AI160" i="33"/>
  <c r="AH160" i="33"/>
  <c r="AK160" i="33"/>
  <c r="AJ159" i="33"/>
  <c r="AI159" i="33"/>
  <c r="AH159" i="33"/>
  <c r="AJ158" i="33"/>
  <c r="AI158" i="33"/>
  <c r="AH158" i="33"/>
  <c r="AJ157" i="33"/>
  <c r="AI157" i="33"/>
  <c r="AH157" i="33"/>
  <c r="AJ156" i="33"/>
  <c r="AI156" i="33"/>
  <c r="AH156" i="33"/>
  <c r="AJ155" i="33"/>
  <c r="AI155" i="33"/>
  <c r="AH155" i="33"/>
  <c r="AJ154" i="33"/>
  <c r="AI154" i="33"/>
  <c r="AH154" i="33"/>
  <c r="AJ153" i="33"/>
  <c r="AI153" i="33"/>
  <c r="AH153" i="33"/>
  <c r="AJ152" i="33"/>
  <c r="AI152" i="33"/>
  <c r="AH152" i="33"/>
  <c r="AJ151" i="33"/>
  <c r="AI151" i="33"/>
  <c r="AH151" i="33"/>
  <c r="AJ150" i="33"/>
  <c r="AI150" i="33"/>
  <c r="AH150" i="33"/>
  <c r="AJ149" i="33"/>
  <c r="AH149" i="33"/>
  <c r="AI149" i="33"/>
  <c r="AK149" i="33"/>
  <c r="AJ148" i="33"/>
  <c r="AI148" i="33"/>
  <c r="AH148" i="33"/>
  <c r="AJ147" i="33"/>
  <c r="AI147" i="33"/>
  <c r="AH147" i="33"/>
  <c r="AJ146" i="33"/>
  <c r="AI146" i="33"/>
  <c r="AH146" i="33"/>
  <c r="AJ145" i="33"/>
  <c r="AI145" i="33"/>
  <c r="AH145" i="33"/>
  <c r="AJ144" i="33"/>
  <c r="AI144" i="33"/>
  <c r="AH144" i="33"/>
  <c r="AJ143" i="33"/>
  <c r="AI143" i="33"/>
  <c r="AH143" i="33"/>
  <c r="AJ142" i="33"/>
  <c r="AI142" i="33"/>
  <c r="AH142" i="33"/>
  <c r="AJ141" i="33"/>
  <c r="AI141" i="33"/>
  <c r="AH141" i="33"/>
  <c r="AJ140" i="33"/>
  <c r="AI140" i="33"/>
  <c r="AH140" i="33"/>
  <c r="AJ139" i="33"/>
  <c r="AI139" i="33"/>
  <c r="AH139" i="33"/>
  <c r="AJ138" i="33"/>
  <c r="AI138" i="33"/>
  <c r="AH138" i="33"/>
  <c r="AJ137" i="33"/>
  <c r="AI137" i="33"/>
  <c r="AH137" i="33"/>
  <c r="AJ135" i="33"/>
  <c r="AI135" i="33"/>
  <c r="AJ134" i="33"/>
  <c r="AI134" i="33"/>
  <c r="AJ133" i="33"/>
  <c r="AI133" i="33"/>
  <c r="AJ132" i="33"/>
  <c r="AI132" i="33"/>
  <c r="AJ131" i="33"/>
  <c r="AI131" i="33"/>
  <c r="AJ130" i="33"/>
  <c r="AI130" i="33"/>
  <c r="AJ129" i="33"/>
  <c r="AI129" i="33"/>
  <c r="AJ128" i="33"/>
  <c r="AI128" i="33"/>
  <c r="AJ127" i="33"/>
  <c r="AI127" i="33"/>
  <c r="AJ126" i="33"/>
  <c r="AI126" i="33"/>
  <c r="AJ125" i="33"/>
  <c r="AI125" i="33"/>
  <c r="AJ124" i="33"/>
  <c r="AI124" i="33"/>
  <c r="AJ123" i="33"/>
  <c r="AI123" i="33"/>
  <c r="AJ122" i="33"/>
  <c r="AI122" i="33"/>
  <c r="AJ121" i="33"/>
  <c r="AI121" i="33"/>
  <c r="AJ120" i="33"/>
  <c r="AI120" i="33"/>
  <c r="AJ119" i="33"/>
  <c r="AI119" i="33"/>
  <c r="AJ118" i="33"/>
  <c r="AI118" i="33"/>
  <c r="AJ117" i="33"/>
  <c r="AI117" i="33"/>
  <c r="AJ116" i="33"/>
  <c r="AI116" i="33"/>
  <c r="AJ115" i="33"/>
  <c r="AI115" i="33"/>
  <c r="AJ114" i="33"/>
  <c r="AI114" i="33"/>
  <c r="AJ113" i="33"/>
  <c r="AI113" i="33"/>
  <c r="AJ112" i="33"/>
  <c r="AI112" i="33"/>
  <c r="AJ111" i="33"/>
  <c r="AI111" i="33"/>
  <c r="AJ110" i="33"/>
  <c r="AI110" i="33"/>
  <c r="AJ109" i="33"/>
  <c r="AI109" i="33"/>
  <c r="AJ108" i="33"/>
  <c r="AI108" i="33"/>
  <c r="AJ107" i="33"/>
  <c r="AI107" i="33"/>
  <c r="AJ104" i="33"/>
  <c r="AI104" i="33"/>
  <c r="AH104" i="33"/>
  <c r="AJ103" i="33"/>
  <c r="AI103" i="33"/>
  <c r="AH103" i="33"/>
  <c r="AJ102" i="33"/>
  <c r="AI102" i="33"/>
  <c r="AH102" i="33"/>
  <c r="AJ101" i="33"/>
  <c r="AI101" i="33"/>
  <c r="AH101" i="33"/>
  <c r="AJ100" i="33"/>
  <c r="AI100" i="33"/>
  <c r="AH100" i="33"/>
  <c r="AJ99" i="33"/>
  <c r="AI99" i="33"/>
  <c r="AH99" i="33"/>
  <c r="AJ98" i="33"/>
  <c r="AI98" i="33"/>
  <c r="AH98" i="33"/>
  <c r="AJ97" i="33"/>
  <c r="AI97" i="33"/>
  <c r="AH97" i="33"/>
  <c r="AJ96" i="33"/>
  <c r="AI96" i="33"/>
  <c r="AH96" i="33"/>
  <c r="AJ95" i="33"/>
  <c r="AI95" i="33"/>
  <c r="AH95" i="33"/>
  <c r="AJ94" i="33"/>
  <c r="AI94" i="33"/>
  <c r="AH94" i="33"/>
  <c r="AJ93" i="33"/>
  <c r="AI93" i="33"/>
  <c r="AH93" i="33"/>
  <c r="AJ92" i="33"/>
  <c r="AI92" i="33"/>
  <c r="AH92" i="33"/>
  <c r="AJ91" i="33"/>
  <c r="AI91" i="33"/>
  <c r="AH91" i="33"/>
  <c r="AJ90" i="33"/>
  <c r="AI90" i="33"/>
  <c r="AH90" i="33"/>
  <c r="AJ89" i="33"/>
  <c r="AI89" i="33"/>
  <c r="AH89" i="33"/>
  <c r="AJ88" i="33"/>
  <c r="AI88" i="33"/>
  <c r="AH88" i="33"/>
  <c r="AJ87" i="33"/>
  <c r="AI87" i="33"/>
  <c r="AH87" i="33"/>
  <c r="AJ86" i="33"/>
  <c r="AI86" i="33"/>
  <c r="AH86" i="33"/>
  <c r="AJ85" i="33"/>
  <c r="AI85" i="33"/>
  <c r="AH85" i="33"/>
  <c r="AJ84" i="33"/>
  <c r="AI84" i="33"/>
  <c r="AH84" i="33"/>
  <c r="AJ83" i="33"/>
  <c r="AI83" i="33"/>
  <c r="AH83" i="33"/>
  <c r="AJ82" i="33"/>
  <c r="AI82" i="33"/>
  <c r="AH82" i="33"/>
  <c r="AJ81" i="33"/>
  <c r="AI81" i="33"/>
  <c r="AH81" i="33"/>
  <c r="AJ80" i="33"/>
  <c r="AI80" i="33"/>
  <c r="AH80" i="33"/>
  <c r="AJ79" i="33"/>
  <c r="AI79" i="33"/>
  <c r="AH79" i="33"/>
  <c r="AJ78" i="33"/>
  <c r="AI78" i="33"/>
  <c r="AH78" i="33"/>
  <c r="AJ77" i="33"/>
  <c r="AI77" i="33"/>
  <c r="AH77" i="33"/>
  <c r="AJ76" i="33"/>
  <c r="AI76" i="33"/>
  <c r="AH76" i="33"/>
  <c r="AJ75" i="33"/>
  <c r="AI75" i="33"/>
  <c r="AK75" i="33"/>
  <c r="AJ73" i="33"/>
  <c r="AI73" i="33"/>
  <c r="AH73" i="33"/>
  <c r="AJ72" i="33"/>
  <c r="AI72" i="33"/>
  <c r="AH72" i="33"/>
  <c r="AJ71" i="33"/>
  <c r="AI71" i="33"/>
  <c r="AH71" i="33"/>
  <c r="AJ70" i="33"/>
  <c r="AI70" i="33"/>
  <c r="AH70" i="33"/>
  <c r="AJ69" i="33"/>
  <c r="AI69" i="33"/>
  <c r="AH69" i="33"/>
  <c r="AJ68" i="33"/>
  <c r="AI68" i="33"/>
  <c r="AH68" i="33"/>
  <c r="AJ67" i="33"/>
  <c r="AI67" i="33"/>
  <c r="AH67" i="33"/>
  <c r="AJ66" i="33"/>
  <c r="AI66" i="33"/>
  <c r="AH66" i="33"/>
  <c r="AJ65" i="33"/>
  <c r="AI65" i="33"/>
  <c r="AH65" i="33"/>
  <c r="AJ64" i="33"/>
  <c r="AI64" i="33"/>
  <c r="AH64" i="33"/>
  <c r="AJ63" i="33"/>
  <c r="AI63" i="33"/>
  <c r="AH63" i="33"/>
  <c r="AJ62" i="33"/>
  <c r="AI62" i="33"/>
  <c r="AH62" i="33"/>
  <c r="AJ61" i="33"/>
  <c r="AI61" i="33"/>
  <c r="AH61" i="33"/>
  <c r="AJ60" i="33"/>
  <c r="AI60" i="33"/>
  <c r="AH60" i="33"/>
  <c r="AJ59" i="33"/>
  <c r="AI59" i="33"/>
  <c r="AH59" i="33"/>
  <c r="AJ58" i="33"/>
  <c r="AI58" i="33"/>
  <c r="AH58" i="33"/>
  <c r="AJ57" i="33"/>
  <c r="AI57" i="33"/>
  <c r="AH57" i="33"/>
  <c r="AJ56" i="33"/>
  <c r="AI56" i="33"/>
  <c r="AH56" i="33"/>
  <c r="AJ55" i="33"/>
  <c r="AI55" i="33"/>
  <c r="AH55" i="33"/>
  <c r="AJ54" i="33"/>
  <c r="AI54" i="33"/>
  <c r="AH54" i="33"/>
  <c r="AJ53" i="33"/>
  <c r="AI53" i="33"/>
  <c r="AH53" i="33"/>
  <c r="AJ52" i="33"/>
  <c r="AI52" i="33"/>
  <c r="AH52" i="33"/>
  <c r="AJ51" i="33"/>
  <c r="AI51" i="33"/>
  <c r="AH51" i="33"/>
  <c r="AJ50" i="33"/>
  <c r="AI50" i="33"/>
  <c r="AH50" i="33"/>
  <c r="AJ49" i="33"/>
  <c r="AI49" i="33"/>
  <c r="AH49" i="33"/>
  <c r="AJ48" i="33"/>
  <c r="AI48" i="33"/>
  <c r="AH48" i="33"/>
  <c r="AJ47" i="33"/>
  <c r="AI47" i="33"/>
  <c r="AH47" i="33"/>
  <c r="AJ46" i="33"/>
  <c r="AI46" i="33"/>
  <c r="AH46" i="33"/>
  <c r="AJ45" i="33"/>
  <c r="AI45" i="33"/>
  <c r="AH45" i="33"/>
  <c r="AJ44" i="33"/>
  <c r="AI44" i="33"/>
  <c r="AH44" i="33"/>
  <c r="AJ42" i="33"/>
  <c r="AI42" i="33"/>
  <c r="AH42" i="33"/>
  <c r="AJ41" i="33"/>
  <c r="AI41" i="33"/>
  <c r="AH41" i="33"/>
  <c r="AJ40" i="33"/>
  <c r="AI40" i="33"/>
  <c r="AH40" i="33"/>
  <c r="AJ39" i="33"/>
  <c r="AI39" i="33"/>
  <c r="AH39" i="33"/>
  <c r="AJ38" i="33"/>
  <c r="AI38" i="33"/>
  <c r="AH38" i="33"/>
  <c r="AJ37" i="33"/>
  <c r="AI37" i="33"/>
  <c r="AH37" i="33"/>
  <c r="AJ36" i="33"/>
  <c r="AI36" i="33"/>
  <c r="AH36" i="33"/>
  <c r="AJ35" i="33"/>
  <c r="AI35" i="33"/>
  <c r="AH35" i="33"/>
  <c r="AJ34" i="33"/>
  <c r="AI34" i="33"/>
  <c r="AH34" i="33"/>
  <c r="AJ33" i="33"/>
  <c r="AI33" i="33"/>
  <c r="AH33" i="33"/>
  <c r="AJ32" i="33"/>
  <c r="AI32" i="33"/>
  <c r="AH32" i="33"/>
  <c r="AJ31" i="33"/>
  <c r="AI31" i="33"/>
  <c r="AH31" i="33"/>
  <c r="AJ30" i="33"/>
  <c r="AI30" i="33"/>
  <c r="AH30" i="33"/>
  <c r="AJ29" i="33"/>
  <c r="AI29" i="33"/>
  <c r="AH29" i="33"/>
  <c r="AJ28" i="33"/>
  <c r="AI28" i="33"/>
  <c r="AH28" i="33"/>
  <c r="AJ27" i="33"/>
  <c r="AI27" i="33"/>
  <c r="AH27" i="33"/>
  <c r="AJ26" i="33"/>
  <c r="AI26" i="33"/>
  <c r="AH26" i="33"/>
  <c r="AJ25" i="33"/>
  <c r="AI25" i="33"/>
  <c r="AH25" i="33"/>
  <c r="AJ24" i="33"/>
  <c r="AI24" i="33"/>
  <c r="AH24" i="33"/>
  <c r="AJ23" i="33"/>
  <c r="AI23" i="33"/>
  <c r="AH23" i="33"/>
  <c r="AJ22" i="33"/>
  <c r="AI22" i="33"/>
  <c r="AH22" i="33"/>
  <c r="AJ21" i="33"/>
  <c r="AI21" i="33"/>
  <c r="AH21" i="33"/>
  <c r="AJ20" i="33"/>
  <c r="AI20" i="33"/>
  <c r="AH20" i="33"/>
  <c r="AJ19" i="33"/>
  <c r="AI19" i="33"/>
  <c r="AH19" i="33"/>
  <c r="AJ18" i="33"/>
  <c r="AI18" i="33"/>
  <c r="AH18" i="33"/>
  <c r="AJ17" i="33"/>
  <c r="AI17" i="33"/>
  <c r="AH17" i="33"/>
  <c r="AJ16" i="33"/>
  <c r="AI16" i="33"/>
  <c r="AH16" i="33"/>
  <c r="AJ15" i="33"/>
  <c r="AI15" i="33"/>
  <c r="AH15" i="33"/>
  <c r="AJ14" i="33"/>
  <c r="AI14" i="33"/>
  <c r="AH14" i="33"/>
  <c r="AJ13" i="33"/>
  <c r="AI13" i="33"/>
  <c r="AY5" i="8"/>
  <c r="AY6" i="8"/>
  <c r="BB6" i="8"/>
  <c r="AY7" i="8"/>
  <c r="BB7" i="8"/>
  <c r="AY8" i="8"/>
  <c r="BB8" i="8"/>
  <c r="AY9" i="8"/>
  <c r="BB9" i="8"/>
  <c r="AY10" i="8"/>
  <c r="BB10" i="8"/>
  <c r="AY11" i="8"/>
  <c r="BB11" i="8"/>
  <c r="AY12" i="8"/>
  <c r="BB12" i="8"/>
  <c r="AY13" i="8"/>
  <c r="BB13" i="8"/>
  <c r="AY14" i="8"/>
  <c r="BB14" i="8"/>
  <c r="AY15" i="8"/>
  <c r="BB15" i="8"/>
  <c r="AY16" i="8"/>
  <c r="BB16" i="8"/>
  <c r="AY17" i="8"/>
  <c r="BB17" i="8"/>
  <c r="AY18" i="8"/>
  <c r="BB18" i="8"/>
  <c r="AY19" i="8"/>
  <c r="BB19" i="8"/>
  <c r="AY20" i="8"/>
  <c r="BB20" i="8"/>
  <c r="AY21" i="8"/>
  <c r="BB21" i="8"/>
  <c r="AY22" i="8"/>
  <c r="BB22" i="8"/>
  <c r="AY23" i="8"/>
  <c r="BB23" i="8"/>
  <c r="BB24" i="8"/>
  <c r="BB25" i="8"/>
  <c r="BB26" i="8"/>
  <c r="BK7" i="4"/>
  <c r="BK8" i="4"/>
  <c r="BK9" i="4"/>
  <c r="BK10" i="4"/>
  <c r="BK11" i="4"/>
  <c r="BK12" i="4"/>
  <c r="BK13" i="4"/>
  <c r="BK14" i="4"/>
  <c r="BK15" i="4"/>
  <c r="BK16" i="4"/>
  <c r="BK17" i="4"/>
  <c r="BK18" i="4"/>
  <c r="BK19" i="4"/>
  <c r="BK20" i="4"/>
  <c r="BK36" i="4"/>
  <c r="BK37" i="4"/>
  <c r="BK38" i="4"/>
  <c r="BK39" i="4"/>
  <c r="BK40" i="4"/>
  <c r="BK41" i="4"/>
  <c r="BK42" i="4"/>
  <c r="BK43" i="4"/>
  <c r="BK44" i="4"/>
  <c r="BK45" i="4"/>
  <c r="BK46" i="4"/>
  <c r="BK47" i="4"/>
  <c r="BK48" i="4"/>
  <c r="BK49" i="4"/>
  <c r="BK50" i="4"/>
  <c r="BK51" i="4"/>
  <c r="BK52" i="4"/>
  <c r="BK53" i="4"/>
  <c r="BK66" i="4"/>
  <c r="BK67" i="4"/>
  <c r="BK68" i="4"/>
  <c r="BK69" i="4"/>
  <c r="BK70" i="4"/>
  <c r="BK71" i="4"/>
  <c r="BK72" i="4"/>
  <c r="BK73" i="4"/>
  <c r="BK74" i="4"/>
  <c r="BK75" i="4"/>
  <c r="BK96" i="4"/>
  <c r="BK97" i="4"/>
  <c r="BK98" i="4"/>
  <c r="BK99" i="4"/>
  <c r="BK100" i="4"/>
  <c r="BK101" i="4"/>
  <c r="BK102" i="4"/>
  <c r="BK126" i="4"/>
  <c r="BK127" i="4"/>
  <c r="BK128" i="4"/>
  <c r="BK129" i="4"/>
  <c r="BK130" i="4"/>
  <c r="BK131" i="4"/>
  <c r="BK132" i="4"/>
  <c r="BK133" i="4"/>
  <c r="BK134" i="4"/>
  <c r="BK135" i="4"/>
  <c r="BK136" i="4"/>
  <c r="BK137" i="4"/>
  <c r="BK138" i="4"/>
  <c r="BK6" i="4"/>
  <c r="AK10" i="3"/>
  <c r="AK9" i="3"/>
  <c r="AK8" i="3"/>
  <c r="AK7" i="3"/>
  <c r="AK6" i="3"/>
  <c r="AK5" i="3"/>
  <c r="CC145" i="12"/>
  <c r="CC144" i="12"/>
  <c r="CC143" i="12"/>
  <c r="CC142" i="12"/>
  <c r="CC141" i="12"/>
  <c r="CC140" i="12"/>
  <c r="CC139" i="12"/>
  <c r="CC138" i="12"/>
  <c r="CC137" i="12"/>
  <c r="CC136" i="12"/>
  <c r="CC135" i="12"/>
  <c r="CC134" i="12"/>
  <c r="CC133" i="12"/>
  <c r="CC132" i="12"/>
  <c r="CC131" i="12"/>
  <c r="CC130" i="12"/>
  <c r="CC129" i="12"/>
  <c r="CC128" i="12"/>
  <c r="CC127" i="12"/>
  <c r="CC126" i="12"/>
  <c r="CC112" i="12"/>
  <c r="CC111" i="12"/>
  <c r="CC110" i="12"/>
  <c r="CC109" i="12"/>
  <c r="CC108" i="12"/>
  <c r="CC107" i="12"/>
  <c r="CC106" i="12"/>
  <c r="CC105" i="12"/>
  <c r="CC104" i="12"/>
  <c r="CC103" i="12"/>
  <c r="CC102" i="12"/>
  <c r="CC101" i="12"/>
  <c r="CC100" i="12"/>
  <c r="CC99" i="12"/>
  <c r="CC98" i="12"/>
  <c r="CC97" i="12"/>
  <c r="CC96" i="12"/>
  <c r="CC77" i="12"/>
  <c r="CC76" i="12"/>
  <c r="CC75" i="12"/>
  <c r="CC74" i="12"/>
  <c r="CC73" i="12"/>
  <c r="CC72" i="12"/>
  <c r="CC71" i="12"/>
  <c r="CC70" i="12"/>
  <c r="CC69" i="12"/>
  <c r="CC68" i="12"/>
  <c r="CC67" i="12"/>
  <c r="CC66" i="12"/>
  <c r="CC60" i="12"/>
  <c r="CC59" i="12"/>
  <c r="CC58" i="12"/>
  <c r="CC57" i="12"/>
  <c r="CC56" i="12"/>
  <c r="CC55" i="12"/>
  <c r="CC54" i="12"/>
  <c r="CC53" i="12"/>
  <c r="CC52" i="12"/>
  <c r="CC51" i="12"/>
  <c r="CC50" i="12"/>
  <c r="CC49" i="12"/>
  <c r="CC48" i="12"/>
  <c r="CC47" i="12"/>
  <c r="CC46" i="12"/>
  <c r="CC45" i="12"/>
  <c r="CC44" i="12"/>
  <c r="CC43" i="12"/>
  <c r="CC42" i="12"/>
  <c r="CC41" i="12"/>
  <c r="CC40" i="12"/>
  <c r="CC39" i="12"/>
  <c r="CC38" i="12"/>
  <c r="CC37" i="12"/>
  <c r="CC36" i="12"/>
  <c r="CC27" i="12"/>
  <c r="CC26" i="12"/>
  <c r="CC25" i="12"/>
  <c r="CC24" i="12"/>
  <c r="CC23" i="12"/>
  <c r="CC22" i="12"/>
  <c r="CC21" i="12"/>
  <c r="CC20" i="12"/>
  <c r="CC19" i="12"/>
  <c r="CC18" i="12"/>
  <c r="CC17" i="12"/>
  <c r="CC16" i="12"/>
  <c r="CC15" i="12"/>
  <c r="CC14" i="12"/>
  <c r="CC13" i="12"/>
  <c r="CC12" i="12"/>
  <c r="CC11" i="12"/>
  <c r="CC10" i="12"/>
  <c r="CC9" i="12"/>
  <c r="CC8" i="12"/>
  <c r="CC7" i="12"/>
  <c r="CC6" i="12"/>
  <c r="CK6" i="12"/>
  <c r="AM154" i="3"/>
  <c r="AL154" i="3"/>
  <c r="AM153" i="3"/>
  <c r="AL153" i="3"/>
  <c r="AM152" i="3"/>
  <c r="AL152" i="3"/>
  <c r="AM151" i="3"/>
  <c r="AL151" i="3"/>
  <c r="AM150" i="3"/>
  <c r="AL150" i="3"/>
  <c r="AM149" i="3"/>
  <c r="AL149" i="3"/>
  <c r="AM148" i="3"/>
  <c r="AL148" i="3"/>
  <c r="AM147" i="3"/>
  <c r="AL147" i="3"/>
  <c r="AM146" i="3"/>
  <c r="AL146" i="3"/>
  <c r="AM145" i="3"/>
  <c r="AL145" i="3"/>
  <c r="AM144" i="3"/>
  <c r="AL144" i="3"/>
  <c r="AM143" i="3"/>
  <c r="AL143" i="3"/>
  <c r="AM142" i="3"/>
  <c r="AL142" i="3"/>
  <c r="AM141" i="3"/>
  <c r="AL141" i="3"/>
  <c r="AM140" i="3"/>
  <c r="AL140" i="3"/>
  <c r="AM139" i="3"/>
  <c r="AL139" i="3"/>
  <c r="AM138" i="3"/>
  <c r="AL138" i="3"/>
  <c r="AM137" i="3"/>
  <c r="AL137" i="3"/>
  <c r="AL136" i="3"/>
  <c r="AL135" i="3"/>
  <c r="AL134" i="3"/>
  <c r="AL133" i="3"/>
  <c r="AL132" i="3"/>
  <c r="AL131" i="3"/>
  <c r="AL130" i="3"/>
  <c r="AL129" i="3"/>
  <c r="AL128" i="3"/>
  <c r="AL127" i="3"/>
  <c r="AL126" i="3"/>
  <c r="AL125" i="3"/>
  <c r="AM100" i="3"/>
  <c r="AL100" i="3"/>
  <c r="AM99" i="3"/>
  <c r="AL99" i="3"/>
  <c r="AM75" i="3"/>
  <c r="AL75" i="3"/>
  <c r="AM74" i="3"/>
  <c r="AL74" i="3"/>
  <c r="AM73" i="3"/>
  <c r="AL73" i="3"/>
  <c r="AM72" i="3"/>
  <c r="AL72" i="3"/>
  <c r="AM71" i="3"/>
  <c r="AL71" i="3"/>
  <c r="AM70" i="3"/>
  <c r="AL70" i="3"/>
  <c r="AM69" i="3"/>
  <c r="AL69" i="3"/>
  <c r="AM68" i="3"/>
  <c r="AL68" i="3"/>
  <c r="AM67" i="3"/>
  <c r="AL67" i="3"/>
  <c r="AM66" i="3"/>
  <c r="AL66" i="3"/>
  <c r="AM65" i="3"/>
  <c r="AL65" i="3"/>
  <c r="AM53" i="3"/>
  <c r="AL53" i="3"/>
  <c r="AM52" i="3"/>
  <c r="AL52" i="3"/>
  <c r="AM51" i="3"/>
  <c r="AL51" i="3"/>
  <c r="AM50" i="3"/>
  <c r="AL50" i="3"/>
  <c r="AM49" i="3"/>
  <c r="AL49" i="3"/>
  <c r="AM48" i="3"/>
  <c r="AL48" i="3"/>
  <c r="AM47" i="3"/>
  <c r="AL47" i="3"/>
  <c r="AM46" i="3"/>
  <c r="AL46" i="3"/>
  <c r="AM45" i="3"/>
  <c r="AL45" i="3"/>
  <c r="AM44" i="3"/>
  <c r="AL44" i="3"/>
  <c r="AM43" i="3"/>
  <c r="AL43" i="3"/>
  <c r="AM42" i="3"/>
  <c r="AL42" i="3"/>
  <c r="AM41" i="3"/>
  <c r="AL41" i="3"/>
  <c r="AM40" i="3"/>
  <c r="AL40" i="3"/>
  <c r="AM39" i="3"/>
  <c r="AL39" i="3"/>
  <c r="AM38" i="3"/>
  <c r="AL38" i="3"/>
  <c r="AM37" i="3"/>
  <c r="AL37" i="3"/>
  <c r="AM36" i="3"/>
  <c r="AL36" i="3"/>
  <c r="AM35" i="3"/>
  <c r="AL35" i="3"/>
  <c r="AM17" i="3"/>
  <c r="AL17" i="3"/>
  <c r="AM16" i="3"/>
  <c r="AL16" i="3"/>
  <c r="AM15" i="3"/>
  <c r="AL15" i="3"/>
  <c r="AM14" i="3"/>
  <c r="AL14" i="3"/>
  <c r="AM13" i="3"/>
  <c r="AL13" i="3"/>
  <c r="AM12" i="3"/>
  <c r="AL12" i="3"/>
  <c r="AM11" i="3"/>
  <c r="AL11" i="3"/>
  <c r="AM10" i="3"/>
  <c r="AL10" i="3"/>
  <c r="AM9" i="3"/>
  <c r="AL9" i="3"/>
  <c r="AM8" i="3"/>
  <c r="AL8" i="3"/>
  <c r="AM7" i="3"/>
  <c r="AL7" i="3"/>
  <c r="AM5" i="3"/>
  <c r="AL5" i="3"/>
  <c r="AM6" i="3"/>
  <c r="AL6" i="3"/>
  <c r="AK131" i="3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Z6" i="3"/>
  <c r="AZ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3" i="3"/>
  <c r="AZ24" i="3"/>
  <c r="AZ25" i="3"/>
  <c r="AZ26" i="3"/>
  <c r="AZ27" i="3"/>
  <c r="AZ28" i="3"/>
  <c r="AZ29" i="3"/>
  <c r="AZ30" i="3"/>
  <c r="AZ31" i="3"/>
  <c r="AZ32" i="3"/>
  <c r="AZ33" i="3"/>
  <c r="AZ34" i="3"/>
  <c r="AW6" i="3"/>
  <c r="AW7" i="3"/>
  <c r="AW8" i="3"/>
  <c r="AW9" i="3"/>
  <c r="AW10" i="3"/>
  <c r="AW11" i="3"/>
  <c r="AW12" i="3"/>
  <c r="AW13" i="3"/>
  <c r="AW14" i="3"/>
  <c r="AW15" i="3"/>
  <c r="AW16" i="3"/>
  <c r="AW17" i="3"/>
  <c r="AW18" i="3"/>
  <c r="AW19" i="3"/>
  <c r="AW20" i="3"/>
  <c r="AW21" i="3"/>
  <c r="AW22" i="3"/>
  <c r="AW23" i="3"/>
  <c r="AW24" i="3"/>
  <c r="AW25" i="3"/>
  <c r="AW26" i="3"/>
  <c r="AW27" i="3"/>
  <c r="AW28" i="3"/>
  <c r="AW29" i="3"/>
  <c r="AW30" i="3"/>
  <c r="AW31" i="3"/>
  <c r="AW32" i="3"/>
  <c r="AW33" i="3"/>
  <c r="AW34" i="3"/>
  <c r="AW5" i="3"/>
  <c r="BH140" i="4"/>
  <c r="BH141" i="4"/>
  <c r="BH142" i="4"/>
  <c r="BH143" i="4"/>
  <c r="BH97" i="4"/>
  <c r="BH98" i="4"/>
  <c r="BH99" i="4"/>
  <c r="BH100" i="4"/>
  <c r="BH101" i="4"/>
  <c r="BH102" i="4"/>
  <c r="BH76" i="4"/>
  <c r="BH77" i="4"/>
  <c r="BH78" i="4"/>
  <c r="BH79" i="4"/>
  <c r="BE139" i="4"/>
  <c r="BE138" i="4"/>
  <c r="BE137" i="4"/>
  <c r="BE136" i="4"/>
  <c r="BE135" i="4"/>
  <c r="BE134" i="4"/>
  <c r="BE133" i="4"/>
  <c r="BE132" i="4"/>
  <c r="BE131" i="4"/>
  <c r="BE130" i="4"/>
  <c r="BE129" i="4"/>
  <c r="BE128" i="4"/>
  <c r="BE127" i="4"/>
  <c r="BE126" i="4"/>
  <c r="BE96" i="4"/>
  <c r="BE75" i="4"/>
  <c r="BE74" i="4"/>
  <c r="BE73" i="4"/>
  <c r="BE72" i="4"/>
  <c r="BE71" i="4"/>
  <c r="BE70" i="4"/>
  <c r="BE69" i="4"/>
  <c r="BE68" i="4"/>
  <c r="BE67" i="4"/>
  <c r="BE66" i="4"/>
  <c r="BE51" i="4"/>
  <c r="BE50" i="4"/>
  <c r="BE49" i="4"/>
  <c r="BE48" i="4"/>
  <c r="BE47" i="4"/>
  <c r="BE46" i="4"/>
  <c r="BE45" i="4"/>
  <c r="BE44" i="4"/>
  <c r="BE43" i="4"/>
  <c r="BE42" i="4"/>
  <c r="BE41" i="4"/>
  <c r="BE40" i="4"/>
  <c r="BE39" i="4"/>
  <c r="BE38" i="4"/>
  <c r="BE37" i="4"/>
  <c r="BE36" i="4"/>
  <c r="BE27" i="4"/>
  <c r="BE26" i="4"/>
  <c r="BE25" i="4"/>
  <c r="BE24" i="4"/>
  <c r="BE23" i="4"/>
  <c r="BE22" i="4"/>
  <c r="BE21" i="4"/>
  <c r="BE20" i="4"/>
  <c r="BE19" i="4"/>
  <c r="BE18" i="4"/>
  <c r="BE17" i="4"/>
  <c r="BE16" i="4"/>
  <c r="BE15" i="4"/>
  <c r="BE14" i="4"/>
  <c r="BE13" i="4"/>
  <c r="BE12" i="4"/>
  <c r="BE11" i="4"/>
  <c r="BE10" i="4"/>
  <c r="BE9" i="4"/>
  <c r="BE8" i="4"/>
  <c r="BE7" i="4"/>
  <c r="BE6" i="4"/>
  <c r="AJ125" i="3"/>
  <c r="AJ126" i="3"/>
  <c r="AK126" i="3"/>
  <c r="AJ127" i="3"/>
  <c r="AK127" i="3"/>
  <c r="AJ128" i="3"/>
  <c r="AK128" i="3"/>
  <c r="AJ129" i="3"/>
  <c r="AK129" i="3"/>
  <c r="AJ130" i="3"/>
  <c r="AK130" i="3"/>
  <c r="AJ131" i="3"/>
  <c r="AJ132" i="3"/>
  <c r="AK132" i="3"/>
  <c r="AJ133" i="3"/>
  <c r="AK133" i="3"/>
  <c r="AJ134" i="3"/>
  <c r="AK134" i="3"/>
  <c r="AJ135" i="3"/>
  <c r="AK135" i="3"/>
  <c r="AJ136" i="3"/>
  <c r="AK136" i="3"/>
  <c r="AJ137" i="3"/>
  <c r="AK137" i="3"/>
  <c r="AJ138" i="3"/>
  <c r="AK138" i="3"/>
  <c r="AJ139" i="3"/>
  <c r="AK139" i="3"/>
  <c r="AJ140" i="3"/>
  <c r="AK140" i="3"/>
  <c r="AJ141" i="3"/>
  <c r="AK141" i="3"/>
  <c r="AJ142" i="3"/>
  <c r="AK142" i="3"/>
  <c r="AJ143" i="3"/>
  <c r="AK143" i="3"/>
  <c r="AJ35" i="3"/>
  <c r="CG6" i="12"/>
  <c r="CG150" i="12"/>
  <c r="CG149" i="12"/>
  <c r="CG148" i="12"/>
  <c r="CG147" i="12"/>
  <c r="CG146" i="12"/>
  <c r="CG145" i="12"/>
  <c r="CG144" i="12"/>
  <c r="CG143" i="12"/>
  <c r="CG142" i="12"/>
  <c r="CG141" i="12"/>
  <c r="CG140" i="12"/>
  <c r="CG139" i="12"/>
  <c r="CG138" i="12"/>
  <c r="CG137" i="12"/>
  <c r="CG136" i="12"/>
  <c r="CG135" i="12"/>
  <c r="CG134" i="12"/>
  <c r="CG133" i="12"/>
  <c r="CG132" i="12"/>
  <c r="CG131" i="12"/>
  <c r="CG130" i="12"/>
  <c r="CG129" i="12"/>
  <c r="CG128" i="12"/>
  <c r="CG127" i="12"/>
  <c r="CG126" i="12"/>
  <c r="CG57" i="12"/>
  <c r="CG56" i="12"/>
  <c r="CG55" i="12"/>
  <c r="CG54" i="12"/>
  <c r="CG53" i="12"/>
  <c r="CG52" i="12"/>
  <c r="CG51" i="12"/>
  <c r="CG50" i="12"/>
  <c r="CG49" i="12"/>
  <c r="CG48" i="12"/>
  <c r="CG47" i="12"/>
  <c r="CG46" i="12"/>
  <c r="CG45" i="12"/>
  <c r="CG109" i="12"/>
  <c r="CG108" i="12"/>
  <c r="CG107" i="12"/>
  <c r="CG106" i="12"/>
  <c r="CG105" i="12"/>
  <c r="CG104" i="12"/>
  <c r="CG103" i="12"/>
  <c r="CG102" i="12"/>
  <c r="CG101" i="12"/>
  <c r="CG100" i="12"/>
  <c r="CG99" i="12"/>
  <c r="CG98" i="12"/>
  <c r="CG97" i="12"/>
  <c r="CG96" i="12"/>
  <c r="CG66" i="12"/>
  <c r="CG44" i="12"/>
  <c r="CG43" i="12"/>
  <c r="CG42" i="12"/>
  <c r="CG41" i="12"/>
  <c r="CG40" i="12"/>
  <c r="CG39" i="12"/>
  <c r="CG38" i="12"/>
  <c r="CG37" i="12"/>
  <c r="CG36" i="12"/>
  <c r="CG27" i="12"/>
  <c r="CG26" i="12"/>
  <c r="CG25" i="12"/>
  <c r="CG24" i="12"/>
  <c r="CG23" i="12"/>
  <c r="CG22" i="12"/>
  <c r="CG21" i="12"/>
  <c r="CG20" i="12"/>
  <c r="CG19" i="12"/>
  <c r="CG18" i="12"/>
  <c r="CG17" i="12"/>
  <c r="CG16" i="12"/>
  <c r="CG15" i="12"/>
  <c r="CG14" i="12"/>
  <c r="CG13" i="12"/>
  <c r="CG12" i="12"/>
  <c r="CG11" i="12"/>
  <c r="CG10" i="12"/>
  <c r="CG9" i="12"/>
  <c r="CG8" i="12"/>
  <c r="CG7" i="12"/>
  <c r="BO6" i="12"/>
  <c r="BO7" i="12"/>
  <c r="BO8" i="12"/>
  <c r="BO9" i="12"/>
  <c r="BO10" i="12"/>
  <c r="BO11" i="12"/>
  <c r="BO12" i="12"/>
  <c r="BO13" i="12"/>
  <c r="BO14" i="12"/>
  <c r="BO15" i="12"/>
  <c r="BO16" i="12"/>
  <c r="BO17" i="12"/>
  <c r="BO18" i="12"/>
  <c r="BO19" i="12"/>
  <c r="BO20" i="12"/>
  <c r="BO21" i="12"/>
  <c r="BO22" i="12"/>
  <c r="BO23" i="12"/>
  <c r="BO24" i="12"/>
  <c r="BO25" i="12"/>
  <c r="BO26" i="12"/>
  <c r="BO27" i="12"/>
  <c r="BO28" i="12"/>
  <c r="BO29" i="12"/>
  <c r="BO30" i="12"/>
  <c r="BO31" i="12"/>
  <c r="BO32" i="12"/>
  <c r="BO33" i="12"/>
  <c r="BO34" i="12"/>
  <c r="BO35" i="12"/>
  <c r="BO36" i="12"/>
  <c r="BO37" i="12"/>
  <c r="BO38" i="12"/>
  <c r="BO39" i="12"/>
  <c r="BO40" i="12"/>
  <c r="BO41" i="12"/>
  <c r="BO42" i="12"/>
  <c r="BO43" i="12"/>
  <c r="BO44" i="12"/>
  <c r="BO45" i="12"/>
  <c r="BO46" i="12"/>
  <c r="BO47" i="12"/>
  <c r="BO48" i="12"/>
  <c r="BO49" i="12"/>
  <c r="BO50" i="12"/>
  <c r="BO51" i="12"/>
  <c r="BO52" i="12"/>
  <c r="BO53" i="12"/>
  <c r="BO54" i="12"/>
  <c r="BO55" i="12"/>
  <c r="BO56" i="12"/>
  <c r="BO57" i="12"/>
  <c r="BO58" i="12"/>
  <c r="BO59" i="12"/>
  <c r="BO60" i="12"/>
  <c r="BO61" i="12"/>
  <c r="BO62" i="12"/>
  <c r="BO63" i="12"/>
  <c r="BO64" i="12"/>
  <c r="BO65" i="12"/>
  <c r="BO66" i="12"/>
  <c r="BO67" i="12"/>
  <c r="BO68" i="12"/>
  <c r="BO69" i="12"/>
  <c r="BO70" i="12"/>
  <c r="BO71" i="12"/>
  <c r="BO72" i="12"/>
  <c r="BO73" i="12"/>
  <c r="BO74" i="12"/>
  <c r="BO75" i="12"/>
  <c r="BO76" i="12"/>
  <c r="BO77" i="12"/>
  <c r="BO78" i="12"/>
  <c r="BO79" i="12"/>
  <c r="BO80" i="12"/>
  <c r="BO81" i="12"/>
  <c r="BO82" i="12"/>
  <c r="BO83" i="12"/>
  <c r="BO84" i="12"/>
  <c r="BO85" i="12"/>
  <c r="BO86" i="12"/>
  <c r="BO87" i="12"/>
  <c r="BO88" i="12"/>
  <c r="BO89" i="12"/>
  <c r="BO90" i="12"/>
  <c r="BO91" i="12"/>
  <c r="BO92" i="12"/>
  <c r="BO93" i="12"/>
  <c r="BO94" i="12"/>
  <c r="BO95" i="12"/>
  <c r="BO96" i="12"/>
  <c r="BO97" i="12"/>
  <c r="BO98" i="12"/>
  <c r="BO99" i="12"/>
  <c r="BO100" i="12"/>
  <c r="BO101" i="12"/>
  <c r="BO102" i="12"/>
  <c r="BO103" i="12"/>
  <c r="BO104" i="12"/>
  <c r="BO105" i="12"/>
  <c r="BO106" i="12"/>
  <c r="BO107" i="12"/>
  <c r="BO108" i="12"/>
  <c r="BO109" i="12"/>
  <c r="BO110" i="12"/>
  <c r="BO111" i="12"/>
  <c r="BO112" i="12"/>
  <c r="BO113" i="12"/>
  <c r="BO114" i="12"/>
  <c r="BO115" i="12"/>
  <c r="BO116" i="12"/>
  <c r="BO117" i="12"/>
  <c r="BO118" i="12"/>
  <c r="BO119" i="12"/>
  <c r="BO120" i="12"/>
  <c r="BO121" i="12"/>
  <c r="BO122" i="12"/>
  <c r="BO123" i="12"/>
  <c r="BO124" i="12"/>
  <c r="BO125" i="12"/>
  <c r="BO126" i="12"/>
  <c r="BO127" i="12"/>
  <c r="BO128" i="12"/>
  <c r="BO129" i="12"/>
  <c r="BO130" i="12"/>
  <c r="BO131" i="12"/>
  <c r="BO132" i="12"/>
  <c r="BO133" i="12"/>
  <c r="BO134" i="12"/>
  <c r="BO135" i="12"/>
  <c r="BO136" i="12"/>
  <c r="BO137" i="12"/>
  <c r="BO138" i="12"/>
  <c r="BO139" i="12"/>
  <c r="BO140" i="12"/>
  <c r="BO141" i="12"/>
  <c r="BO142" i="12"/>
  <c r="BO143" i="12"/>
  <c r="BO144" i="12"/>
  <c r="BO145" i="12"/>
  <c r="BO146" i="12"/>
  <c r="BO147" i="12"/>
  <c r="BO148" i="12"/>
  <c r="BO149" i="12"/>
  <c r="BO150" i="12"/>
  <c r="BO151" i="12"/>
  <c r="BO152" i="12"/>
  <c r="BO153" i="12"/>
  <c r="BO154" i="12"/>
  <c r="BO155" i="12"/>
  <c r="AK21" i="8"/>
  <c r="AK22" i="8"/>
  <c r="AK23" i="8"/>
  <c r="AJ5" i="3"/>
  <c r="AJ6" i="3"/>
  <c r="AJ7" i="3"/>
  <c r="AJ8" i="3"/>
  <c r="AJ9" i="3"/>
  <c r="AJ10" i="3"/>
  <c r="AJ11" i="3"/>
  <c r="AJ12" i="3"/>
  <c r="AJ13" i="3"/>
  <c r="AJ14" i="3"/>
  <c r="AJ15" i="3"/>
  <c r="AJ16" i="3"/>
  <c r="AK154" i="3"/>
  <c r="AJ154" i="3"/>
  <c r="AK153" i="3"/>
  <c r="AJ153" i="3"/>
  <c r="AK152" i="3"/>
  <c r="AJ152" i="3"/>
  <c r="AK151" i="3"/>
  <c r="AJ151" i="3"/>
  <c r="AK150" i="3"/>
  <c r="AJ150" i="3"/>
  <c r="AK149" i="3"/>
  <c r="AJ149" i="3"/>
  <c r="AK148" i="3"/>
  <c r="AJ148" i="3"/>
  <c r="AK147" i="3"/>
  <c r="AJ147" i="3"/>
  <c r="AK146" i="3"/>
  <c r="AJ146" i="3"/>
  <c r="AK145" i="3"/>
  <c r="AJ145" i="3"/>
  <c r="AK144" i="3"/>
  <c r="AJ144" i="3"/>
  <c r="AK125" i="3"/>
  <c r="AK124" i="3"/>
  <c r="AJ124" i="3"/>
  <c r="AK123" i="3"/>
  <c r="AJ123" i="3"/>
  <c r="AK122" i="3"/>
  <c r="AJ122" i="3"/>
  <c r="AK121" i="3"/>
  <c r="AJ121" i="3"/>
  <c r="AK120" i="3"/>
  <c r="AJ120" i="3"/>
  <c r="AK119" i="3"/>
  <c r="AJ119" i="3"/>
  <c r="AK118" i="3"/>
  <c r="AJ118" i="3"/>
  <c r="AK117" i="3"/>
  <c r="AJ117" i="3"/>
  <c r="AK116" i="3"/>
  <c r="AJ116" i="3"/>
  <c r="AK115" i="3"/>
  <c r="AJ115" i="3"/>
  <c r="AK114" i="3"/>
  <c r="AJ114" i="3"/>
  <c r="AK113" i="3"/>
  <c r="AJ113" i="3"/>
  <c r="AK112" i="3"/>
  <c r="AJ112" i="3"/>
  <c r="AK111" i="3"/>
  <c r="AJ111" i="3"/>
  <c r="AK110" i="3"/>
  <c r="AJ110" i="3"/>
  <c r="AK109" i="3"/>
  <c r="AJ109" i="3"/>
  <c r="AK108" i="3"/>
  <c r="AJ108" i="3"/>
  <c r="AK107" i="3"/>
  <c r="AJ107" i="3"/>
  <c r="AK106" i="3"/>
  <c r="AJ106" i="3"/>
  <c r="AK105" i="3"/>
  <c r="AJ105" i="3"/>
  <c r="AK104" i="3"/>
  <c r="AJ104" i="3"/>
  <c r="AK103" i="3"/>
  <c r="AJ103" i="3"/>
  <c r="AK102" i="3"/>
  <c r="AJ102" i="3"/>
  <c r="AK101" i="3"/>
  <c r="AJ101" i="3"/>
  <c r="AK100" i="3"/>
  <c r="AJ100" i="3"/>
  <c r="AK99" i="3"/>
  <c r="AJ99" i="3"/>
  <c r="AK98" i="3"/>
  <c r="AJ98" i="3"/>
  <c r="AK97" i="3"/>
  <c r="AJ97" i="3"/>
  <c r="AK96" i="3"/>
  <c r="AJ96" i="3"/>
  <c r="AK95" i="3"/>
  <c r="AJ95" i="3"/>
  <c r="AK94" i="3"/>
  <c r="AJ94" i="3"/>
  <c r="AK93" i="3"/>
  <c r="AJ93" i="3"/>
  <c r="AK92" i="3"/>
  <c r="AJ92" i="3"/>
  <c r="AK91" i="3"/>
  <c r="AJ91" i="3"/>
  <c r="AK90" i="3"/>
  <c r="AJ90" i="3"/>
  <c r="AK89" i="3"/>
  <c r="AJ89" i="3"/>
  <c r="AK88" i="3"/>
  <c r="AJ88" i="3"/>
  <c r="AK87" i="3"/>
  <c r="AJ87" i="3"/>
  <c r="AK86" i="3"/>
  <c r="AJ86" i="3"/>
  <c r="AK85" i="3"/>
  <c r="AJ85" i="3"/>
  <c r="AK84" i="3"/>
  <c r="AJ84" i="3"/>
  <c r="AK83" i="3"/>
  <c r="AJ83" i="3"/>
  <c r="AK82" i="3"/>
  <c r="AJ82" i="3"/>
  <c r="AK81" i="3"/>
  <c r="AJ81" i="3"/>
  <c r="AK80" i="3"/>
  <c r="AJ80" i="3"/>
  <c r="AK79" i="3"/>
  <c r="AJ79" i="3"/>
  <c r="AK78" i="3"/>
  <c r="AJ78" i="3"/>
  <c r="AK77" i="3"/>
  <c r="AJ77" i="3"/>
  <c r="AK76" i="3"/>
  <c r="AJ76" i="3"/>
  <c r="AK75" i="3"/>
  <c r="AK74" i="3"/>
  <c r="AJ74" i="3"/>
  <c r="AK73" i="3"/>
  <c r="AJ73" i="3"/>
  <c r="AK72" i="3"/>
  <c r="AJ72" i="3"/>
  <c r="AK71" i="3"/>
  <c r="AJ71" i="3"/>
  <c r="AK70" i="3"/>
  <c r="AJ70" i="3"/>
  <c r="AK69" i="3"/>
  <c r="AJ69" i="3"/>
  <c r="AK68" i="3"/>
  <c r="AJ68" i="3"/>
  <c r="AK67" i="3"/>
  <c r="AJ67" i="3"/>
  <c r="AK66" i="3"/>
  <c r="AJ66" i="3"/>
  <c r="AK65" i="3"/>
  <c r="AJ65" i="3"/>
  <c r="AK64" i="3"/>
  <c r="AJ64" i="3"/>
  <c r="AK63" i="3"/>
  <c r="AJ63" i="3"/>
  <c r="AK62" i="3"/>
  <c r="AJ62" i="3"/>
  <c r="AK61" i="3"/>
  <c r="AJ61" i="3"/>
  <c r="AK60" i="3"/>
  <c r="AJ60" i="3"/>
  <c r="AK59" i="3"/>
  <c r="AJ59" i="3"/>
  <c r="AK58" i="3"/>
  <c r="AJ58" i="3"/>
  <c r="AK57" i="3"/>
  <c r="AJ57" i="3"/>
  <c r="AK56" i="3"/>
  <c r="AJ56" i="3"/>
  <c r="AK55" i="3"/>
  <c r="AJ55" i="3"/>
  <c r="AK54" i="3"/>
  <c r="AJ54" i="3"/>
  <c r="AK53" i="3"/>
  <c r="AJ53" i="3"/>
  <c r="AK52" i="3"/>
  <c r="AJ52" i="3"/>
  <c r="AK51" i="3"/>
  <c r="AJ51" i="3"/>
  <c r="AK50" i="3"/>
  <c r="AJ50" i="3"/>
  <c r="AK49" i="3"/>
  <c r="AJ49" i="3"/>
  <c r="AK48" i="3"/>
  <c r="AJ48" i="3"/>
  <c r="AK47" i="3"/>
  <c r="AJ47" i="3"/>
  <c r="AK46" i="3"/>
  <c r="AJ46" i="3"/>
  <c r="AK45" i="3"/>
  <c r="AJ45" i="3"/>
  <c r="AK44" i="3"/>
  <c r="AJ44" i="3"/>
  <c r="AK43" i="3"/>
  <c r="AJ43" i="3"/>
  <c r="AK42" i="3"/>
  <c r="AK41" i="3"/>
  <c r="AJ41" i="3"/>
  <c r="AK40" i="3"/>
  <c r="AJ40" i="3"/>
  <c r="AK39" i="3"/>
  <c r="AJ39" i="3"/>
  <c r="AK38" i="3"/>
  <c r="AJ38" i="3"/>
  <c r="AK37" i="3"/>
  <c r="AJ37" i="3"/>
  <c r="AK36" i="3"/>
  <c r="AJ36" i="3"/>
  <c r="AK35" i="3"/>
  <c r="AK34" i="3"/>
  <c r="AK33" i="3"/>
  <c r="AK32" i="3"/>
  <c r="AK31" i="3"/>
  <c r="AK30" i="3"/>
  <c r="AK29" i="3"/>
  <c r="AK28" i="3"/>
  <c r="AK27" i="3"/>
  <c r="AK26" i="3"/>
  <c r="AK25" i="3"/>
  <c r="AK24" i="3"/>
  <c r="AK23" i="3"/>
  <c r="AK22" i="3"/>
  <c r="AK21" i="3"/>
  <c r="AK20" i="3"/>
  <c r="AK16" i="3"/>
  <c r="AK15" i="3"/>
  <c r="AK14" i="3"/>
  <c r="AK13" i="3"/>
  <c r="AK12" i="3"/>
  <c r="AK11" i="3"/>
  <c r="AM154" i="8"/>
  <c r="AL154" i="8"/>
  <c r="AK154" i="8"/>
  <c r="AJ154" i="8"/>
  <c r="AM153" i="8"/>
  <c r="AL153" i="8"/>
  <c r="AK153" i="8"/>
  <c r="AJ153" i="8"/>
  <c r="AM152" i="8"/>
  <c r="AL152" i="8"/>
  <c r="AK152" i="8"/>
  <c r="AJ152" i="8"/>
  <c r="AM151" i="8"/>
  <c r="AL151" i="8"/>
  <c r="AK151" i="8"/>
  <c r="AJ151" i="8"/>
  <c r="AM150" i="8"/>
  <c r="AL150" i="8"/>
  <c r="AK150" i="8"/>
  <c r="AJ150" i="8"/>
  <c r="AM149" i="8"/>
  <c r="AL149" i="8"/>
  <c r="AK149" i="8"/>
  <c r="AJ149" i="8"/>
  <c r="AM148" i="8"/>
  <c r="AL148" i="8"/>
  <c r="AK148" i="8"/>
  <c r="AJ148" i="8"/>
  <c r="AM147" i="8"/>
  <c r="AL147" i="8"/>
  <c r="AK147" i="8"/>
  <c r="AJ147" i="8"/>
  <c r="AM146" i="8"/>
  <c r="AL146" i="8"/>
  <c r="AK146" i="8"/>
  <c r="AJ146" i="8"/>
  <c r="AM145" i="8"/>
  <c r="AL145" i="8"/>
  <c r="AK145" i="8"/>
  <c r="AJ145" i="8"/>
  <c r="AM144" i="8"/>
  <c r="AL144" i="8"/>
  <c r="AK144" i="8"/>
  <c r="AJ144" i="8"/>
  <c r="AM143" i="8"/>
  <c r="AL143" i="8"/>
  <c r="AK143" i="8"/>
  <c r="AJ143" i="8"/>
  <c r="AM142" i="8"/>
  <c r="AL142" i="8"/>
  <c r="AK142" i="8"/>
  <c r="AJ142" i="8"/>
  <c r="AM141" i="8"/>
  <c r="AL141" i="8"/>
  <c r="AK141" i="8"/>
  <c r="AJ141" i="8"/>
  <c r="AM140" i="8"/>
  <c r="AL140" i="8"/>
  <c r="AK140" i="8"/>
  <c r="AJ140" i="8"/>
  <c r="AM139" i="8"/>
  <c r="AL139" i="8"/>
  <c r="AK139" i="8"/>
  <c r="AJ139" i="8"/>
  <c r="AK138" i="8"/>
  <c r="AJ138" i="8"/>
  <c r="AK137" i="8"/>
  <c r="AJ137" i="8"/>
  <c r="AK136" i="8"/>
  <c r="AJ136" i="8"/>
  <c r="AK135" i="8"/>
  <c r="AJ135" i="8"/>
  <c r="AK134" i="8"/>
  <c r="AJ134" i="8"/>
  <c r="AK133" i="8"/>
  <c r="AJ133" i="8"/>
  <c r="AK132" i="8"/>
  <c r="AJ132" i="8"/>
  <c r="AK131" i="8"/>
  <c r="AJ131" i="8"/>
  <c r="AK130" i="8"/>
  <c r="AJ130" i="8"/>
  <c r="AK129" i="8"/>
  <c r="AJ129" i="8"/>
  <c r="AK128" i="8"/>
  <c r="AJ128" i="8"/>
  <c r="AK127" i="8"/>
  <c r="AJ127" i="8"/>
  <c r="AK126" i="8"/>
  <c r="AJ126" i="8"/>
  <c r="AK125" i="8"/>
  <c r="AJ125" i="8"/>
  <c r="AM124" i="8"/>
  <c r="AL124" i="8"/>
  <c r="AK124" i="8"/>
  <c r="AJ124" i="8"/>
  <c r="AM123" i="8"/>
  <c r="AL123" i="8"/>
  <c r="AK123" i="8"/>
  <c r="AJ123" i="8"/>
  <c r="AM122" i="8"/>
  <c r="AL122" i="8"/>
  <c r="AK122" i="8"/>
  <c r="AJ122" i="8"/>
  <c r="AM121" i="8"/>
  <c r="AL121" i="8"/>
  <c r="AK121" i="8"/>
  <c r="AJ121" i="8"/>
  <c r="AM120" i="8"/>
  <c r="AL120" i="8"/>
  <c r="AK120" i="8"/>
  <c r="AJ120" i="8"/>
  <c r="AM119" i="8"/>
  <c r="AL119" i="8"/>
  <c r="AK119" i="8"/>
  <c r="AJ119" i="8"/>
  <c r="AM118" i="8"/>
  <c r="AL118" i="8"/>
  <c r="AK118" i="8"/>
  <c r="AJ118" i="8"/>
  <c r="AM117" i="8"/>
  <c r="AL117" i="8"/>
  <c r="AK117" i="8"/>
  <c r="AJ117" i="8"/>
  <c r="AM116" i="8"/>
  <c r="AL116" i="8"/>
  <c r="AK116" i="8"/>
  <c r="AJ116" i="8"/>
  <c r="AM115" i="8"/>
  <c r="AL115" i="8"/>
  <c r="AK115" i="8"/>
  <c r="AJ115" i="8"/>
  <c r="AM114" i="8"/>
  <c r="AL114" i="8"/>
  <c r="AK114" i="8"/>
  <c r="AJ114" i="8"/>
  <c r="AM113" i="8"/>
  <c r="AL113" i="8"/>
  <c r="AK113" i="8"/>
  <c r="AJ113" i="8"/>
  <c r="AM112" i="8"/>
  <c r="AL112" i="8"/>
  <c r="AK112" i="8"/>
  <c r="AJ112" i="8"/>
  <c r="AM111" i="8"/>
  <c r="AL111" i="8"/>
  <c r="AK111" i="8"/>
  <c r="AJ111" i="8"/>
  <c r="AM110" i="8"/>
  <c r="AL110" i="8"/>
  <c r="AK110" i="8"/>
  <c r="AJ110" i="8"/>
  <c r="AM109" i="8"/>
  <c r="AL109" i="8"/>
  <c r="AK109" i="8"/>
  <c r="AJ109" i="8"/>
  <c r="AM108" i="8"/>
  <c r="AL108" i="8"/>
  <c r="AK108" i="8"/>
  <c r="AJ108" i="8"/>
  <c r="AM107" i="8"/>
  <c r="AL107" i="8"/>
  <c r="AK107" i="8"/>
  <c r="AJ107" i="8"/>
  <c r="AM106" i="8"/>
  <c r="AL106" i="8"/>
  <c r="AK106" i="8"/>
  <c r="AJ106" i="8"/>
  <c r="AM105" i="8"/>
  <c r="AL105" i="8"/>
  <c r="AK105" i="8"/>
  <c r="AJ105" i="8"/>
  <c r="AM104" i="8"/>
  <c r="AL104" i="8"/>
  <c r="AK104" i="8"/>
  <c r="AJ104" i="8"/>
  <c r="AM103" i="8"/>
  <c r="AL103" i="8"/>
  <c r="AK103" i="8"/>
  <c r="AJ103" i="8"/>
  <c r="AM102" i="8"/>
  <c r="AL102" i="8"/>
  <c r="AK102" i="8"/>
  <c r="AJ102" i="8"/>
  <c r="AM101" i="8"/>
  <c r="AL101" i="8"/>
  <c r="AK101" i="8"/>
  <c r="AJ101" i="8"/>
  <c r="AK100" i="8"/>
  <c r="AJ100" i="8"/>
  <c r="AK99" i="8"/>
  <c r="AJ99" i="8"/>
  <c r="AK98" i="8"/>
  <c r="AJ98" i="8"/>
  <c r="AK97" i="8"/>
  <c r="AJ97" i="8"/>
  <c r="AK96" i="8"/>
  <c r="AJ96" i="8"/>
  <c r="AK95" i="8"/>
  <c r="AJ95" i="8"/>
  <c r="AK94" i="8"/>
  <c r="AJ94" i="8"/>
  <c r="AK93" i="8"/>
  <c r="AJ93" i="8"/>
  <c r="AK92" i="8"/>
  <c r="AJ92" i="8"/>
  <c r="AK91" i="8"/>
  <c r="AJ91" i="8"/>
  <c r="AK90" i="8"/>
  <c r="AJ90" i="8"/>
  <c r="AK89" i="8"/>
  <c r="AJ89" i="8"/>
  <c r="AK88" i="8"/>
  <c r="AJ88" i="8"/>
  <c r="AK87" i="8"/>
  <c r="AJ87" i="8"/>
  <c r="AK86" i="8"/>
  <c r="AJ86" i="8"/>
  <c r="AK85" i="8"/>
  <c r="AJ85" i="8"/>
  <c r="AK84" i="8"/>
  <c r="AJ84" i="8"/>
  <c r="AK83" i="8"/>
  <c r="AJ83" i="8"/>
  <c r="AK82" i="8"/>
  <c r="AJ82" i="8"/>
  <c r="AK81" i="8"/>
  <c r="AJ81" i="8"/>
  <c r="AK80" i="8"/>
  <c r="AJ80" i="8"/>
  <c r="AK79" i="8"/>
  <c r="AJ79" i="8"/>
  <c r="AK78" i="8"/>
  <c r="AJ78" i="8"/>
  <c r="AK77" i="8"/>
  <c r="AJ77" i="8"/>
  <c r="AK76" i="8"/>
  <c r="AJ76" i="8"/>
  <c r="AK75" i="8"/>
  <c r="AJ75" i="8"/>
  <c r="AK74" i="8"/>
  <c r="AJ74" i="8"/>
  <c r="AK73" i="8"/>
  <c r="AJ73" i="8"/>
  <c r="AK72" i="8"/>
  <c r="AJ72" i="8"/>
  <c r="AM71" i="8"/>
  <c r="AL71" i="8"/>
  <c r="AK71" i="8"/>
  <c r="AJ71" i="8"/>
  <c r="AM70" i="8"/>
  <c r="AL70" i="8"/>
  <c r="AK70" i="8"/>
  <c r="AJ70" i="8"/>
  <c r="AM69" i="8"/>
  <c r="AL69" i="8"/>
  <c r="AK69" i="8"/>
  <c r="AJ69" i="8"/>
  <c r="AM68" i="8"/>
  <c r="AL68" i="8"/>
  <c r="AK68" i="8"/>
  <c r="AJ68" i="8"/>
  <c r="AM67" i="8"/>
  <c r="AL67" i="8"/>
  <c r="AK67" i="8"/>
  <c r="AJ67" i="8"/>
  <c r="AM66" i="8"/>
  <c r="AL66" i="8"/>
  <c r="AK66" i="8"/>
  <c r="AJ66" i="8"/>
  <c r="AM65" i="8"/>
  <c r="AL65" i="8"/>
  <c r="AK65" i="8"/>
  <c r="AJ65" i="8"/>
  <c r="AM64" i="8"/>
  <c r="AL64" i="8"/>
  <c r="AK64" i="8"/>
  <c r="AJ64" i="8"/>
  <c r="AM63" i="8"/>
  <c r="AL63" i="8"/>
  <c r="AK63" i="8"/>
  <c r="AJ63" i="8"/>
  <c r="AM62" i="8"/>
  <c r="AL62" i="8"/>
  <c r="AK62" i="8"/>
  <c r="AJ62" i="8"/>
  <c r="AM61" i="8"/>
  <c r="AL61" i="8"/>
  <c r="AK61" i="8"/>
  <c r="AJ61" i="8"/>
  <c r="AM60" i="8"/>
  <c r="AL60" i="8"/>
  <c r="AK60" i="8"/>
  <c r="AJ60" i="8"/>
  <c r="AM59" i="8"/>
  <c r="AL59" i="8"/>
  <c r="AK59" i="8"/>
  <c r="AJ59" i="8"/>
  <c r="AM58" i="8"/>
  <c r="AL58" i="8"/>
  <c r="AK58" i="8"/>
  <c r="AJ58" i="8"/>
  <c r="AM57" i="8"/>
  <c r="AL57" i="8"/>
  <c r="AK57" i="8"/>
  <c r="AJ57" i="8"/>
  <c r="AM56" i="8"/>
  <c r="AL56" i="8"/>
  <c r="AK56" i="8"/>
  <c r="AJ56" i="8"/>
  <c r="AM55" i="8"/>
  <c r="AL55" i="8"/>
  <c r="AK55" i="8"/>
  <c r="AJ55" i="8"/>
  <c r="AM54" i="8"/>
  <c r="AL54" i="8"/>
  <c r="AK54" i="8"/>
  <c r="AJ54" i="8"/>
  <c r="AM53" i="8"/>
  <c r="AL53" i="8"/>
  <c r="AK53" i="8"/>
  <c r="AJ53" i="8"/>
  <c r="AK52" i="8"/>
  <c r="AJ52" i="8"/>
  <c r="AK51" i="8"/>
  <c r="AJ51" i="8"/>
  <c r="AK50" i="8"/>
  <c r="AJ50" i="8"/>
  <c r="AK49" i="8"/>
  <c r="AJ49" i="8"/>
  <c r="AK48" i="8"/>
  <c r="AJ48" i="8"/>
  <c r="AK47" i="8"/>
  <c r="AJ47" i="8"/>
  <c r="AM46" i="8"/>
  <c r="AL46" i="8"/>
  <c r="AK46" i="8"/>
  <c r="AJ46" i="8"/>
  <c r="AM45" i="8"/>
  <c r="AL45" i="8"/>
  <c r="AK45" i="8"/>
  <c r="AJ45" i="8"/>
  <c r="AM44" i="8"/>
  <c r="AL44" i="8"/>
  <c r="AK44" i="8"/>
  <c r="AJ44" i="8"/>
  <c r="AM43" i="8"/>
  <c r="AL43" i="8"/>
  <c r="AK43" i="8"/>
  <c r="AJ43" i="8"/>
  <c r="AM42" i="8"/>
  <c r="AL42" i="8"/>
  <c r="AK42" i="8"/>
  <c r="AJ42" i="8"/>
  <c r="AM41" i="8"/>
  <c r="AL41" i="8"/>
  <c r="AK41" i="8"/>
  <c r="AJ41" i="8"/>
  <c r="AM40" i="8"/>
  <c r="AL40" i="8"/>
  <c r="AK40" i="8"/>
  <c r="AJ40" i="8"/>
  <c r="AM39" i="8"/>
  <c r="AL39" i="8"/>
  <c r="AK39" i="8"/>
  <c r="AJ39" i="8"/>
  <c r="AM38" i="8"/>
  <c r="AL38" i="8"/>
  <c r="AK38" i="8"/>
  <c r="AJ38" i="8"/>
  <c r="AM37" i="8"/>
  <c r="AL37" i="8"/>
  <c r="AK37" i="8"/>
  <c r="AJ37" i="8"/>
  <c r="AM36" i="8"/>
  <c r="AL36" i="8"/>
  <c r="AK36" i="8"/>
  <c r="AJ36" i="8"/>
  <c r="AM35" i="8"/>
  <c r="AL35" i="8"/>
  <c r="AK35" i="8"/>
  <c r="AJ35" i="8"/>
  <c r="AK34" i="8"/>
  <c r="AK33" i="8"/>
  <c r="AK32" i="8"/>
  <c r="AK31" i="8"/>
  <c r="AK30" i="8"/>
  <c r="AK29" i="8"/>
  <c r="AK28" i="8"/>
  <c r="AK27" i="8"/>
  <c r="AK26" i="8"/>
  <c r="AK25" i="8"/>
  <c r="AK24" i="8"/>
  <c r="AK20" i="8"/>
  <c r="AM16" i="8"/>
  <c r="AL16" i="8"/>
  <c r="AK16" i="8"/>
  <c r="AM15" i="8"/>
  <c r="AL15" i="8"/>
  <c r="AK15" i="8"/>
  <c r="AM14" i="8"/>
  <c r="AL14" i="8"/>
  <c r="AK14" i="8"/>
  <c r="AM13" i="8"/>
  <c r="AL13" i="8"/>
  <c r="AK13" i="8"/>
  <c r="AM12" i="8"/>
  <c r="AL12" i="8"/>
  <c r="AK12" i="8"/>
  <c r="AM11" i="8"/>
  <c r="AL11" i="8"/>
  <c r="AK11" i="8"/>
  <c r="AM10" i="8"/>
  <c r="AL10" i="8"/>
  <c r="AK10" i="8"/>
  <c r="AM9" i="8"/>
  <c r="AL9" i="8"/>
  <c r="AK9" i="8"/>
  <c r="AM8" i="8"/>
  <c r="AL8" i="8"/>
  <c r="AK8" i="8"/>
  <c r="AM7" i="8"/>
  <c r="AL7" i="8"/>
  <c r="AK7" i="8"/>
  <c r="AM6" i="8"/>
  <c r="AL6" i="8"/>
  <c r="AK6" i="8"/>
  <c r="AM5" i="8"/>
  <c r="AL5" i="8"/>
  <c r="AK5" i="8"/>
  <c r="AT66" i="4"/>
  <c r="AT67" i="4"/>
  <c r="AT68" i="4"/>
  <c r="AT69" i="4"/>
  <c r="AT70" i="4"/>
  <c r="AT71" i="4"/>
  <c r="AT72" i="4"/>
  <c r="AT73" i="4"/>
  <c r="AT74" i="4"/>
  <c r="AT75" i="4"/>
  <c r="AT76" i="4"/>
  <c r="AT77" i="4"/>
  <c r="AT78" i="4"/>
  <c r="AT79" i="4"/>
  <c r="AT80" i="4"/>
  <c r="AT81" i="4"/>
  <c r="AT82" i="4"/>
  <c r="AT83" i="4"/>
  <c r="AT84" i="4"/>
  <c r="AT85" i="4"/>
  <c r="AT86" i="4"/>
  <c r="AT87" i="4"/>
  <c r="AT88" i="4"/>
  <c r="AT89" i="4"/>
  <c r="AT90" i="4"/>
  <c r="AT91" i="4"/>
  <c r="AT92" i="4"/>
  <c r="AT93" i="4"/>
  <c r="AT94" i="4"/>
  <c r="AT96" i="4"/>
  <c r="AT97" i="4"/>
  <c r="AT98" i="4"/>
  <c r="AT99" i="4"/>
  <c r="AT100" i="4"/>
  <c r="AT101" i="4"/>
  <c r="AT102" i="4"/>
  <c r="AT103" i="4"/>
  <c r="AT104" i="4"/>
  <c r="AT105" i="4"/>
  <c r="AT106" i="4"/>
  <c r="AT107" i="4"/>
  <c r="AT108" i="4"/>
  <c r="AT109" i="4"/>
  <c r="AT110" i="4"/>
  <c r="AT111" i="4"/>
  <c r="AT112" i="4"/>
  <c r="AT113" i="4"/>
  <c r="AT114" i="4"/>
  <c r="AT115" i="4"/>
  <c r="AT116" i="4"/>
  <c r="AT117" i="4"/>
  <c r="AT118" i="4"/>
  <c r="AT119" i="4"/>
  <c r="AT120" i="4"/>
  <c r="AT121" i="4"/>
  <c r="AT122" i="4"/>
  <c r="AT123" i="4"/>
  <c r="AT124" i="4"/>
  <c r="AT126" i="4"/>
  <c r="AT127" i="4"/>
  <c r="AT128" i="4"/>
  <c r="AT129" i="4"/>
  <c r="AT130" i="4"/>
  <c r="AT131" i="4"/>
  <c r="AT132" i="4"/>
  <c r="AT133" i="4"/>
  <c r="AT134" i="4"/>
  <c r="AT135" i="4"/>
  <c r="AT136" i="4"/>
  <c r="AT137" i="4"/>
  <c r="AT138" i="4"/>
  <c r="AT139" i="4"/>
  <c r="AT140" i="4"/>
  <c r="AT141" i="4"/>
  <c r="AT142" i="4"/>
  <c r="AT143" i="4"/>
  <c r="AT144" i="4"/>
  <c r="AT145" i="4"/>
  <c r="AT146" i="4"/>
  <c r="AT147" i="4"/>
  <c r="AT148" i="4"/>
  <c r="AT149" i="4"/>
  <c r="AT150" i="4"/>
  <c r="AT151" i="4"/>
  <c r="AT152" i="4"/>
  <c r="AT153" i="4"/>
  <c r="AT154" i="4"/>
  <c r="AT155" i="4"/>
  <c r="BH127" i="4"/>
  <c r="BH128" i="4"/>
  <c r="BH129" i="4"/>
  <c r="BH130" i="4"/>
  <c r="BH131" i="4"/>
  <c r="BH132" i="4"/>
  <c r="BH133" i="4"/>
  <c r="BH134" i="4"/>
  <c r="BH135" i="4"/>
  <c r="BH136" i="4"/>
  <c r="BH137" i="4"/>
  <c r="BH138" i="4"/>
  <c r="BH139" i="4"/>
  <c r="BH37" i="4"/>
  <c r="BH38" i="4"/>
  <c r="BH39" i="4"/>
  <c r="BH40" i="4"/>
  <c r="BH41" i="4"/>
  <c r="BH42" i="4"/>
  <c r="BH43" i="4"/>
  <c r="BH44" i="4"/>
  <c r="BH45" i="4"/>
  <c r="BH46" i="4"/>
  <c r="BH47" i="4"/>
  <c r="BH48" i="4"/>
  <c r="BH49" i="4"/>
  <c r="BH50" i="4"/>
  <c r="BH51" i="4"/>
  <c r="BH36" i="4"/>
  <c r="AU66" i="4"/>
  <c r="AU67" i="4"/>
  <c r="AU68" i="4"/>
  <c r="AU69" i="4"/>
  <c r="AU70" i="4"/>
  <c r="AU71" i="4"/>
  <c r="AU72" i="4"/>
  <c r="AU73" i="4"/>
  <c r="AU74" i="4"/>
  <c r="AU75" i="4"/>
  <c r="AU76" i="4"/>
  <c r="AU77" i="4"/>
  <c r="AU78" i="4"/>
  <c r="AU79" i="4"/>
  <c r="AU80" i="4"/>
  <c r="AU81" i="4"/>
  <c r="AU82" i="4"/>
  <c r="AU83" i="4"/>
  <c r="AU84" i="4"/>
  <c r="AU85" i="4"/>
  <c r="AU86" i="4"/>
  <c r="AU87" i="4"/>
  <c r="AU88" i="4"/>
  <c r="AU89" i="4"/>
  <c r="AU90" i="4"/>
  <c r="AU91" i="4"/>
  <c r="AU92" i="4"/>
  <c r="AU93" i="4"/>
  <c r="AU94" i="4"/>
  <c r="AU96" i="4"/>
  <c r="AU97" i="4"/>
  <c r="AU98" i="4"/>
  <c r="AU99" i="4"/>
  <c r="AU100" i="4"/>
  <c r="AU101" i="4"/>
  <c r="AU102" i="4"/>
  <c r="AU103" i="4"/>
  <c r="AU104" i="4"/>
  <c r="AU105" i="4"/>
  <c r="AU106" i="4"/>
  <c r="AU107" i="4"/>
  <c r="AU108" i="4"/>
  <c r="AU109" i="4"/>
  <c r="AU110" i="4"/>
  <c r="AU111" i="4"/>
  <c r="AU112" i="4"/>
  <c r="AU113" i="4"/>
  <c r="AU114" i="4"/>
  <c r="AU115" i="4"/>
  <c r="AU116" i="4"/>
  <c r="AU117" i="4"/>
  <c r="AU118" i="4"/>
  <c r="AU119" i="4"/>
  <c r="AU120" i="4"/>
  <c r="AU121" i="4"/>
  <c r="AU122" i="4"/>
  <c r="AU123" i="4"/>
  <c r="AU124" i="4"/>
  <c r="AU126" i="4"/>
  <c r="AU127" i="4"/>
  <c r="AU128" i="4"/>
  <c r="AU129" i="4"/>
  <c r="AU130" i="4"/>
  <c r="AU131" i="4"/>
  <c r="AU132" i="4"/>
  <c r="AU133" i="4"/>
  <c r="AU134" i="4"/>
  <c r="AU135" i="4"/>
  <c r="AU136" i="4"/>
  <c r="AU137" i="4"/>
  <c r="AU138" i="4"/>
  <c r="AU139" i="4"/>
  <c r="AU140" i="4"/>
  <c r="AU141" i="4"/>
  <c r="AU142" i="4"/>
  <c r="AU143" i="4"/>
  <c r="AU144" i="4"/>
  <c r="AU145" i="4"/>
  <c r="AU146" i="4"/>
  <c r="AU147" i="4"/>
  <c r="AU148" i="4"/>
  <c r="AU149" i="4"/>
  <c r="AU150" i="4"/>
  <c r="AU151" i="4"/>
  <c r="AU152" i="4"/>
  <c r="AU153" i="4"/>
  <c r="AU154" i="4"/>
  <c r="AU155" i="4"/>
  <c r="AU36" i="4"/>
  <c r="AU37" i="4"/>
  <c r="AU38" i="4"/>
  <c r="AU39" i="4"/>
  <c r="AU40" i="4"/>
  <c r="AU41" i="4"/>
  <c r="AU42" i="4"/>
  <c r="AU43" i="4"/>
  <c r="AU44" i="4"/>
  <c r="AU45" i="4"/>
  <c r="AU46" i="4"/>
  <c r="AU47" i="4"/>
  <c r="AU48" i="4"/>
  <c r="AU49" i="4"/>
  <c r="AU50" i="4"/>
  <c r="AU51" i="4"/>
  <c r="AU52" i="4"/>
  <c r="AU53" i="4"/>
  <c r="AU54" i="4"/>
  <c r="AU55" i="4"/>
  <c r="AU56" i="4"/>
  <c r="AU57" i="4"/>
  <c r="AU58" i="4"/>
  <c r="AU59" i="4"/>
  <c r="AU60" i="4"/>
  <c r="AU61" i="4"/>
  <c r="AU62" i="4"/>
  <c r="AU63" i="4"/>
  <c r="AU64" i="4"/>
  <c r="BH126" i="4"/>
  <c r="BH96" i="4"/>
  <c r="BH75" i="4"/>
  <c r="BH74" i="4"/>
  <c r="BH73" i="4"/>
  <c r="BH72" i="4"/>
  <c r="BH71" i="4"/>
  <c r="BH70" i="4"/>
  <c r="BH69" i="4"/>
  <c r="BH68" i="4"/>
  <c r="BH67" i="4"/>
  <c r="BH66" i="4"/>
  <c r="BH24" i="4"/>
  <c r="BH23" i="4"/>
  <c r="BH22" i="4"/>
  <c r="BH21" i="4"/>
  <c r="BH20" i="4"/>
  <c r="BH19" i="4"/>
  <c r="BH18" i="4"/>
  <c r="BH17" i="4"/>
  <c r="BH16" i="4"/>
  <c r="BH15" i="4"/>
  <c r="BH14" i="4"/>
  <c r="BH13" i="4"/>
  <c r="BH12" i="4"/>
  <c r="BH11" i="4"/>
  <c r="BH10" i="4"/>
  <c r="BH9" i="4"/>
  <c r="BH8" i="4"/>
  <c r="BH7" i="4"/>
  <c r="BH6" i="4"/>
  <c r="CK22" i="12"/>
  <c r="CK23" i="12"/>
  <c r="CK24" i="12"/>
  <c r="CK25" i="12"/>
  <c r="CK26" i="12"/>
  <c r="CK27" i="12"/>
  <c r="CK28" i="12"/>
  <c r="CK29" i="12"/>
  <c r="CK30" i="12"/>
  <c r="CK31" i="12"/>
  <c r="CK32" i="12"/>
  <c r="CK66" i="12"/>
  <c r="CK141" i="12"/>
  <c r="CK140" i="12"/>
  <c r="CK139" i="12"/>
  <c r="CK138" i="12"/>
  <c r="CK137" i="12"/>
  <c r="CK136" i="12"/>
  <c r="CK135" i="12"/>
  <c r="CK134" i="12"/>
  <c r="CK133" i="12"/>
  <c r="CK132" i="12"/>
  <c r="CK131" i="12"/>
  <c r="CK130" i="12"/>
  <c r="CK129" i="12"/>
  <c r="CK128" i="12"/>
  <c r="CK127" i="12"/>
  <c r="CK126" i="12"/>
  <c r="CK106" i="12"/>
  <c r="CK105" i="12"/>
  <c r="CK104" i="12"/>
  <c r="CK103" i="12"/>
  <c r="CK102" i="12"/>
  <c r="CK101" i="12"/>
  <c r="CK100" i="12"/>
  <c r="CK99" i="12"/>
  <c r="CK98" i="12"/>
  <c r="CK97" i="12"/>
  <c r="CK96" i="12"/>
  <c r="CK44" i="12"/>
  <c r="CK43" i="12"/>
  <c r="CK42" i="12"/>
  <c r="CK41" i="12"/>
  <c r="CK40" i="12"/>
  <c r="CK39" i="12"/>
  <c r="CK38" i="12"/>
  <c r="CK37" i="12"/>
  <c r="CK36" i="12"/>
  <c r="BA6" i="12"/>
  <c r="BA7" i="12"/>
  <c r="BA8" i="12"/>
  <c r="BA9" i="12"/>
  <c r="BA10" i="12"/>
  <c r="BA11" i="12"/>
  <c r="BA12" i="12"/>
  <c r="BA13" i="12"/>
  <c r="BA14" i="12"/>
  <c r="BA15" i="12"/>
  <c r="BA16" i="12"/>
  <c r="BA17" i="12"/>
  <c r="BA18" i="12"/>
  <c r="BA19" i="12"/>
  <c r="BA20" i="12"/>
  <c r="BA21" i="12"/>
  <c r="BA22" i="12"/>
  <c r="BA23" i="12"/>
  <c r="BA24" i="12"/>
  <c r="BA25" i="12"/>
  <c r="BA26" i="12"/>
  <c r="BA27" i="12"/>
  <c r="BA28" i="12"/>
  <c r="BA29" i="12"/>
  <c r="BA30" i="12"/>
  <c r="BA31" i="12"/>
  <c r="BA32" i="12"/>
  <c r="BA33" i="12"/>
  <c r="BA34" i="12"/>
  <c r="BA35" i="12"/>
  <c r="BA36" i="12"/>
  <c r="BA37" i="12"/>
  <c r="BA38" i="12"/>
  <c r="BA39" i="12"/>
  <c r="BA40" i="12"/>
  <c r="BA41" i="12"/>
  <c r="BA42" i="12"/>
  <c r="BA43" i="12"/>
  <c r="BA44" i="12"/>
  <c r="BA45" i="12"/>
  <c r="BA46" i="12"/>
  <c r="BA47" i="12"/>
  <c r="BA48" i="12"/>
  <c r="BA49" i="12"/>
  <c r="BA50" i="12"/>
  <c r="BA51" i="12"/>
  <c r="BA52" i="12"/>
  <c r="BA53" i="12"/>
  <c r="BA54" i="12"/>
  <c r="BA55" i="12"/>
  <c r="BA56" i="12"/>
  <c r="BA57" i="12"/>
  <c r="BA58" i="12"/>
  <c r="BA59" i="12"/>
  <c r="BA60" i="12"/>
  <c r="BA61" i="12"/>
  <c r="BA62" i="12"/>
  <c r="BA63" i="12"/>
  <c r="BA64" i="12"/>
  <c r="BA65" i="12"/>
  <c r="BA66" i="12"/>
  <c r="BA67" i="12"/>
  <c r="BA68" i="12"/>
  <c r="BA69" i="12"/>
  <c r="BA70" i="12"/>
  <c r="BA71" i="12"/>
  <c r="BA72" i="12"/>
  <c r="BA73" i="12"/>
  <c r="BA74" i="12"/>
  <c r="BA75" i="12"/>
  <c r="BA76" i="12"/>
  <c r="BA77" i="12"/>
  <c r="BA78" i="12"/>
  <c r="BA79" i="12"/>
  <c r="BA80" i="12"/>
  <c r="BA81" i="12"/>
  <c r="BA82" i="12"/>
  <c r="BA83" i="12"/>
  <c r="BA84" i="12"/>
  <c r="BA85" i="12"/>
  <c r="BA86" i="12"/>
  <c r="BA87" i="12"/>
  <c r="BA88" i="12"/>
  <c r="BA89" i="12"/>
  <c r="BA90" i="12"/>
  <c r="BA91" i="12"/>
  <c r="BA92" i="12"/>
  <c r="BA93" i="12"/>
  <c r="BA94" i="12"/>
  <c r="BA95" i="12"/>
  <c r="BA96" i="12"/>
  <c r="BA97" i="12"/>
  <c r="BA98" i="12"/>
  <c r="BA99" i="12"/>
  <c r="BA100" i="12"/>
  <c r="BA101" i="12"/>
  <c r="BA102" i="12"/>
  <c r="BA103" i="12"/>
  <c r="BA104" i="12"/>
  <c r="BA105" i="12"/>
  <c r="BA106" i="12"/>
  <c r="BA107" i="12"/>
  <c r="BA108" i="12"/>
  <c r="BA109" i="12"/>
  <c r="BA110" i="12"/>
  <c r="BA111" i="12"/>
  <c r="BA112" i="12"/>
  <c r="BA113" i="12"/>
  <c r="BA114" i="12"/>
  <c r="BA115" i="12"/>
  <c r="AZ7" i="12"/>
  <c r="AZ8" i="12"/>
  <c r="AZ9" i="12"/>
  <c r="AZ10" i="12"/>
  <c r="AZ11" i="12"/>
  <c r="AZ12" i="12"/>
  <c r="AZ13" i="12"/>
  <c r="AZ14" i="12"/>
  <c r="AZ15" i="12"/>
  <c r="AZ16" i="12"/>
  <c r="AZ17" i="12"/>
  <c r="AZ18" i="12"/>
  <c r="AZ19" i="12"/>
  <c r="AZ20" i="12"/>
  <c r="AZ21" i="12"/>
  <c r="AZ22" i="12"/>
  <c r="AZ23" i="12"/>
  <c r="AZ24" i="12"/>
  <c r="AZ25" i="12"/>
  <c r="AZ26" i="12"/>
  <c r="AZ27" i="12"/>
  <c r="AZ28" i="12"/>
  <c r="AZ29" i="12"/>
  <c r="AZ30" i="12"/>
  <c r="AZ31" i="12"/>
  <c r="AZ32" i="12"/>
  <c r="AZ33" i="12"/>
  <c r="AZ34" i="12"/>
  <c r="AZ36" i="12"/>
  <c r="AZ37" i="12"/>
  <c r="AZ38" i="12"/>
  <c r="AZ39" i="12"/>
  <c r="AZ40" i="12"/>
  <c r="AZ41" i="12"/>
  <c r="AZ42" i="12"/>
  <c r="AZ43" i="12"/>
  <c r="AZ44" i="12"/>
  <c r="AZ45" i="12"/>
  <c r="AZ46" i="12"/>
  <c r="AZ47" i="12"/>
  <c r="AZ48" i="12"/>
  <c r="AZ49" i="12"/>
  <c r="AZ50" i="12"/>
  <c r="AZ51" i="12"/>
  <c r="AZ52" i="12"/>
  <c r="AZ53" i="12"/>
  <c r="AZ54" i="12"/>
  <c r="AZ55" i="12"/>
  <c r="AZ56" i="12"/>
  <c r="AZ57" i="12"/>
  <c r="AZ58" i="12"/>
  <c r="AZ59" i="12"/>
  <c r="AZ60" i="12"/>
  <c r="AZ61" i="12"/>
  <c r="AZ62" i="12"/>
  <c r="AZ63" i="12"/>
  <c r="AZ64" i="12"/>
  <c r="AZ66" i="12"/>
  <c r="AZ67" i="12"/>
  <c r="AZ68" i="12"/>
  <c r="AZ69" i="12"/>
  <c r="AZ70" i="12"/>
  <c r="AZ71" i="12"/>
  <c r="AZ72" i="12"/>
  <c r="AZ73" i="12"/>
  <c r="AZ74" i="12"/>
  <c r="AZ75" i="12"/>
  <c r="AZ76" i="12"/>
  <c r="AZ77" i="12"/>
  <c r="AZ78" i="12"/>
  <c r="AZ79" i="12"/>
  <c r="AZ80" i="12"/>
  <c r="AZ81" i="12"/>
  <c r="AZ82" i="12"/>
  <c r="AZ83" i="12"/>
  <c r="AZ84" i="12"/>
  <c r="AZ85" i="12"/>
  <c r="AZ86" i="12"/>
  <c r="AZ87" i="12"/>
  <c r="AZ88" i="12"/>
  <c r="AZ89" i="12"/>
  <c r="AZ90" i="12"/>
  <c r="AZ91" i="12"/>
  <c r="AZ92" i="12"/>
  <c r="AZ93" i="12"/>
  <c r="AZ94" i="12"/>
  <c r="AZ96" i="12"/>
  <c r="AZ97" i="12"/>
  <c r="AZ98" i="12"/>
  <c r="AZ99" i="12"/>
  <c r="AZ100" i="12"/>
  <c r="AZ101" i="12"/>
  <c r="AZ102" i="12"/>
  <c r="AZ103" i="12"/>
  <c r="AZ104" i="12"/>
  <c r="AZ105" i="12"/>
  <c r="AZ106" i="12"/>
  <c r="AZ107" i="12"/>
  <c r="AZ108" i="12"/>
  <c r="AZ109" i="12"/>
  <c r="AZ110" i="12"/>
  <c r="AZ111" i="12"/>
  <c r="AZ112" i="12"/>
  <c r="AZ113" i="12"/>
  <c r="AZ114" i="12"/>
  <c r="AZ115" i="12"/>
  <c r="AZ116" i="12"/>
  <c r="AZ117" i="12"/>
  <c r="AZ118" i="12"/>
  <c r="AZ119" i="12"/>
  <c r="AZ120" i="12"/>
  <c r="AZ121" i="12"/>
  <c r="AZ122" i="12"/>
  <c r="AZ123" i="12"/>
  <c r="AZ124" i="12"/>
  <c r="AZ126" i="12"/>
  <c r="AZ127" i="12"/>
  <c r="AZ128" i="12"/>
  <c r="AZ129" i="12"/>
  <c r="AZ130" i="12"/>
  <c r="AZ131" i="12"/>
  <c r="AZ132" i="12"/>
  <c r="AZ133" i="12"/>
  <c r="AZ134" i="12"/>
  <c r="AZ135" i="12"/>
  <c r="AZ136" i="12"/>
  <c r="AZ137" i="12"/>
  <c r="AZ138" i="12"/>
  <c r="AZ139" i="12"/>
  <c r="AZ140" i="12"/>
  <c r="AZ141" i="12"/>
  <c r="AZ142" i="12"/>
  <c r="AZ143" i="12"/>
  <c r="AZ144" i="12"/>
  <c r="AZ145" i="12"/>
  <c r="AZ146" i="12"/>
  <c r="AZ147" i="12"/>
  <c r="AZ148" i="12"/>
  <c r="AZ149" i="12"/>
  <c r="AZ150" i="12"/>
  <c r="AZ151" i="12"/>
  <c r="AZ152" i="12"/>
  <c r="AZ153" i="12"/>
  <c r="AZ154" i="12"/>
  <c r="AZ155" i="12"/>
  <c r="CK7" i="12"/>
  <c r="CK8" i="12"/>
  <c r="CK9" i="12"/>
  <c r="CK10" i="12"/>
  <c r="CK11" i="12"/>
  <c r="CK12" i="12"/>
  <c r="CK13" i="12"/>
  <c r="CK14" i="12"/>
  <c r="CK15" i="12"/>
  <c r="CK16" i="12"/>
  <c r="CK17" i="12"/>
  <c r="CK18" i="12"/>
  <c r="CK19" i="12"/>
  <c r="CK20" i="12"/>
  <c r="CK21" i="12"/>
  <c r="AK111" i="33"/>
  <c r="AK103" i="33"/>
  <c r="AK21" i="33"/>
  <c r="AK58" i="33"/>
  <c r="AK69" i="33"/>
  <c r="AK84" i="33"/>
  <c r="AK85" i="33"/>
  <c r="AK96" i="33"/>
  <c r="AK115" i="33"/>
  <c r="AK123" i="33"/>
  <c r="AK127" i="33"/>
  <c r="AK135" i="33"/>
  <c r="AK148" i="33"/>
  <c r="AK78" i="34"/>
  <c r="AK119" i="34"/>
  <c r="AK156" i="34"/>
  <c r="AK83" i="33"/>
  <c r="AK118" i="33"/>
  <c r="AK124" i="33"/>
  <c r="AK128" i="33"/>
  <c r="AK132" i="33"/>
  <c r="AK137" i="33"/>
  <c r="AK141" i="33"/>
  <c r="AK145" i="33"/>
  <c r="AK77" i="34"/>
  <c r="AK155" i="34"/>
  <c r="AK158" i="33"/>
  <c r="AK86" i="34"/>
  <c r="AK107" i="34"/>
  <c r="AK115" i="34"/>
  <c r="AK131" i="34"/>
  <c r="AK135" i="34"/>
  <c r="AK29" i="34"/>
  <c r="AK38" i="34"/>
  <c r="AK42" i="34"/>
  <c r="AK59" i="34"/>
  <c r="AK80" i="34"/>
  <c r="AK113" i="34"/>
  <c r="AK145" i="34"/>
  <c r="AK49" i="34"/>
  <c r="AK53" i="34"/>
  <c r="AK61" i="34"/>
  <c r="AK111" i="34"/>
  <c r="AK127" i="34"/>
  <c r="AK140" i="34"/>
  <c r="AK152" i="34"/>
  <c r="AK34" i="34"/>
  <c r="AK157" i="33"/>
  <c r="AK14" i="33"/>
  <c r="AK18" i="33"/>
  <c r="AK67" i="33"/>
  <c r="AK40" i="33"/>
  <c r="AK142" i="33"/>
  <c r="AK143" i="33"/>
  <c r="AK146" i="33"/>
  <c r="AK151" i="33"/>
  <c r="AK154" i="33"/>
  <c r="AK153" i="33"/>
  <c r="AK98" i="33"/>
  <c r="AK19" i="33"/>
  <c r="AK56" i="33"/>
  <c r="AK60" i="33"/>
  <c r="AK61" i="33"/>
  <c r="AK62" i="33"/>
  <c r="AK68" i="33"/>
  <c r="AK80" i="33"/>
  <c r="AK92" i="33"/>
  <c r="AK93" i="33"/>
  <c r="AK100" i="33"/>
  <c r="AK107" i="33"/>
  <c r="AK159" i="33"/>
  <c r="AK162" i="33"/>
  <c r="AK166" i="33"/>
  <c r="AK164" i="33"/>
  <c r="AK55" i="34"/>
  <c r="AK57" i="33"/>
  <c r="AK152" i="33"/>
  <c r="AK148" i="34"/>
  <c r="AK150" i="33"/>
  <c r="AK144" i="33"/>
  <c r="AK51" i="34"/>
  <c r="AK53" i="33"/>
  <c r="AK50" i="34"/>
  <c r="AK20" i="33"/>
  <c r="AK84" i="34"/>
  <c r="AK82" i="34"/>
  <c r="AK45" i="34"/>
  <c r="AK49" i="33"/>
  <c r="AK13" i="34"/>
  <c r="AK17" i="33"/>
  <c r="AK16" i="33"/>
  <c r="AK15" i="33"/>
  <c r="AK14" i="34"/>
  <c r="AK15" i="34"/>
  <c r="AK16" i="34"/>
  <c r="AK20" i="34"/>
  <c r="AK24" i="34"/>
  <c r="AK28" i="34"/>
  <c r="AK130" i="34"/>
  <c r="AK26" i="34"/>
  <c r="AK23" i="34"/>
  <c r="AK31" i="34"/>
  <c r="AK33" i="34"/>
  <c r="AK37" i="34"/>
  <c r="AK39" i="34"/>
  <c r="AK41" i="34"/>
  <c r="AK46" i="34"/>
  <c r="AK48" i="34"/>
  <c r="AK52" i="34"/>
  <c r="AK54" i="34"/>
  <c r="AK56" i="34"/>
  <c r="AK58" i="34"/>
  <c r="AK68" i="34"/>
  <c r="AK72" i="34"/>
  <c r="AK79" i="34"/>
  <c r="AK81" i="34"/>
  <c r="AK83" i="34"/>
  <c r="AK85" i="34"/>
  <c r="AK89" i="34"/>
  <c r="AK93" i="34"/>
  <c r="AK97" i="34"/>
  <c r="AK101" i="34"/>
  <c r="AK106" i="34"/>
  <c r="AK118" i="34"/>
  <c r="AK122" i="34"/>
  <c r="AK126" i="34"/>
  <c r="AK134" i="34"/>
  <c r="AK137" i="34"/>
  <c r="AK139" i="34"/>
  <c r="AK141" i="34"/>
  <c r="AK147" i="34"/>
  <c r="AK151" i="34"/>
  <c r="AK153" i="34"/>
  <c r="AK157" i="34"/>
  <c r="AK159" i="34"/>
  <c r="AK163" i="34"/>
  <c r="AK30" i="34"/>
  <c r="AK47" i="34"/>
  <c r="AK63" i="34"/>
  <c r="AK67" i="34"/>
  <c r="AK71" i="34"/>
  <c r="AK88" i="34"/>
  <c r="AK92" i="34"/>
  <c r="AK104" i="34"/>
  <c r="AK117" i="34"/>
  <c r="AK121" i="34"/>
  <c r="AK125" i="34"/>
  <c r="AK133" i="34"/>
  <c r="AK161" i="33"/>
  <c r="AK108" i="33"/>
  <c r="AK112" i="33"/>
  <c r="AK116" i="33"/>
  <c r="AK77" i="33"/>
  <c r="AK79" i="33"/>
  <c r="AK81" i="33"/>
  <c r="AK82" i="33"/>
  <c r="AK86" i="33"/>
  <c r="AK87" i="33"/>
  <c r="AK89" i="33"/>
  <c r="AK94" i="33"/>
  <c r="AK95" i="33"/>
  <c r="AK97" i="33"/>
  <c r="AK101" i="33"/>
  <c r="AK102" i="33"/>
  <c r="AK44" i="33"/>
  <c r="AK46" i="33"/>
  <c r="AK48" i="33"/>
  <c r="AK50" i="33"/>
  <c r="AK52" i="33"/>
  <c r="AK54" i="33"/>
  <c r="AK65" i="33"/>
  <c r="AK66" i="33"/>
  <c r="AK71" i="33"/>
  <c r="AK73" i="33"/>
  <c r="AK55" i="33"/>
  <c r="AK63" i="33"/>
  <c r="AK33" i="33"/>
  <c r="AK41" i="33"/>
  <c r="BA116" i="12"/>
  <c r="BA117" i="12"/>
  <c r="BA118" i="12"/>
  <c r="BA119" i="12"/>
  <c r="BA120" i="12"/>
  <c r="BA121" i="12"/>
  <c r="BA122" i="12"/>
  <c r="BA123" i="12"/>
  <c r="BA124" i="12"/>
  <c r="BA125" i="12"/>
  <c r="BA126" i="12"/>
  <c r="BA127" i="12"/>
  <c r="BA128" i="12"/>
  <c r="BA129" i="12"/>
  <c r="BA130" i="12"/>
  <c r="BA131" i="12"/>
  <c r="BA132" i="12"/>
  <c r="BA133" i="12"/>
  <c r="BA134" i="12"/>
  <c r="BA135" i="12"/>
  <c r="BA136" i="12"/>
  <c r="BA137" i="12"/>
  <c r="BA138" i="12"/>
  <c r="BA139" i="12"/>
  <c r="BA140" i="12"/>
  <c r="BA141" i="12"/>
  <c r="BA142" i="12"/>
  <c r="BA143" i="12"/>
  <c r="BA144" i="12"/>
  <c r="BA145" i="12"/>
  <c r="BA146" i="12"/>
  <c r="BA147" i="12"/>
  <c r="BA148" i="12"/>
  <c r="BA149" i="12"/>
  <c r="BA150" i="12"/>
  <c r="BA151" i="12"/>
  <c r="BA152" i="12"/>
  <c r="BA153" i="12"/>
  <c r="BA154" i="12"/>
  <c r="BA155" i="12"/>
  <c r="AK119" i="33"/>
  <c r="AK131" i="33"/>
  <c r="AK139" i="33"/>
  <c r="AK140" i="33"/>
  <c r="AK155" i="33"/>
  <c r="AK163" i="33"/>
  <c r="AK25" i="34"/>
  <c r="AK27" i="34"/>
  <c r="AK70" i="34"/>
  <c r="AK87" i="34"/>
  <c r="AK91" i="34"/>
  <c r="AK103" i="34"/>
  <c r="AK116" i="34"/>
  <c r="AK124" i="34"/>
  <c r="AK132" i="34"/>
  <c r="AK38" i="33"/>
  <c r="AK42" i="33"/>
  <c r="AK45" i="33"/>
  <c r="AK47" i="33"/>
  <c r="AK51" i="33"/>
  <c r="AK59" i="33"/>
  <c r="AK76" i="33"/>
  <c r="AK78" i="33"/>
  <c r="AK88" i="33"/>
  <c r="AK90" i="33"/>
  <c r="AK91" i="33"/>
  <c r="AK99" i="33"/>
  <c r="AK104" i="33"/>
  <c r="AK69" i="34"/>
  <c r="AK73" i="34"/>
  <c r="AK75" i="34"/>
  <c r="AK76" i="34"/>
  <c r="AK90" i="34"/>
  <c r="AK102" i="34"/>
  <c r="AK112" i="34"/>
  <c r="AK150" i="34"/>
  <c r="AK109" i="33"/>
  <c r="AK117" i="33"/>
  <c r="AK121" i="33"/>
  <c r="AK114" i="33"/>
  <c r="AK126" i="33"/>
  <c r="AK134" i="33"/>
  <c r="AK13" i="33"/>
  <c r="AK70" i="33"/>
  <c r="AK120" i="33"/>
  <c r="AK35" i="34"/>
  <c r="AK44" i="34"/>
  <c r="AK57" i="34"/>
  <c r="AK60" i="34"/>
  <c r="AK123" i="34"/>
  <c r="AK143" i="34"/>
  <c r="AK22" i="34"/>
  <c r="AK21" i="34"/>
  <c r="AK19" i="34"/>
  <c r="AK36" i="33"/>
  <c r="AK34" i="33"/>
  <c r="AK32" i="33"/>
  <c r="AK31" i="33"/>
  <c r="AK29" i="33"/>
  <c r="AK28" i="33"/>
  <c r="AK24" i="33"/>
  <c r="AK156" i="33"/>
  <c r="AK146" i="34"/>
  <c r="AK144" i="34"/>
  <c r="AK147" i="33"/>
  <c r="AK142" i="34"/>
  <c r="AK23" i="33"/>
  <c r="AK27" i="33"/>
  <c r="AK37" i="33"/>
  <c r="AK106" i="33"/>
  <c r="AK122" i="33"/>
  <c r="AK125" i="33"/>
  <c r="AK130" i="33"/>
  <c r="AK133" i="33"/>
  <c r="AK138" i="33"/>
  <c r="AK62" i="34"/>
  <c r="AK66" i="34"/>
  <c r="AK96" i="34"/>
  <c r="AK100" i="34"/>
  <c r="AK120" i="34"/>
  <c r="AK158" i="34"/>
  <c r="AK162" i="34"/>
  <c r="AK166" i="34"/>
  <c r="AK26" i="33"/>
  <c r="AK30" i="33"/>
  <c r="AK72" i="33"/>
  <c r="AK110" i="33"/>
  <c r="AK129" i="33"/>
  <c r="AK165" i="33"/>
  <c r="AK32" i="34"/>
  <c r="AK40" i="34"/>
  <c r="AK65" i="34"/>
  <c r="AK95" i="34"/>
  <c r="AK99" i="34"/>
  <c r="AK129" i="34"/>
  <c r="AK154" i="34"/>
  <c r="AK161" i="34"/>
  <c r="AK165" i="34"/>
  <c r="AK25" i="33"/>
  <c r="AK35" i="33"/>
  <c r="AK39" i="33"/>
  <c r="AK64" i="33"/>
  <c r="AK113" i="33"/>
  <c r="AK36" i="34"/>
  <c r="AK64" i="34"/>
  <c r="AK94" i="34"/>
  <c r="AK98" i="34"/>
  <c r="AK108" i="34"/>
  <c r="AK128" i="34"/>
  <c r="AK160" i="34"/>
  <c r="AK164" i="34"/>
  <c r="AK18" i="34"/>
  <c r="AK22" i="33"/>
  <c r="AK110" i="34"/>
  <c r="AK109" i="34"/>
  <c r="AK17" i="34"/>
  <c r="AK138" i="34"/>
</calcChain>
</file>

<file path=xl/sharedStrings.xml><?xml version="1.0" encoding="utf-8"?>
<sst xmlns="http://schemas.openxmlformats.org/spreadsheetml/2006/main" count="2164" uniqueCount="98">
  <si>
    <t>Mätt av</t>
  </si>
  <si>
    <t>Datum</t>
  </si>
  <si>
    <t>GLASBJÖRK</t>
  </si>
  <si>
    <t>VÅRTBJÖRK</t>
  </si>
  <si>
    <t>TALL</t>
  </si>
  <si>
    <t>GRAN</t>
  </si>
  <si>
    <t>Krutzsch index (0-8)</t>
  </si>
  <si>
    <t>Antal utslagna blommor</t>
  </si>
  <si>
    <t>Antal omogna bär (kart)</t>
  </si>
  <si>
    <t>Antal mogna bär</t>
  </si>
  <si>
    <t>BLÅBÄR</t>
  </si>
  <si>
    <t>LINGON</t>
  </si>
  <si>
    <r>
      <t xml:space="preserve">Bed fas </t>
    </r>
    <r>
      <rPr>
        <sz val="8"/>
        <rFont val="Arial"/>
        <family val="2"/>
      </rPr>
      <t>(0-8)</t>
    </r>
  </si>
  <si>
    <r>
      <t xml:space="preserve">Knopplängd                </t>
    </r>
    <r>
      <rPr>
        <sz val="8"/>
        <rFont val="Arial"/>
        <family val="2"/>
      </rPr>
      <t>(mm, noggrannhet 0.1 mm)</t>
    </r>
  </si>
  <si>
    <r>
      <t xml:space="preserve">Honblomning     </t>
    </r>
    <r>
      <rPr>
        <sz val="8"/>
        <rFont val="Arial"/>
        <family val="2"/>
      </rPr>
      <t>Bedömd fas (0-3)</t>
    </r>
  </si>
  <si>
    <r>
      <t xml:space="preserve">Hanblomning      </t>
    </r>
    <r>
      <rPr>
        <sz val="8"/>
        <rFont val="Arial"/>
        <family val="2"/>
      </rPr>
      <t>Bedömd fas (0-1)</t>
    </r>
  </si>
  <si>
    <r>
      <t xml:space="preserve">Skottskjutning/-sträckning                          </t>
    </r>
    <r>
      <rPr>
        <sz val="8"/>
        <rFont val="Arial"/>
        <family val="2"/>
      </rPr>
      <t>Bedömd fas (0-3)</t>
    </r>
  </si>
  <si>
    <r>
      <t xml:space="preserve">Skottskjutning/-sträckning                        </t>
    </r>
    <r>
      <rPr>
        <sz val="8"/>
        <rFont val="Arial"/>
        <family val="2"/>
      </rPr>
      <t>Bedömd fas (0-3)</t>
    </r>
  </si>
  <si>
    <t>Reserv-knoppar</t>
  </si>
  <si>
    <r>
      <t xml:space="preserve">Omf     </t>
    </r>
    <r>
      <rPr>
        <sz val="8"/>
        <rFont val="Arial"/>
        <family val="2"/>
      </rPr>
      <t>(0-3)</t>
    </r>
  </si>
  <si>
    <r>
      <t xml:space="preserve">Knopp/-skottlängd                                                            </t>
    </r>
    <r>
      <rPr>
        <sz val="8"/>
        <rFont val="Arial"/>
        <family val="2"/>
      </rPr>
      <t>(mm, noggrannhet 1 mm)</t>
    </r>
  </si>
  <si>
    <t>FÄLTBLANKETT FENOLOGI SKOTTSKJUTNING/-STRÄCKNING HOS TOPPSKOTT SAMT BLOMNING</t>
  </si>
  <si>
    <t>STANSNING FENOLOGI LÖVSPRICKNING OCH -STRÄCKNING MED MÄTNINGS- OCH BEDÖMNINGSMETODEN</t>
  </si>
  <si>
    <t>Träd 1</t>
  </si>
  <si>
    <t>Träd 2</t>
  </si>
  <si>
    <t>Träd 3</t>
  </si>
  <si>
    <t>Träd 4</t>
  </si>
  <si>
    <t>Träd 5</t>
  </si>
  <si>
    <t>Kandidatträd</t>
  </si>
  <si>
    <t>Lokal</t>
  </si>
  <si>
    <t>AFP</t>
  </si>
  <si>
    <t>SFP</t>
  </si>
  <si>
    <t>TSFP</t>
  </si>
  <si>
    <t>VFP</t>
  </si>
  <si>
    <t>UMEÅ</t>
  </si>
  <si>
    <t>Medel</t>
  </si>
  <si>
    <t>Knopplängd (mm)</t>
  </si>
  <si>
    <t>Fas</t>
  </si>
  <si>
    <t>längd, mm</t>
  </si>
  <si>
    <t>skottfas</t>
  </si>
  <si>
    <t>honbl.fas</t>
  </si>
  <si>
    <t>hanbl.fas</t>
  </si>
  <si>
    <t>STANSNING FENOLOGI SKOTTSKJUTNING/-STRÄCKNING OCH BLOMNING</t>
  </si>
  <si>
    <t>STANSNING FENOLOGI SKOTTSKJUTNING OCH -STRÄCKNING HOS SIDOSKOTT ENL. KRUTZSCH INDEX</t>
  </si>
  <si>
    <r>
      <t xml:space="preserve">Knopplängd                   </t>
    </r>
    <r>
      <rPr>
        <sz val="8"/>
        <rFont val="Arial"/>
        <family val="2"/>
      </rPr>
      <t>(mm, noggrannhet 0.1 mm)</t>
    </r>
  </si>
  <si>
    <t>STANSNING FENOLOGI BÄRRIS</t>
  </si>
  <si>
    <t>Cirkelprovyta nummer</t>
  </si>
  <si>
    <t>Täckning (%)</t>
  </si>
  <si>
    <t>Totalt</t>
  </si>
  <si>
    <t>Blom</t>
  </si>
  <si>
    <t>Kart</t>
  </si>
  <si>
    <t>Bär</t>
  </si>
  <si>
    <t>Dagnr</t>
  </si>
  <si>
    <t>datum</t>
  </si>
  <si>
    <t>dagnr</t>
  </si>
  <si>
    <t>knopplängd</t>
  </si>
  <si>
    <t>fas</t>
  </si>
  <si>
    <t>Index</t>
  </si>
  <si>
    <t>Krutzsch</t>
  </si>
  <si>
    <t/>
  </si>
  <si>
    <t>Längd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</si>
  <si>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</si>
  <si>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</si>
  <si>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</si>
  <si>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</si>
  <si>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</si>
  <si>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</si>
  <si>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</si>
  <si>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</si>
  <si>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</si>
  <si>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</si>
  <si>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Årets</t>
  </si>
  <si>
    <t>HL</t>
  </si>
  <si>
    <t>AL</t>
  </si>
  <si>
    <t>AL-KRR</t>
  </si>
  <si>
    <t>AL-KR</t>
  </si>
  <si>
    <t>AL-ABK</t>
  </si>
  <si>
    <t>AL/HL</t>
  </si>
  <si>
    <t>AL/HL15,2</t>
  </si>
  <si>
    <t>AL\HL</t>
  </si>
  <si>
    <t>HL\GE</t>
  </si>
  <si>
    <t>HL\AL</t>
  </si>
  <si>
    <t>UJ</t>
  </si>
  <si>
    <t>GS</t>
  </si>
  <si>
    <t>AL-OO</t>
  </si>
  <si>
    <t>OO-KRR</t>
  </si>
  <si>
    <t>OO</t>
  </si>
  <si>
    <t>UN</t>
  </si>
  <si>
    <t>UN/SM</t>
  </si>
  <si>
    <t>SM</t>
  </si>
  <si>
    <t>OO-EB</t>
  </si>
  <si>
    <t>OO-AL</t>
  </si>
  <si>
    <t>LE</t>
  </si>
  <si>
    <t>P Ha</t>
  </si>
  <si>
    <t>PHa</t>
  </si>
  <si>
    <t>PHa/MS</t>
  </si>
  <si>
    <t>Pha/MS</t>
  </si>
  <si>
    <t>AL,KRR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</si>
</sst>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b/>
      <sz val="14"/>
      <color indexed="10"/>
      <name val="Arial"/>
      <family val="2"/>
    </font>
    <font>
      <sz val="8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</fills>
  <borders count="66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3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/>
    </xf>
    <xf numFmtId="0" fontId="1" fillId="0" borderId="0" xfId="0" applyFont="1"/>
    <xf numFmtId="0" fontId="9" fillId="0" borderId="0" xfId="0" applyFont="1"/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7" xfId="0" applyFont="1" applyBorder="1"/>
    <xf numFmtId="0" fontId="0" fillId="0" borderId="0" xfId="0" applyAlignment="1">
      <alignment horizontal="center"/>
    </xf>
    <xf numFmtId="14" fontId="9" fillId="2" borderId="8" xfId="0" applyNumberFormat="1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2" fontId="0" fillId="2" borderId="10" xfId="0" applyNumberFormat="1" applyFill="1" applyBorder="1"/>
    <xf numFmtId="2" fontId="0" fillId="2" borderId="11" xfId="0" applyNumberFormat="1" applyFill="1" applyBorder="1"/>
    <xf numFmtId="2" fontId="0" fillId="2" borderId="12" xfId="0" applyNumberFormat="1" applyFill="1" applyBorder="1"/>
    <xf numFmtId="14" fontId="10" fillId="0" borderId="8" xfId="0" applyNumberFormat="1" applyFont="1" applyBorder="1" applyAlignment="1" applyProtection="1">
      <alignment horizontal="center"/>
      <protection locked="0"/>
    </xf>
    <xf numFmtId="0" fontId="10" fillId="0" borderId="13" xfId="0" applyFont="1" applyBorder="1" applyProtection="1">
      <protection locked="0"/>
    </xf>
    <xf numFmtId="0" fontId="10" fillId="0" borderId="11" xfId="0" applyFont="1" applyBorder="1" applyProtection="1">
      <protection locked="0"/>
    </xf>
    <xf numFmtId="0" fontId="10" fillId="0" borderId="8" xfId="0" applyFont="1" applyBorder="1" applyProtection="1">
      <protection locked="0"/>
    </xf>
    <xf numFmtId="0" fontId="10" fillId="0" borderId="14" xfId="0" applyFont="1" applyBorder="1" applyProtection="1">
      <protection locked="0"/>
    </xf>
    <xf numFmtId="0" fontId="10" fillId="2" borderId="8" xfId="0" applyFont="1" applyFill="1" applyBorder="1" applyProtection="1">
      <protection locked="0"/>
    </xf>
    <xf numFmtId="0" fontId="10" fillId="2" borderId="13" xfId="0" applyFont="1" applyFill="1" applyBorder="1" applyProtection="1">
      <protection locked="0"/>
    </xf>
    <xf numFmtId="0" fontId="10" fillId="2" borderId="15" xfId="0" applyFont="1" applyFill="1" applyBorder="1" applyProtection="1">
      <protection locked="0"/>
    </xf>
    <xf numFmtId="14" fontId="10" fillId="0" borderId="9" xfId="0" applyNumberFormat="1" applyFont="1" applyBorder="1" applyAlignment="1" applyProtection="1">
      <alignment horizontal="center"/>
      <protection locked="0"/>
    </xf>
    <xf numFmtId="0" fontId="10" fillId="0" borderId="1" xfId="0" applyFont="1" applyBorder="1" applyProtection="1">
      <protection locked="0"/>
    </xf>
    <xf numFmtId="0" fontId="10" fillId="0" borderId="12" xfId="0" applyFont="1" applyBorder="1" applyProtection="1">
      <protection locked="0"/>
    </xf>
    <xf numFmtId="0" fontId="10" fillId="0" borderId="9" xfId="0" applyFont="1" applyBorder="1" applyProtection="1">
      <protection locked="0"/>
    </xf>
    <xf numFmtId="0" fontId="10" fillId="0" borderId="5" xfId="0" applyFont="1" applyBorder="1" applyProtection="1">
      <protection locked="0"/>
    </xf>
    <xf numFmtId="0" fontId="10" fillId="2" borderId="9" xfId="0" applyFont="1" applyFill="1" applyBorder="1" applyProtection="1">
      <protection locked="0"/>
    </xf>
    <xf numFmtId="0" fontId="10" fillId="2" borderId="1" xfId="0" applyFont="1" applyFill="1" applyBorder="1" applyProtection="1">
      <protection locked="0"/>
    </xf>
    <xf numFmtId="0" fontId="10" fillId="2" borderId="16" xfId="0" applyFont="1" applyFill="1" applyBorder="1" applyProtection="1">
      <protection locked="0"/>
    </xf>
    <xf numFmtId="14" fontId="10" fillId="0" borderId="17" xfId="0" applyNumberFormat="1" applyFont="1" applyBorder="1" applyAlignment="1" applyProtection="1">
      <alignment horizontal="center"/>
      <protection locked="0"/>
    </xf>
    <xf numFmtId="0" fontId="10" fillId="0" borderId="18" xfId="0" applyFont="1" applyBorder="1" applyProtection="1">
      <protection locked="0"/>
    </xf>
    <xf numFmtId="0" fontId="10" fillId="0" borderId="19" xfId="0" applyFont="1" applyBorder="1" applyProtection="1">
      <protection locked="0"/>
    </xf>
    <xf numFmtId="0" fontId="10" fillId="0" borderId="17" xfId="0" applyFont="1" applyBorder="1" applyProtection="1">
      <protection locked="0"/>
    </xf>
    <xf numFmtId="0" fontId="10" fillId="0" borderId="20" xfId="0" applyFont="1" applyBorder="1" applyProtection="1">
      <protection locked="0"/>
    </xf>
    <xf numFmtId="0" fontId="10" fillId="2" borderId="17" xfId="0" applyFont="1" applyFill="1" applyBorder="1" applyProtection="1">
      <protection locked="0"/>
    </xf>
    <xf numFmtId="0" fontId="10" fillId="2" borderId="18" xfId="0" applyFont="1" applyFill="1" applyBorder="1" applyProtection="1">
      <protection locked="0"/>
    </xf>
    <xf numFmtId="0" fontId="10" fillId="2" borderId="21" xfId="0" applyFont="1" applyFill="1" applyBorder="1" applyProtection="1">
      <protection locked="0"/>
    </xf>
    <xf numFmtId="0" fontId="10" fillId="2" borderId="22" xfId="0" applyFont="1" applyFill="1" applyBorder="1" applyProtection="1">
      <protection locked="0"/>
    </xf>
    <xf numFmtId="0" fontId="10" fillId="2" borderId="23" xfId="0" applyFont="1" applyFill="1" applyBorder="1" applyProtection="1">
      <protection locked="0"/>
    </xf>
    <xf numFmtId="0" fontId="0" fillId="0" borderId="0" xfId="0" applyAlignment="1">
      <alignment horizontal="right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1" fontId="0" fillId="2" borderId="10" xfId="0" applyNumberFormat="1" applyFill="1" applyBorder="1" applyAlignment="1"/>
    <xf numFmtId="164" fontId="0" fillId="2" borderId="27" xfId="0" applyNumberFormat="1" applyFill="1" applyBorder="1" applyAlignment="1"/>
    <xf numFmtId="164" fontId="0" fillId="2" borderId="28" xfId="0" applyNumberFormat="1" applyFill="1" applyBorder="1" applyAlignment="1"/>
    <xf numFmtId="1" fontId="0" fillId="2" borderId="11" xfId="0" applyNumberFormat="1" applyFill="1" applyBorder="1" applyAlignment="1"/>
    <xf numFmtId="164" fontId="0" fillId="2" borderId="8" xfId="0" applyNumberFormat="1" applyFill="1" applyBorder="1" applyAlignment="1"/>
    <xf numFmtId="164" fontId="0" fillId="2" borderId="13" xfId="0" applyNumberFormat="1" applyFill="1" applyBorder="1" applyAlignment="1"/>
    <xf numFmtId="1" fontId="0" fillId="2" borderId="12" xfId="0" applyNumberFormat="1" applyFill="1" applyBorder="1" applyAlignment="1"/>
    <xf numFmtId="164" fontId="0" fillId="2" borderId="9" xfId="0" applyNumberFormat="1" applyFill="1" applyBorder="1" applyAlignment="1"/>
    <xf numFmtId="164" fontId="0" fillId="2" borderId="1" xfId="0" applyNumberFormat="1" applyFill="1" applyBorder="1" applyAlignment="1"/>
    <xf numFmtId="0" fontId="9" fillId="2" borderId="14" xfId="0" applyFont="1" applyFill="1" applyBorder="1" applyAlignment="1">
      <alignment horizontal="center"/>
    </xf>
    <xf numFmtId="1" fontId="0" fillId="2" borderId="19" xfId="0" applyNumberFormat="1" applyFill="1" applyBorder="1" applyAlignment="1"/>
    <xf numFmtId="164" fontId="0" fillId="2" borderId="17" xfId="0" applyNumberFormat="1" applyFill="1" applyBorder="1" applyAlignment="1"/>
    <xf numFmtId="164" fontId="0" fillId="2" borderId="18" xfId="0" applyNumberFormat="1" applyFill="1" applyBorder="1" applyAlignment="1"/>
    <xf numFmtId="14" fontId="10" fillId="0" borderId="27" xfId="0" applyNumberFormat="1" applyFont="1" applyBorder="1" applyProtection="1">
      <protection locked="0"/>
    </xf>
    <xf numFmtId="14" fontId="10" fillId="0" borderId="8" xfId="0" applyNumberFormat="1" applyFont="1" applyBorder="1" applyProtection="1">
      <protection locked="0"/>
    </xf>
    <xf numFmtId="14" fontId="10" fillId="0" borderId="9" xfId="0" applyNumberFormat="1" applyFont="1" applyBorder="1" applyProtection="1">
      <protection locked="0"/>
    </xf>
    <xf numFmtId="14" fontId="10" fillId="0" borderId="17" xfId="0" applyNumberFormat="1" applyFont="1" applyBorder="1" applyProtection="1"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2" borderId="13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2" borderId="9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12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14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14" fontId="9" fillId="2" borderId="20" xfId="0" applyNumberFormat="1" applyFont="1" applyFill="1" applyBorder="1" applyAlignment="1">
      <alignment horizontal="center"/>
    </xf>
    <xf numFmtId="0" fontId="0" fillId="0" borderId="17" xfId="0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0" fillId="2" borderId="17" xfId="0" applyFill="1" applyBorder="1" applyAlignment="1" applyProtection="1">
      <alignment horizontal="center"/>
      <protection locked="0"/>
    </xf>
    <xf numFmtId="0" fontId="0" fillId="2" borderId="18" xfId="0" applyFill="1" applyBorder="1" applyAlignment="1" applyProtection="1">
      <alignment horizontal="center"/>
      <protection locked="0"/>
    </xf>
    <xf numFmtId="0" fontId="0" fillId="2" borderId="19" xfId="0" applyFill="1" applyBorder="1" applyAlignment="1" applyProtection="1">
      <alignment horizontal="center"/>
      <protection locked="0"/>
    </xf>
    <xf numFmtId="0" fontId="0" fillId="3" borderId="17" xfId="0" applyFill="1" applyBorder="1" applyAlignment="1" applyProtection="1">
      <alignment horizontal="center"/>
      <protection locked="0"/>
    </xf>
    <xf numFmtId="0" fontId="0" fillId="3" borderId="20" xfId="0" applyFill="1" applyBorder="1" applyAlignment="1" applyProtection="1">
      <alignment horizontal="center"/>
      <protection locked="0"/>
    </xf>
    <xf numFmtId="0" fontId="0" fillId="2" borderId="1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0" fillId="2" borderId="24" xfId="0" applyFont="1" applyFill="1" applyBorder="1" applyAlignment="1">
      <alignment horizontal="center"/>
    </xf>
    <xf numFmtId="0" fontId="10" fillId="2" borderId="25" xfId="0" applyFont="1" applyFill="1" applyBorder="1" applyAlignment="1">
      <alignment horizontal="center"/>
    </xf>
    <xf numFmtId="0" fontId="10" fillId="2" borderId="26" xfId="0" applyFont="1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10" fillId="2" borderId="29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0" fillId="0" borderId="19" xfId="0" applyBorder="1" applyProtection="1">
      <protection locked="0"/>
    </xf>
    <xf numFmtId="0" fontId="0" fillId="0" borderId="17" xfId="0" applyBorder="1" applyProtection="1">
      <protection locked="0"/>
    </xf>
    <xf numFmtId="0" fontId="0" fillId="2" borderId="17" xfId="0" applyFill="1" applyBorder="1" applyProtection="1">
      <protection locked="0"/>
    </xf>
    <xf numFmtId="0" fontId="0" fillId="2" borderId="18" xfId="0" applyFill="1" applyBorder="1" applyProtection="1">
      <protection locked="0"/>
    </xf>
    <xf numFmtId="0" fontId="0" fillId="0" borderId="20" xfId="0" applyBorder="1" applyProtection="1">
      <protection locked="0"/>
    </xf>
    <xf numFmtId="0" fontId="0" fillId="0" borderId="18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8" xfId="0" applyBorder="1" applyProtection="1">
      <protection locked="0"/>
    </xf>
    <xf numFmtId="0" fontId="0" fillId="2" borderId="8" xfId="0" applyFill="1" applyBorder="1" applyProtection="1">
      <protection locked="0"/>
    </xf>
    <xf numFmtId="0" fontId="0" fillId="2" borderId="13" xfId="0" applyFill="1" applyBorder="1" applyProtection="1">
      <protection locked="0"/>
    </xf>
    <xf numFmtId="0" fontId="0" fillId="0" borderId="14" xfId="0" applyBorder="1" applyProtection="1">
      <protection locked="0"/>
    </xf>
    <xf numFmtId="0" fontId="0" fillId="0" borderId="13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9" xfId="0" applyBorder="1" applyProtection="1">
      <protection locked="0"/>
    </xf>
    <xf numFmtId="0" fontId="0" fillId="2" borderId="9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0" borderId="5" xfId="0" applyBorder="1" applyProtection="1">
      <protection locked="0"/>
    </xf>
    <xf numFmtId="0" fontId="0" fillId="0" borderId="1" xfId="0" applyBorder="1" applyProtection="1">
      <protection locked="0"/>
    </xf>
    <xf numFmtId="164" fontId="0" fillId="2" borderId="10" xfId="0" applyNumberFormat="1" applyFill="1" applyBorder="1" applyAlignment="1"/>
    <xf numFmtId="164" fontId="0" fillId="2" borderId="11" xfId="0" applyNumberFormat="1" applyFill="1" applyBorder="1" applyAlignment="1"/>
    <xf numFmtId="164" fontId="0" fillId="2" borderId="12" xfId="0" applyNumberFormat="1" applyFill="1" applyBorder="1" applyAlignment="1"/>
    <xf numFmtId="164" fontId="0" fillId="2" borderId="19" xfId="0" applyNumberFormat="1" applyFill="1" applyBorder="1" applyAlignment="1"/>
    <xf numFmtId="14" fontId="0" fillId="0" borderId="19" xfId="0" applyNumberFormat="1" applyBorder="1" applyProtection="1">
      <protection locked="0"/>
    </xf>
    <xf numFmtId="14" fontId="0" fillId="0" borderId="11" xfId="0" applyNumberFormat="1" applyBorder="1" applyProtection="1">
      <protection locked="0"/>
    </xf>
    <xf numFmtId="14" fontId="0" fillId="0" borderId="12" xfId="0" applyNumberFormat="1" applyBorder="1" applyProtection="1">
      <protection locked="0"/>
    </xf>
    <xf numFmtId="0" fontId="0" fillId="2" borderId="30" xfId="0" applyFill="1" applyBorder="1"/>
    <xf numFmtId="0" fontId="9" fillId="2" borderId="2" xfId="0" applyFont="1" applyFill="1" applyBorder="1" applyAlignment="1">
      <alignment horizontal="left" wrapText="1"/>
    </xf>
    <xf numFmtId="0" fontId="0" fillId="2" borderId="12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14" fontId="0" fillId="0" borderId="17" xfId="0" applyNumberFormat="1" applyBorder="1" applyAlignment="1" applyProtection="1">
      <alignment horizontal="center"/>
      <protection locked="0"/>
    </xf>
    <xf numFmtId="14" fontId="0" fillId="0" borderId="8" xfId="0" applyNumberFormat="1" applyBorder="1" applyAlignment="1" applyProtection="1">
      <alignment horizontal="center"/>
      <protection locked="0"/>
    </xf>
    <xf numFmtId="14" fontId="0" fillId="0" borderId="9" xfId="0" applyNumberFormat="1" applyBorder="1" applyAlignment="1" applyProtection="1">
      <alignment horizontal="center"/>
      <protection locked="0"/>
    </xf>
    <xf numFmtId="0" fontId="9" fillId="2" borderId="30" xfId="0" applyFont="1" applyFill="1" applyBorder="1" applyAlignment="1">
      <alignment wrapText="1"/>
    </xf>
    <xf numFmtId="0" fontId="0" fillId="2" borderId="31" xfId="0" applyFill="1" applyBorder="1"/>
    <xf numFmtId="14" fontId="9" fillId="2" borderId="17" xfId="0" applyNumberFormat="1" applyFont="1" applyFill="1" applyBorder="1" applyAlignment="1">
      <alignment horizontal="center"/>
    </xf>
    <xf numFmtId="0" fontId="4" fillId="0" borderId="0" xfId="0" applyFont="1"/>
    <xf numFmtId="0" fontId="1" fillId="2" borderId="24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14" fontId="0" fillId="0" borderId="32" xfId="0" applyNumberFormat="1" applyBorder="1" applyAlignment="1" applyProtection="1">
      <alignment horizontal="center"/>
      <protection locked="0"/>
    </xf>
    <xf numFmtId="0" fontId="0" fillId="0" borderId="6" xfId="0" applyBorder="1" applyProtection="1">
      <protection locked="0"/>
    </xf>
    <xf numFmtId="0" fontId="0" fillId="2" borderId="19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1" fontId="4" fillId="0" borderId="32" xfId="0" applyNumberFormat="1" applyFont="1" applyFill="1" applyBorder="1" applyAlignment="1" applyProtection="1">
      <alignment horizontal="center"/>
      <protection locked="0"/>
    </xf>
    <xf numFmtId="1" fontId="4" fillId="0" borderId="17" xfId="0" applyNumberFormat="1" applyFont="1" applyFill="1" applyBorder="1" applyAlignment="1" applyProtection="1">
      <alignment horizontal="center"/>
      <protection locked="0"/>
    </xf>
    <xf numFmtId="1" fontId="4" fillId="0" borderId="18" xfId="0" applyNumberFormat="1" applyFont="1" applyFill="1" applyBorder="1" applyAlignment="1" applyProtection="1">
      <alignment horizontal="center"/>
      <protection locked="0"/>
    </xf>
    <xf numFmtId="1" fontId="4" fillId="0" borderId="33" xfId="0" applyNumberFormat="1" applyFont="1" applyFill="1" applyBorder="1" applyAlignment="1" applyProtection="1">
      <alignment horizontal="center"/>
      <protection locked="0"/>
    </xf>
    <xf numFmtId="1" fontId="4" fillId="0" borderId="8" xfId="0" applyNumberFormat="1" applyFont="1" applyFill="1" applyBorder="1" applyAlignment="1" applyProtection="1">
      <alignment horizontal="center"/>
      <protection locked="0"/>
    </xf>
    <xf numFmtId="1" fontId="4" fillId="0" borderId="13" xfId="0" applyNumberFormat="1" applyFont="1" applyFill="1" applyBorder="1" applyAlignment="1" applyProtection="1">
      <alignment horizontal="center"/>
      <protection locked="0"/>
    </xf>
    <xf numFmtId="1" fontId="4" fillId="0" borderId="34" xfId="0" applyNumberFormat="1" applyFont="1" applyFill="1" applyBorder="1" applyAlignment="1" applyProtection="1">
      <alignment horizontal="center"/>
      <protection locked="0"/>
    </xf>
    <xf numFmtId="1" fontId="4" fillId="0" borderId="9" xfId="0" applyNumberFormat="1" applyFont="1" applyFill="1" applyBorder="1" applyAlignment="1" applyProtection="1">
      <alignment horizontal="center"/>
      <protection locked="0"/>
    </xf>
    <xf numFmtId="1" fontId="4" fillId="0" borderId="1" xfId="0" applyNumberFormat="1" applyFont="1" applyFill="1" applyBorder="1" applyAlignment="1" applyProtection="1">
      <alignment horizontal="center"/>
      <protection locked="0"/>
    </xf>
    <xf numFmtId="0" fontId="0" fillId="2" borderId="26" xfId="0" applyFill="1" applyBorder="1" applyAlignment="1">
      <alignment wrapText="1"/>
    </xf>
    <xf numFmtId="0" fontId="0" fillId="2" borderId="35" xfId="0" applyFill="1" applyBorder="1" applyAlignment="1"/>
    <xf numFmtId="0" fontId="0" fillId="2" borderId="6" xfId="0" applyFill="1" applyBorder="1"/>
    <xf numFmtId="1" fontId="4" fillId="0" borderId="20" xfId="0" applyNumberFormat="1" applyFont="1" applyFill="1" applyBorder="1" applyAlignment="1" applyProtection="1">
      <alignment horizontal="center"/>
      <protection locked="0"/>
    </xf>
    <xf numFmtId="1" fontId="4" fillId="0" borderId="14" xfId="0" applyNumberFormat="1" applyFont="1" applyFill="1" applyBorder="1" applyAlignment="1" applyProtection="1">
      <alignment horizontal="center"/>
      <protection locked="0"/>
    </xf>
    <xf numFmtId="1" fontId="4" fillId="0" borderId="5" xfId="0" applyNumberFormat="1" applyFont="1" applyFill="1" applyBorder="1" applyAlignment="1" applyProtection="1">
      <alignment horizontal="center"/>
      <protection locked="0"/>
    </xf>
    <xf numFmtId="1" fontId="4" fillId="0" borderId="19" xfId="0" applyNumberFormat="1" applyFont="1" applyFill="1" applyBorder="1" applyAlignment="1" applyProtection="1">
      <alignment horizontal="center"/>
      <protection locked="0"/>
    </xf>
    <xf numFmtId="1" fontId="4" fillId="0" borderId="11" xfId="0" applyNumberFormat="1" applyFont="1" applyFill="1" applyBorder="1" applyAlignment="1" applyProtection="1">
      <alignment horizontal="center"/>
      <protection locked="0"/>
    </xf>
    <xf numFmtId="1" fontId="4" fillId="0" borderId="12" xfId="0" applyNumberFormat="1" applyFont="1" applyFill="1" applyBorder="1" applyAlignment="1" applyProtection="1">
      <alignment horizontal="center"/>
      <protection locked="0"/>
    </xf>
    <xf numFmtId="14" fontId="0" fillId="0" borderId="36" xfId="0" applyNumberFormat="1" applyBorder="1" applyAlignment="1" applyProtection="1">
      <alignment horizontal="center"/>
      <protection locked="0"/>
    </xf>
    <xf numFmtId="14" fontId="0" fillId="0" borderId="8" xfId="0" applyNumberFormat="1" applyBorder="1" applyProtection="1">
      <protection locked="0"/>
    </xf>
    <xf numFmtId="14" fontId="0" fillId="0" borderId="9" xfId="0" applyNumberFormat="1" applyBorder="1" applyProtection="1">
      <protection locked="0"/>
    </xf>
    <xf numFmtId="0" fontId="5" fillId="2" borderId="0" xfId="0" applyFont="1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/>
    <xf numFmtId="0" fontId="11" fillId="2" borderId="0" xfId="0" applyFont="1" applyFill="1" applyAlignment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7" fillId="2" borderId="0" xfId="0" applyFont="1" applyFill="1" applyAlignment="1"/>
    <xf numFmtId="0" fontId="9" fillId="2" borderId="7" xfId="0" applyFont="1" applyFill="1" applyBorder="1"/>
    <xf numFmtId="0" fontId="9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8" fillId="2" borderId="0" xfId="0" applyFont="1" applyFill="1" applyAlignment="1">
      <alignment horizontal="right"/>
    </xf>
    <xf numFmtId="0" fontId="11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0" fillId="2" borderId="0" xfId="0" applyFill="1" applyBorder="1"/>
    <xf numFmtId="49" fontId="8" fillId="2" borderId="0" xfId="0" applyNumberFormat="1" applyFont="1" applyFill="1" applyAlignment="1">
      <alignment horizontal="right"/>
    </xf>
    <xf numFmtId="164" fontId="0" fillId="2" borderId="37" xfId="0" applyNumberFormat="1" applyFill="1" applyBorder="1"/>
    <xf numFmtId="164" fontId="0" fillId="2" borderId="5" xfId="0" applyNumberFormat="1" applyFill="1" applyBorder="1"/>
    <xf numFmtId="0" fontId="0" fillId="2" borderId="7" xfId="0" applyFill="1" applyBorder="1"/>
    <xf numFmtId="0" fontId="0" fillId="2" borderId="38" xfId="0" applyFill="1" applyBorder="1"/>
    <xf numFmtId="0" fontId="0" fillId="2" borderId="15" xfId="0" applyFill="1" applyBorder="1"/>
    <xf numFmtId="0" fontId="0" fillId="2" borderId="16" xfId="0" applyFill="1" applyBorder="1"/>
    <xf numFmtId="49" fontId="5" fillId="2" borderId="0" xfId="0" applyNumberFormat="1" applyFont="1" applyFill="1" applyAlignment="1">
      <alignment horizontal="righ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Border="1" applyAlignment="1"/>
    <xf numFmtId="0" fontId="3" fillId="2" borderId="0" xfId="0" applyFont="1" applyFill="1" applyBorder="1"/>
    <xf numFmtId="0" fontId="4" fillId="2" borderId="0" xfId="0" applyFont="1" applyFill="1" applyBorder="1"/>
    <xf numFmtId="0" fontId="0" fillId="2" borderId="0" xfId="0" applyFill="1" applyAlignment="1">
      <alignment horizontal="right"/>
    </xf>
    <xf numFmtId="0" fontId="0" fillId="2" borderId="39" xfId="0" applyFill="1" applyBorder="1"/>
    <xf numFmtId="164" fontId="0" fillId="2" borderId="10" xfId="0" applyNumberFormat="1" applyFill="1" applyBorder="1"/>
    <xf numFmtId="164" fontId="0" fillId="2" borderId="27" xfId="0" applyNumberFormat="1" applyFill="1" applyBorder="1"/>
    <xf numFmtId="164" fontId="0" fillId="2" borderId="40" xfId="0" applyNumberFormat="1" applyFill="1" applyBorder="1"/>
    <xf numFmtId="164" fontId="0" fillId="2" borderId="28" xfId="0" applyNumberFormat="1" applyFill="1" applyBorder="1"/>
    <xf numFmtId="164" fontId="0" fillId="2" borderId="19" xfId="0" applyNumberFormat="1" applyFill="1" applyBorder="1"/>
    <xf numFmtId="164" fontId="0" fillId="2" borderId="17" xfId="0" applyNumberFormat="1" applyFill="1" applyBorder="1"/>
    <xf numFmtId="164" fontId="0" fillId="2" borderId="20" xfId="0" applyNumberFormat="1" applyFill="1" applyBorder="1"/>
    <xf numFmtId="164" fontId="0" fillId="2" borderId="13" xfId="0" applyNumberFormat="1" applyFill="1" applyBorder="1"/>
    <xf numFmtId="164" fontId="0" fillId="2" borderId="12" xfId="0" applyNumberFormat="1" applyFill="1" applyBorder="1"/>
    <xf numFmtId="164" fontId="0" fillId="2" borderId="9" xfId="0" applyNumberFormat="1" applyFill="1" applyBorder="1"/>
    <xf numFmtId="164" fontId="0" fillId="2" borderId="1" xfId="0" applyNumberFormat="1" applyFill="1" applyBorder="1"/>
    <xf numFmtId="164" fontId="0" fillId="2" borderId="6" xfId="0" applyNumberFormat="1" applyFill="1" applyBorder="1" applyAlignment="1">
      <alignment horizontal="center"/>
    </xf>
    <xf numFmtId="0" fontId="9" fillId="2" borderId="0" xfId="0" applyFont="1" applyFill="1" applyBorder="1"/>
    <xf numFmtId="1" fontId="0" fillId="2" borderId="0" xfId="0" applyNumberFormat="1" applyFill="1" applyBorder="1"/>
    <xf numFmtId="14" fontId="0" fillId="2" borderId="0" xfId="0" applyNumberFormat="1" applyFill="1" applyBorder="1"/>
    <xf numFmtId="1" fontId="1" fillId="2" borderId="0" xfId="0" applyNumberFormat="1" applyFont="1" applyFill="1" applyBorder="1"/>
    <xf numFmtId="14" fontId="1" fillId="2" borderId="0" xfId="0" applyNumberFormat="1" applyFont="1" applyFill="1" applyBorder="1"/>
    <xf numFmtId="0" fontId="1" fillId="2" borderId="0" xfId="0" applyFont="1" applyFill="1" applyBorder="1"/>
    <xf numFmtId="1" fontId="9" fillId="2" borderId="0" xfId="0" applyNumberFormat="1" applyFont="1" applyFill="1" applyBorder="1"/>
    <xf numFmtId="14" fontId="9" fillId="2" borderId="0" xfId="0" applyNumberFormat="1" applyFont="1" applyFill="1" applyBorder="1"/>
    <xf numFmtId="164" fontId="9" fillId="2" borderId="0" xfId="0" applyNumberFormat="1" applyFont="1" applyFill="1" applyBorder="1"/>
    <xf numFmtId="14" fontId="10" fillId="2" borderId="0" xfId="0" applyNumberFormat="1" applyFont="1" applyFill="1" applyBorder="1" applyAlignment="1" applyProtection="1">
      <alignment horizontal="center"/>
    </xf>
    <xf numFmtId="1" fontId="9" fillId="0" borderId="0" xfId="0" applyNumberFormat="1" applyFont="1" applyBorder="1"/>
    <xf numFmtId="14" fontId="9" fillId="0" borderId="0" xfId="0" applyNumberFormat="1" applyFont="1" applyBorder="1"/>
    <xf numFmtId="0" fontId="9" fillId="0" borderId="0" xfId="0" applyFont="1" applyBorder="1"/>
    <xf numFmtId="1" fontId="0" fillId="0" borderId="0" xfId="0" applyNumberFormat="1" applyBorder="1"/>
    <xf numFmtId="14" fontId="0" fillId="0" borderId="0" xfId="0" applyNumberFormat="1" applyBorder="1"/>
    <xf numFmtId="0" fontId="0" fillId="0" borderId="0" xfId="0" applyBorder="1"/>
    <xf numFmtId="164" fontId="0" fillId="2" borderId="8" xfId="0" applyNumberFormat="1" applyFill="1" applyBorder="1"/>
    <xf numFmtId="1" fontId="0" fillId="2" borderId="21" xfId="0" applyNumberFormat="1" applyFill="1" applyBorder="1"/>
    <xf numFmtId="1" fontId="0" fillId="2" borderId="22" xfId="0" applyNumberFormat="1" applyFill="1" applyBorder="1"/>
    <xf numFmtId="1" fontId="0" fillId="2" borderId="23" xfId="0" applyNumberFormat="1" applyFill="1" applyBorder="1"/>
    <xf numFmtId="0" fontId="0" fillId="2" borderId="0" xfId="0" applyFill="1" applyBorder="1" applyAlignment="1">
      <alignment horizontal="right"/>
    </xf>
    <xf numFmtId="164" fontId="0" fillId="2" borderId="0" xfId="0" applyNumberFormat="1" applyFill="1" applyBorder="1" applyAlignment="1"/>
    <xf numFmtId="14" fontId="0" fillId="2" borderId="0" xfId="0" applyNumberFormat="1" applyFill="1"/>
    <xf numFmtId="14" fontId="0" fillId="0" borderId="0" xfId="0" applyNumberFormat="1"/>
    <xf numFmtId="14" fontId="0" fillId="2" borderId="0" xfId="0" applyNumberFormat="1" applyFill="1" applyBorder="1" applyAlignment="1"/>
    <xf numFmtId="1" fontId="0" fillId="2" borderId="0" xfId="0" applyNumberFormat="1" applyFill="1" applyBorder="1" applyAlignment="1"/>
    <xf numFmtId="0" fontId="0" fillId="0" borderId="0" xfId="0" applyProtection="1">
      <protection locked="0"/>
    </xf>
    <xf numFmtId="14" fontId="9" fillId="2" borderId="20" xfId="0" applyNumberFormat="1" applyFont="1" applyFill="1" applyBorder="1"/>
    <xf numFmtId="0" fontId="9" fillId="2" borderId="41" xfId="0" applyFont="1" applyFill="1" applyBorder="1"/>
    <xf numFmtId="0" fontId="9" fillId="2" borderId="32" xfId="0" applyFont="1" applyFill="1" applyBorder="1"/>
    <xf numFmtId="1" fontId="9" fillId="2" borderId="17" xfId="0" applyNumberFormat="1" applyFont="1" applyFill="1" applyBorder="1"/>
    <xf numFmtId="164" fontId="0" fillId="2" borderId="0" xfId="0" applyNumberFormat="1" applyFill="1" applyBorder="1"/>
    <xf numFmtId="164" fontId="1" fillId="2" borderId="0" xfId="0" applyNumberFormat="1" applyFont="1" applyFill="1" applyBorder="1"/>
    <xf numFmtId="164" fontId="9" fillId="2" borderId="41" xfId="0" applyNumberFormat="1" applyFont="1" applyFill="1" applyBorder="1"/>
    <xf numFmtId="164" fontId="9" fillId="0" borderId="0" xfId="0" applyNumberFormat="1" applyFont="1" applyBorder="1"/>
    <xf numFmtId="164" fontId="0" fillId="0" borderId="0" xfId="0" applyNumberFormat="1" applyBorder="1"/>
    <xf numFmtId="1" fontId="9" fillId="2" borderId="42" xfId="0" applyNumberFormat="1" applyFont="1" applyFill="1" applyBorder="1"/>
    <xf numFmtId="1" fontId="9" fillId="2" borderId="43" xfId="0" applyNumberFormat="1" applyFont="1" applyFill="1" applyBorder="1"/>
    <xf numFmtId="14" fontId="9" fillId="2" borderId="44" xfId="0" applyNumberFormat="1" applyFont="1" applyFill="1" applyBorder="1"/>
    <xf numFmtId="1" fontId="9" fillId="2" borderId="44" xfId="0" applyNumberFormat="1" applyFont="1" applyFill="1" applyBorder="1"/>
    <xf numFmtId="164" fontId="9" fillId="2" borderId="44" xfId="0" applyNumberFormat="1" applyFont="1" applyFill="1" applyBorder="1"/>
    <xf numFmtId="1" fontId="9" fillId="2" borderId="45" xfId="0" applyNumberFormat="1" applyFont="1" applyFill="1" applyBorder="1"/>
    <xf numFmtId="1" fontId="9" fillId="2" borderId="31" xfId="0" applyNumberFormat="1" applyFont="1" applyFill="1" applyBorder="1"/>
    <xf numFmtId="14" fontId="9" fillId="2" borderId="41" xfId="0" applyNumberFormat="1" applyFont="1" applyFill="1" applyBorder="1"/>
    <xf numFmtId="1" fontId="9" fillId="2" borderId="41" xfId="0" applyNumberFormat="1" applyFont="1" applyFill="1" applyBorder="1"/>
    <xf numFmtId="1" fontId="9" fillId="2" borderId="32" xfId="0" applyNumberFormat="1" applyFont="1" applyFill="1" applyBorder="1"/>
    <xf numFmtId="0" fontId="9" fillId="2" borderId="45" xfId="0" applyFont="1" applyFill="1" applyBorder="1"/>
    <xf numFmtId="0" fontId="9" fillId="2" borderId="31" xfId="0" applyFont="1" applyFill="1" applyBorder="1"/>
    <xf numFmtId="14" fontId="10" fillId="2" borderId="44" xfId="0" applyNumberFormat="1" applyFont="1" applyFill="1" applyBorder="1" applyAlignment="1" applyProtection="1">
      <alignment horizontal="center"/>
    </xf>
    <xf numFmtId="0" fontId="9" fillId="2" borderId="44" xfId="0" applyFont="1" applyFill="1" applyBorder="1"/>
    <xf numFmtId="164" fontId="9" fillId="2" borderId="45" xfId="0" applyNumberFormat="1" applyFont="1" applyFill="1" applyBorder="1"/>
    <xf numFmtId="164" fontId="9" fillId="2" borderId="31" xfId="0" applyNumberFormat="1" applyFont="1" applyFill="1" applyBorder="1"/>
    <xf numFmtId="14" fontId="10" fillId="2" borderId="41" xfId="0" applyNumberFormat="1" applyFont="1" applyFill="1" applyBorder="1" applyAlignment="1" applyProtection="1">
      <alignment horizontal="center"/>
    </xf>
    <xf numFmtId="164" fontId="9" fillId="2" borderId="32" xfId="0" applyNumberFormat="1" applyFont="1" applyFill="1" applyBorder="1"/>
    <xf numFmtId="164" fontId="10" fillId="0" borderId="11" xfId="0" applyNumberFormat="1" applyFont="1" applyBorder="1" applyProtection="1">
      <protection locked="0"/>
    </xf>
    <xf numFmtId="164" fontId="10" fillId="0" borderId="8" xfId="0" applyNumberFormat="1" applyFont="1" applyBorder="1" applyProtection="1">
      <protection locked="0"/>
    </xf>
    <xf numFmtId="164" fontId="10" fillId="0" borderId="14" xfId="0" applyNumberFormat="1" applyFont="1" applyBorder="1" applyProtection="1">
      <protection locked="0"/>
    </xf>
    <xf numFmtId="164" fontId="10" fillId="2" borderId="8" xfId="0" applyNumberFormat="1" applyFont="1" applyFill="1" applyBorder="1" applyProtection="1">
      <protection locked="0"/>
    </xf>
    <xf numFmtId="164" fontId="10" fillId="2" borderId="14" xfId="0" applyNumberFormat="1" applyFont="1" applyFill="1" applyBorder="1" applyProtection="1">
      <protection locked="0"/>
    </xf>
    <xf numFmtId="164" fontId="10" fillId="0" borderId="22" xfId="0" applyNumberFormat="1" applyFont="1" applyBorder="1" applyProtection="1">
      <protection locked="0"/>
    </xf>
    <xf numFmtId="164" fontId="10" fillId="0" borderId="13" xfId="0" applyNumberFormat="1" applyFont="1" applyBorder="1" applyProtection="1">
      <protection locked="0"/>
    </xf>
    <xf numFmtId="164" fontId="10" fillId="2" borderId="11" xfId="0" applyNumberFormat="1" applyFont="1" applyFill="1" applyBorder="1" applyProtection="1">
      <protection locked="0"/>
    </xf>
    <xf numFmtId="164" fontId="10" fillId="2" borderId="13" xfId="0" applyNumberFormat="1" applyFont="1" applyFill="1" applyBorder="1" applyProtection="1">
      <protection locked="0"/>
    </xf>
    <xf numFmtId="164" fontId="10" fillId="0" borderId="12" xfId="0" applyNumberFormat="1" applyFont="1" applyBorder="1" applyProtection="1">
      <protection locked="0"/>
    </xf>
    <xf numFmtId="164" fontId="10" fillId="0" borderId="9" xfId="0" applyNumberFormat="1" applyFont="1" applyBorder="1" applyProtection="1">
      <protection locked="0"/>
    </xf>
    <xf numFmtId="164" fontId="10" fillId="0" borderId="5" xfId="0" applyNumberFormat="1" applyFont="1" applyBorder="1" applyProtection="1">
      <protection locked="0"/>
    </xf>
    <xf numFmtId="164" fontId="10" fillId="2" borderId="9" xfId="0" applyNumberFormat="1" applyFont="1" applyFill="1" applyBorder="1" applyProtection="1">
      <protection locked="0"/>
    </xf>
    <xf numFmtId="164" fontId="10" fillId="2" borderId="5" xfId="0" applyNumberFormat="1" applyFont="1" applyFill="1" applyBorder="1" applyProtection="1">
      <protection locked="0"/>
    </xf>
    <xf numFmtId="164" fontId="10" fillId="0" borderId="1" xfId="0" applyNumberFormat="1" applyFont="1" applyBorder="1" applyProtection="1">
      <protection locked="0"/>
    </xf>
    <xf numFmtId="164" fontId="10" fillId="2" borderId="12" xfId="0" applyNumberFormat="1" applyFont="1" applyFill="1" applyBorder="1" applyProtection="1">
      <protection locked="0"/>
    </xf>
    <xf numFmtId="164" fontId="10" fillId="2" borderId="1" xfId="0" applyNumberFormat="1" applyFont="1" applyFill="1" applyBorder="1" applyProtection="1">
      <protection locked="0"/>
    </xf>
    <xf numFmtId="164" fontId="10" fillId="0" borderId="19" xfId="0" applyNumberFormat="1" applyFont="1" applyBorder="1" applyProtection="1">
      <protection locked="0"/>
    </xf>
    <xf numFmtId="164" fontId="10" fillId="0" borderId="17" xfId="0" applyNumberFormat="1" applyFont="1" applyBorder="1" applyProtection="1">
      <protection locked="0"/>
    </xf>
    <xf numFmtId="164" fontId="10" fillId="0" borderId="20" xfId="0" applyNumberFormat="1" applyFont="1" applyBorder="1" applyProtection="1">
      <protection locked="0"/>
    </xf>
    <xf numFmtId="164" fontId="10" fillId="2" borderId="17" xfId="0" applyNumberFormat="1" applyFont="1" applyFill="1" applyBorder="1" applyProtection="1">
      <protection locked="0"/>
    </xf>
    <xf numFmtId="164" fontId="10" fillId="2" borderId="20" xfId="0" applyNumberFormat="1" applyFont="1" applyFill="1" applyBorder="1" applyProtection="1">
      <protection locked="0"/>
    </xf>
    <xf numFmtId="164" fontId="10" fillId="0" borderId="18" xfId="0" applyNumberFormat="1" applyFont="1" applyBorder="1" applyProtection="1">
      <protection locked="0"/>
    </xf>
    <xf numFmtId="164" fontId="10" fillId="2" borderId="19" xfId="0" applyNumberFormat="1" applyFont="1" applyFill="1" applyBorder="1" applyProtection="1">
      <protection locked="0"/>
    </xf>
    <xf numFmtId="164" fontId="10" fillId="2" borderId="18" xfId="0" applyNumberFormat="1" applyFont="1" applyFill="1" applyBorder="1" applyProtection="1">
      <protection locked="0"/>
    </xf>
    <xf numFmtId="1" fontId="10" fillId="0" borderId="22" xfId="0" applyNumberFormat="1" applyFont="1" applyBorder="1" applyProtection="1">
      <protection locked="0"/>
    </xf>
    <xf numFmtId="1" fontId="10" fillId="0" borderId="23" xfId="0" applyNumberFormat="1" applyFont="1" applyBorder="1" applyProtection="1">
      <protection locked="0"/>
    </xf>
    <xf numFmtId="1" fontId="10" fillId="0" borderId="21" xfId="0" applyNumberFormat="1" applyFont="1" applyBorder="1" applyProtection="1">
      <protection locked="0"/>
    </xf>
    <xf numFmtId="0" fontId="0" fillId="2" borderId="43" xfId="0" applyFill="1" applyBorder="1" applyAlignment="1">
      <alignment horizontal="center"/>
    </xf>
    <xf numFmtId="0" fontId="4" fillId="2" borderId="46" xfId="0" applyFont="1" applyFill="1" applyBorder="1" applyAlignment="1">
      <alignment horizontal="center"/>
    </xf>
    <xf numFmtId="1" fontId="4" fillId="0" borderId="45" xfId="0" applyNumberFormat="1" applyFont="1" applyFill="1" applyBorder="1" applyAlignment="1" applyProtection="1">
      <alignment horizontal="center"/>
      <protection locked="0"/>
    </xf>
    <xf numFmtId="1" fontId="4" fillId="0" borderId="44" xfId="0" applyNumberFormat="1" applyFont="1" applyFill="1" applyBorder="1" applyAlignment="1" applyProtection="1">
      <alignment horizontal="center"/>
      <protection locked="0"/>
    </xf>
    <xf numFmtId="1" fontId="4" fillId="0" borderId="47" xfId="0" applyNumberFormat="1" applyFont="1" applyFill="1" applyBorder="1" applyAlignment="1" applyProtection="1">
      <alignment horizontal="center"/>
      <protection locked="0"/>
    </xf>
    <xf numFmtId="1" fontId="4" fillId="0" borderId="42" xfId="0" applyNumberFormat="1" applyFont="1" applyFill="1" applyBorder="1" applyAlignment="1" applyProtection="1">
      <alignment horizontal="center"/>
      <protection locked="0"/>
    </xf>
    <xf numFmtId="1" fontId="4" fillId="0" borderId="48" xfId="0" applyNumberFormat="1" applyFont="1" applyFill="1" applyBorder="1" applyAlignment="1" applyProtection="1">
      <alignment horizontal="center"/>
      <protection locked="0"/>
    </xf>
    <xf numFmtId="0" fontId="4" fillId="2" borderId="19" xfId="0" applyFont="1" applyFill="1" applyBorder="1" applyAlignment="1" applyProtection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4" fillId="2" borderId="3" xfId="0" applyNumberFormat="1" applyFont="1" applyFill="1" applyBorder="1" applyAlignment="1">
      <alignment horizontal="center"/>
    </xf>
    <xf numFmtId="1" fontId="4" fillId="2" borderId="6" xfId="0" applyNumberFormat="1" applyFont="1" applyFill="1" applyBorder="1" applyAlignment="1">
      <alignment horizontal="center"/>
    </xf>
    <xf numFmtId="164" fontId="4" fillId="2" borderId="24" xfId="0" applyNumberFormat="1" applyFont="1" applyFill="1" applyBorder="1" applyAlignment="1">
      <alignment horizontal="center"/>
    </xf>
    <xf numFmtId="164" fontId="4" fillId="2" borderId="25" xfId="0" applyNumberFormat="1" applyFont="1" applyFill="1" applyBorder="1" applyAlignment="1">
      <alignment horizontal="center"/>
    </xf>
    <xf numFmtId="0" fontId="0" fillId="2" borderId="49" xfId="0" applyFill="1" applyBorder="1" applyAlignment="1">
      <alignment horizontal="center"/>
    </xf>
    <xf numFmtId="0" fontId="0" fillId="2" borderId="50" xfId="0" applyFill="1" applyBorder="1" applyAlignment="1">
      <alignment horizontal="center"/>
    </xf>
    <xf numFmtId="164" fontId="4" fillId="2" borderId="31" xfId="0" applyNumberFormat="1" applyFont="1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164" fontId="0" fillId="2" borderId="0" xfId="0" applyNumberFormat="1" applyFill="1"/>
    <xf numFmtId="0" fontId="0" fillId="2" borderId="20" xfId="0" applyFill="1" applyBorder="1" applyAlignment="1">
      <alignment horizontal="center"/>
    </xf>
    <xf numFmtId="14" fontId="0" fillId="2" borderId="41" xfId="0" applyNumberFormat="1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164" fontId="0" fillId="2" borderId="32" xfId="0" applyNumberFormat="1" applyFill="1" applyBorder="1" applyAlignment="1">
      <alignment horizontal="center"/>
    </xf>
    <xf numFmtId="164" fontId="0" fillId="0" borderId="0" xfId="0" applyNumberFormat="1"/>
    <xf numFmtId="2" fontId="0" fillId="2" borderId="11" xfId="0" applyNumberFormat="1" applyFill="1" applyBorder="1" applyProtection="1"/>
    <xf numFmtId="2" fontId="0" fillId="2" borderId="12" xfId="0" applyNumberFormat="1" applyFill="1" applyBorder="1" applyProtection="1"/>
    <xf numFmtId="14" fontId="9" fillId="2" borderId="51" xfId="0" applyNumberFormat="1" applyFont="1" applyFill="1" applyBorder="1"/>
    <xf numFmtId="14" fontId="9" fillId="2" borderId="50" xfId="0" applyNumberFormat="1" applyFont="1" applyFill="1" applyBorder="1"/>
    <xf numFmtId="14" fontId="10" fillId="2" borderId="51" xfId="0" applyNumberFormat="1" applyFont="1" applyFill="1" applyBorder="1" applyAlignment="1" applyProtection="1">
      <alignment horizontal="center"/>
    </xf>
    <xf numFmtId="14" fontId="10" fillId="2" borderId="50" xfId="0" applyNumberFormat="1" applyFont="1" applyFill="1" applyBorder="1" applyAlignment="1" applyProtection="1">
      <alignment horizontal="center"/>
    </xf>
    <xf numFmtId="14" fontId="10" fillId="2" borderId="20" xfId="0" applyNumberFormat="1" applyFont="1" applyFill="1" applyBorder="1" applyAlignment="1" applyProtection="1">
      <alignment horizontal="center"/>
    </xf>
    <xf numFmtId="1" fontId="9" fillId="2" borderId="51" xfId="0" applyNumberFormat="1" applyFont="1" applyFill="1" applyBorder="1"/>
    <xf numFmtId="1" fontId="9" fillId="2" borderId="50" xfId="0" applyNumberFormat="1" applyFont="1" applyFill="1" applyBorder="1"/>
    <xf numFmtId="1" fontId="9" fillId="2" borderId="20" xfId="0" applyNumberFormat="1" applyFont="1" applyFill="1" applyBorder="1"/>
    <xf numFmtId="0" fontId="0" fillId="2" borderId="50" xfId="0" applyFill="1" applyBorder="1"/>
    <xf numFmtId="0" fontId="0" fillId="2" borderId="20" xfId="0" applyFill="1" applyBorder="1"/>
    <xf numFmtId="164" fontId="0" fillId="2" borderId="41" xfId="0" applyNumberFormat="1" applyFill="1" applyBorder="1" applyAlignment="1"/>
    <xf numFmtId="14" fontId="0" fillId="2" borderId="41" xfId="0" applyNumberFormat="1" applyFill="1" applyBorder="1"/>
    <xf numFmtId="0" fontId="0" fillId="2" borderId="41" xfId="0" applyFill="1" applyBorder="1"/>
    <xf numFmtId="0" fontId="0" fillId="2" borderId="32" xfId="0" applyFill="1" applyBorder="1"/>
    <xf numFmtId="0" fontId="0" fillId="2" borderId="42" xfId="0" applyFill="1" applyBorder="1" applyAlignment="1">
      <alignment horizontal="right"/>
    </xf>
    <xf numFmtId="0" fontId="0" fillId="2" borderId="43" xfId="0" applyFill="1" applyBorder="1" applyAlignment="1">
      <alignment horizontal="right"/>
    </xf>
    <xf numFmtId="0" fontId="0" fillId="2" borderId="43" xfId="0" applyFill="1" applyBorder="1"/>
    <xf numFmtId="0" fontId="0" fillId="2" borderId="17" xfId="0" applyFill="1" applyBorder="1"/>
    <xf numFmtId="164" fontId="0" fillId="2" borderId="31" xfId="0" applyNumberFormat="1" applyFill="1" applyBorder="1"/>
    <xf numFmtId="1" fontId="0" fillId="2" borderId="43" xfId="0" applyNumberFormat="1" applyFill="1" applyBorder="1" applyAlignment="1"/>
    <xf numFmtId="1" fontId="0" fillId="2" borderId="17" xfId="0" applyNumberFormat="1" applyFill="1" applyBorder="1" applyAlignment="1"/>
    <xf numFmtId="1" fontId="0" fillId="2" borderId="41" xfId="0" applyNumberFormat="1" applyFill="1" applyBorder="1" applyAlignment="1"/>
    <xf numFmtId="14" fontId="0" fillId="2" borderId="50" xfId="0" applyNumberFormat="1" applyFill="1" applyBorder="1"/>
    <xf numFmtId="14" fontId="0" fillId="2" borderId="20" xfId="0" applyNumberFormat="1" applyFill="1" applyBorder="1"/>
    <xf numFmtId="164" fontId="0" fillId="2" borderId="32" xfId="0" applyNumberFormat="1" applyFill="1" applyBorder="1"/>
    <xf numFmtId="0" fontId="0" fillId="2" borderId="51" xfId="0" applyFill="1" applyBorder="1" applyAlignment="1">
      <alignment horizontal="center"/>
    </xf>
    <xf numFmtId="1" fontId="0" fillId="2" borderId="50" xfId="0" applyNumberFormat="1" applyFill="1" applyBorder="1" applyAlignment="1"/>
    <xf numFmtId="2" fontId="0" fillId="2" borderId="0" xfId="0" applyNumberFormat="1" applyFill="1" applyBorder="1"/>
    <xf numFmtId="14" fontId="0" fillId="2" borderId="41" xfId="0" applyNumberFormat="1" applyFill="1" applyBorder="1" applyAlignment="1"/>
    <xf numFmtId="164" fontId="0" fillId="2" borderId="31" xfId="0" applyNumberFormat="1" applyFill="1" applyBorder="1" applyAlignment="1"/>
    <xf numFmtId="164" fontId="0" fillId="2" borderId="32" xfId="0" applyNumberFormat="1" applyFill="1" applyBorder="1" applyAlignment="1"/>
    <xf numFmtId="0" fontId="1" fillId="0" borderId="18" xfId="0" applyFont="1" applyBorder="1" applyProtection="1">
      <protection locked="0"/>
    </xf>
    <xf numFmtId="0" fontId="1" fillId="0" borderId="8" xfId="0" applyFont="1" applyBorder="1" applyProtection="1">
      <protection locked="0"/>
    </xf>
    <xf numFmtId="1" fontId="10" fillId="0" borderId="11" xfId="0" applyNumberFormat="1" applyFont="1" applyBorder="1" applyProtection="1">
      <protection locked="0"/>
    </xf>
    <xf numFmtId="1" fontId="10" fillId="0" borderId="8" xfId="0" applyNumberFormat="1" applyFont="1" applyBorder="1" applyProtection="1">
      <protection locked="0"/>
    </xf>
    <xf numFmtId="1" fontId="10" fillId="0" borderId="13" xfId="0" applyNumberFormat="1" applyFont="1" applyBorder="1" applyProtection="1">
      <protection locked="0"/>
    </xf>
    <xf numFmtId="1" fontId="10" fillId="2" borderId="2" xfId="0" applyNumberFormat="1" applyFont="1" applyFill="1" applyBorder="1" applyAlignment="1">
      <alignment horizontal="center"/>
    </xf>
    <xf numFmtId="1" fontId="10" fillId="2" borderId="3" xfId="0" applyNumberFormat="1" applyFont="1" applyFill="1" applyBorder="1" applyAlignment="1">
      <alignment horizontal="center"/>
    </xf>
    <xf numFmtId="1" fontId="10" fillId="2" borderId="6" xfId="0" applyNumberFormat="1" applyFont="1" applyFill="1" applyBorder="1" applyAlignment="1">
      <alignment horizontal="center"/>
    </xf>
    <xf numFmtId="0" fontId="10" fillId="0" borderId="0" xfId="0" applyFont="1" applyProtection="1">
      <protection locked="0"/>
    </xf>
    <xf numFmtId="164" fontId="9" fillId="2" borderId="50" xfId="0" applyNumberFormat="1" applyFont="1" applyFill="1" applyBorder="1"/>
    <xf numFmtId="164" fontId="9" fillId="2" borderId="20" xfId="0" applyNumberFormat="1" applyFont="1" applyFill="1" applyBorder="1"/>
    <xf numFmtId="164" fontId="9" fillId="2" borderId="51" xfId="0" applyNumberFormat="1" applyFont="1" applyFill="1" applyBorder="1"/>
    <xf numFmtId="0" fontId="0" fillId="2" borderId="51" xfId="0" applyFill="1" applyBorder="1"/>
    <xf numFmtId="14" fontId="0" fillId="2" borderId="44" xfId="0" applyNumberFormat="1" applyFill="1" applyBorder="1"/>
    <xf numFmtId="0" fontId="0" fillId="2" borderId="8" xfId="0" applyFill="1" applyBorder="1" applyAlignment="1">
      <alignment horizontal="right"/>
    </xf>
    <xf numFmtId="1" fontId="0" fillId="2" borderId="42" xfId="0" applyNumberFormat="1" applyFill="1" applyBorder="1" applyAlignment="1"/>
    <xf numFmtId="0" fontId="1" fillId="0" borderId="0" xfId="0" applyFont="1" applyProtection="1">
      <protection locked="0"/>
    </xf>
    <xf numFmtId="14" fontId="1" fillId="2" borderId="14" xfId="0" applyNumberFormat="1" applyFont="1" applyFill="1" applyBorder="1" applyAlignment="1">
      <alignment horizontal="center"/>
    </xf>
    <xf numFmtId="14" fontId="1" fillId="2" borderId="8" xfId="0" applyNumberFormat="1" applyFont="1" applyFill="1" applyBorder="1" applyAlignment="1">
      <alignment horizontal="center"/>
    </xf>
    <xf numFmtId="14" fontId="0" fillId="0" borderId="0" xfId="0" applyNumberFormat="1" applyAlignment="1" applyProtection="1">
      <alignment horizontal="left"/>
      <protection locked="0"/>
    </xf>
    <xf numFmtId="14" fontId="9" fillId="2" borderId="0" xfId="0" applyNumberFormat="1" applyFont="1" applyFill="1"/>
    <xf numFmtId="164" fontId="0" fillId="2" borderId="45" xfId="0" applyNumberFormat="1" applyFill="1" applyBorder="1"/>
    <xf numFmtId="0" fontId="9" fillId="2" borderId="5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1" fillId="2" borderId="46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1" fillId="2" borderId="52" xfId="0" applyFont="1" applyFill="1" applyBorder="1" applyAlignment="1">
      <alignment horizontal="center"/>
    </xf>
    <xf numFmtId="0" fontId="9" fillId="2" borderId="53" xfId="0" applyFont="1" applyFill="1" applyBorder="1" applyAlignment="1">
      <alignment horizontal="center" vertical="center" wrapText="1"/>
    </xf>
    <xf numFmtId="0" fontId="9" fillId="2" borderId="39" xfId="0" applyFont="1" applyFill="1" applyBorder="1" applyAlignment="1">
      <alignment horizontal="center" vertical="center" wrapText="1"/>
    </xf>
    <xf numFmtId="0" fontId="9" fillId="2" borderId="55" xfId="0" applyFont="1" applyFill="1" applyBorder="1" applyAlignment="1">
      <alignment horizontal="center" vertical="center" wrapText="1"/>
    </xf>
    <xf numFmtId="0" fontId="9" fillId="2" borderId="56" xfId="0" applyFont="1" applyFill="1" applyBorder="1" applyAlignment="1">
      <alignment horizontal="center" vertical="center" wrapText="1"/>
    </xf>
    <xf numFmtId="0" fontId="9" fillId="2" borderId="57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wrapText="1"/>
    </xf>
    <xf numFmtId="0" fontId="9" fillId="2" borderId="43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9" fillId="2" borderId="54" xfId="0" applyFont="1" applyFill="1" applyBorder="1" applyAlignment="1">
      <alignment horizontal="center" wrapText="1"/>
    </xf>
    <xf numFmtId="0" fontId="9" fillId="2" borderId="6" xfId="0" applyFont="1" applyFill="1" applyBorder="1" applyAlignment="1">
      <alignment horizontal="center" wrapText="1"/>
    </xf>
    <xf numFmtId="0" fontId="9" fillId="2" borderId="38" xfId="0" applyFont="1" applyFill="1" applyBorder="1" applyAlignment="1">
      <alignment horizontal="center" vertical="center" wrapText="1"/>
    </xf>
    <xf numFmtId="0" fontId="9" fillId="2" borderId="58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1" fontId="2" fillId="2" borderId="51" xfId="0" applyNumberFormat="1" applyFont="1" applyFill="1" applyBorder="1" applyAlignment="1">
      <alignment horizontal="center"/>
    </xf>
    <xf numFmtId="1" fontId="2" fillId="2" borderId="44" xfId="0" applyNumberFormat="1" applyFont="1" applyFill="1" applyBorder="1" applyAlignment="1">
      <alignment horizontal="center"/>
    </xf>
    <xf numFmtId="1" fontId="2" fillId="2" borderId="45" xfId="0" applyNumberFormat="1" applyFont="1" applyFill="1" applyBorder="1" applyAlignment="1">
      <alignment horizontal="center"/>
    </xf>
    <xf numFmtId="1" fontId="2" fillId="2" borderId="50" xfId="0" applyNumberFormat="1" applyFont="1" applyFill="1" applyBorder="1" applyAlignment="1">
      <alignment horizontal="center"/>
    </xf>
    <xf numFmtId="1" fontId="2" fillId="2" borderId="0" xfId="0" applyNumberFormat="1" applyFont="1" applyFill="1" applyBorder="1" applyAlignment="1">
      <alignment horizontal="center"/>
    </xf>
    <xf numFmtId="1" fontId="2" fillId="2" borderId="31" xfId="0" applyNumberFormat="1" applyFont="1" applyFill="1" applyBorder="1" applyAlignment="1">
      <alignment horizontal="center"/>
    </xf>
    <xf numFmtId="0" fontId="4" fillId="2" borderId="46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52" xfId="0" applyFont="1" applyFill="1" applyBorder="1" applyAlignment="1">
      <alignment horizontal="center" vertical="center"/>
    </xf>
    <xf numFmtId="0" fontId="2" fillId="2" borderId="59" xfId="0" applyFont="1" applyFill="1" applyBorder="1" applyAlignment="1">
      <alignment horizontal="center"/>
    </xf>
    <xf numFmtId="0" fontId="2" fillId="2" borderId="60" xfId="0" applyFont="1" applyFill="1" applyBorder="1" applyAlignment="1">
      <alignment horizontal="center"/>
    </xf>
    <xf numFmtId="0" fontId="0" fillId="2" borderId="30" xfId="0" applyFill="1" applyBorder="1" applyAlignment="1">
      <alignment horizontal="center" wrapText="1"/>
    </xf>
    <xf numFmtId="0" fontId="0" fillId="2" borderId="49" xfId="0" applyFill="1" applyBorder="1" applyAlignment="1">
      <alignment horizontal="center" wrapText="1"/>
    </xf>
    <xf numFmtId="0" fontId="0" fillId="2" borderId="27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1" fontId="2" fillId="2" borderId="42" xfId="0" applyNumberFormat="1" applyFont="1" applyFill="1" applyBorder="1" applyAlignment="1">
      <alignment horizontal="center"/>
    </xf>
    <xf numFmtId="1" fontId="2" fillId="2" borderId="43" xfId="0" applyNumberFormat="1" applyFont="1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2" borderId="6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6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5" xfId="0" applyFill="1" applyBorder="1" applyAlignment="1">
      <alignment horizontal="center"/>
    </xf>
    <xf numFmtId="0" fontId="0" fillId="2" borderId="56" xfId="0" applyFill="1" applyBorder="1" applyAlignment="1">
      <alignment horizontal="center"/>
    </xf>
    <xf numFmtId="0" fontId="0" fillId="2" borderId="57" xfId="0" applyFill="1" applyBorder="1" applyAlignment="1">
      <alignment horizontal="center"/>
    </xf>
    <xf numFmtId="0" fontId="0" fillId="2" borderId="46" xfId="0" applyFill="1" applyBorder="1" applyAlignment="1">
      <alignment horizontal="center" vertical="center" wrapText="1"/>
    </xf>
    <xf numFmtId="0" fontId="0" fillId="2" borderId="35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0" fontId="0" fillId="2" borderId="59" xfId="0" applyFill="1" applyBorder="1" applyAlignment="1">
      <alignment horizontal="center" vertical="center" wrapText="1"/>
    </xf>
    <xf numFmtId="0" fontId="0" fillId="2" borderId="63" xfId="0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2" fillId="2" borderId="57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0" fillId="2" borderId="61" xfId="0" applyFill="1" applyBorder="1" applyAlignment="1">
      <alignment horizontal="center" wrapText="1"/>
    </xf>
    <xf numFmtId="0" fontId="0" fillId="2" borderId="43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59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2" fillId="2" borderId="51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/>
    </xf>
    <xf numFmtId="0" fontId="0" fillId="2" borderId="64" xfId="0" applyFill="1" applyBorder="1" applyAlignment="1">
      <alignment horizontal="center"/>
    </xf>
    <xf numFmtId="0" fontId="0" fillId="2" borderId="53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2" fillId="2" borderId="55" xfId="0" applyFont="1" applyFill="1" applyBorder="1" applyAlignment="1">
      <alignment horizontal="center" vertical="top"/>
    </xf>
    <xf numFmtId="0" fontId="2" fillId="2" borderId="56" xfId="0" applyFont="1" applyFill="1" applyBorder="1" applyAlignment="1">
      <alignment horizontal="center" vertical="top"/>
    </xf>
    <xf numFmtId="0" fontId="2" fillId="2" borderId="57" xfId="0" applyFont="1" applyFill="1" applyBorder="1" applyAlignment="1">
      <alignment horizontal="center" vertical="top"/>
    </xf>
    <xf numFmtId="0" fontId="0" fillId="2" borderId="14" xfId="0" applyFill="1" applyBorder="1" applyAlignment="1">
      <alignment horizontal="center"/>
    </xf>
    <xf numFmtId="0" fontId="0" fillId="2" borderId="65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60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4" fillId="2" borderId="35" xfId="0" applyFont="1" applyFill="1" applyBorder="1" applyAlignment="1">
      <alignment horizontal="center"/>
    </xf>
    <xf numFmtId="0" fontId="4" fillId="2" borderId="46" xfId="0" applyFont="1" applyFill="1" applyBorder="1" applyAlignment="1">
      <alignment horizontal="center"/>
    </xf>
    <xf numFmtId="0" fontId="4" fillId="2" borderId="52" xfId="0" applyFont="1" applyFill="1" applyBorder="1" applyAlignment="1">
      <alignment horizontal="center"/>
    </xf>
    <xf numFmtId="0" fontId="0" fillId="2" borderId="55" xfId="0" applyFill="1" applyBorder="1" applyAlignment="1">
      <alignment horizontal="center" vertical="center" wrapText="1"/>
    </xf>
    <xf numFmtId="0" fontId="0" fillId="2" borderId="56" xfId="0" applyFill="1" applyBorder="1" applyAlignment="1">
      <alignment horizontal="center" vertical="center" wrapText="1"/>
    </xf>
    <xf numFmtId="0" fontId="0" fillId="2" borderId="5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calcChain" Target="calcChain.xml"/><Relationship Id="rId12" Type="http://schemas.openxmlformats.org/officeDocument/2006/relationships/customXml" Target="../customXml/item1.xml"/><Relationship Id="rId13" Type="http://schemas.openxmlformats.org/officeDocument/2006/relationships/customXml" Target="../customXml/item2.xml"/><Relationship Id="rId14" Type="http://schemas.openxmlformats.org/officeDocument/2006/relationships/customXml" Target="../customXml/item3.xml"/><Relationship Id="rId15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2169576059848"/>
          <c:y val="0.0862073803844537"/>
          <c:w val="0.845386533665836"/>
          <c:h val="0.655176090921847"/>
        </c:manualLayout>
      </c:layout>
      <c:scatterChart>
        <c:scatterStyle val="lineMarker"/>
        <c:varyColors val="0"/>
        <c:ser>
          <c:idx val="5"/>
          <c:order val="0"/>
          <c:tx>
            <c:v>Vindeln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Betula_pubescens!$B$126:$B$155</c:f>
              <c:numCache>
                <c:formatCode>m/d/yy</c:formatCode>
                <c:ptCount val="30"/>
                <c:pt idx="0">
                  <c:v>41036.0</c:v>
                </c:pt>
                <c:pt idx="1">
                  <c:v>41045.0</c:v>
                </c:pt>
                <c:pt idx="2">
                  <c:v>41052.0</c:v>
                </c:pt>
                <c:pt idx="3">
                  <c:v>41054.0</c:v>
                </c:pt>
                <c:pt idx="4">
                  <c:v>41060.0</c:v>
                </c:pt>
                <c:pt idx="5">
                  <c:v>41065.0</c:v>
                </c:pt>
                <c:pt idx="6">
                  <c:v>41071.0</c:v>
                </c:pt>
                <c:pt idx="7">
                  <c:v>41078.0</c:v>
                </c:pt>
                <c:pt idx="8">
                  <c:v>41085.0</c:v>
                </c:pt>
                <c:pt idx="9">
                  <c:v>41093.0</c:v>
                </c:pt>
                <c:pt idx="10">
                  <c:v>41100.0</c:v>
                </c:pt>
                <c:pt idx="11">
                  <c:v>41106.0</c:v>
                </c:pt>
                <c:pt idx="12">
                  <c:v>41113.0</c:v>
                </c:pt>
                <c:pt idx="13">
                  <c:v>41137.0</c:v>
                </c:pt>
                <c:pt idx="14">
                  <c:v>41143.0</c:v>
                </c:pt>
                <c:pt idx="15">
                  <c:v>41149.0</c:v>
                </c:pt>
                <c:pt idx="16">
                  <c:v>41156.0</c:v>
                </c:pt>
                <c:pt idx="17">
                  <c:v>41162.0</c:v>
                </c:pt>
                <c:pt idx="18">
                  <c:v>41169.0</c:v>
                </c:pt>
                <c:pt idx="19">
                  <c:v>41176.0</c:v>
                </c:pt>
                <c:pt idx="20">
                  <c:v>41183.0</c:v>
                </c:pt>
                <c:pt idx="21">
                  <c:v>41190.0</c:v>
                </c:pt>
                <c:pt idx="22">
                  <c:v>41197.0</c:v>
                </c:pt>
              </c:numCache>
            </c:numRef>
          </c:xVal>
          <c:yVal>
            <c:numRef>
              <c:f>Betula_pubescens!$AZ$126:$AZ$155</c:f>
              <c:numCache>
                <c:formatCode>0.00</c:formatCode>
                <c:ptCount val="30"/>
                <c:pt idx="0">
                  <c:v>5.435428571428571</c:v>
                </c:pt>
                <c:pt idx="1">
                  <c:v>6.522000000000001</c:v>
                </c:pt>
                <c:pt idx="2">
                  <c:v>8.544571428571427</c:v>
                </c:pt>
                <c:pt idx="3">
                  <c:v>11.89885714285714</c:v>
                </c:pt>
                <c:pt idx="4">
                  <c:v>19.88228571428571</c:v>
                </c:pt>
                <c:pt idx="5">
                  <c:v>24.28542857142857</c:v>
                </c:pt>
                <c:pt idx="6">
                  <c:v>29.49028571428571</c:v>
                </c:pt>
                <c:pt idx="7">
                  <c:v>39.52971428571428</c:v>
                </c:pt>
                <c:pt idx="8">
                  <c:v>43.89542857142858</c:v>
                </c:pt>
                <c:pt idx="9">
                  <c:v>45.65623809523809</c:v>
                </c:pt>
                <c:pt idx="10">
                  <c:v>49.67328571428571</c:v>
                </c:pt>
                <c:pt idx="11">
                  <c:v>49.67328571428571</c:v>
                </c:pt>
                <c:pt idx="12">
                  <c:v>49.67328571428571</c:v>
                </c:pt>
                <c:pt idx="13">
                  <c:v>49.67328571428571</c:v>
                </c:pt>
                <c:pt idx="14">
                  <c:v>49.67328571428571</c:v>
                </c:pt>
                <c:pt idx="15">
                  <c:v>49.67328571428571</c:v>
                </c:pt>
                <c:pt idx="16">
                  <c:v>49.67328571428571</c:v>
                </c:pt>
                <c:pt idx="17">
                  <c:v>49.67328571428571</c:v>
                </c:pt>
                <c:pt idx="18">
                  <c:v>49.67328571428571</c:v>
                </c:pt>
                <c:pt idx="19">
                  <c:v>49.67328571428571</c:v>
                </c:pt>
                <c:pt idx="20">
                  <c:v>49.67328571428571</c:v>
                </c:pt>
                <c:pt idx="21">
                  <c:v>49.67328571428571</c:v>
                </c:pt>
                <c:pt idx="22">
                  <c:v>49.67328571428571</c:v>
                </c:pt>
                <c:pt idx="23">
                  <c:v>49.67328571428571</c:v>
                </c:pt>
                <c:pt idx="24">
                  <c:v>49.67328571428571</c:v>
                </c:pt>
                <c:pt idx="25">
                  <c:v>49.67328571428571</c:v>
                </c:pt>
                <c:pt idx="26">
                  <c:v>49.67328571428571</c:v>
                </c:pt>
                <c:pt idx="27">
                  <c:v>49.67328571428571</c:v>
                </c:pt>
                <c:pt idx="28">
                  <c:v>49.67328571428571</c:v>
                </c:pt>
                <c:pt idx="29">
                  <c:v>49.67328571428571</c:v>
                </c:pt>
              </c:numCache>
            </c:numRef>
          </c:yVal>
          <c:smooth val="0"/>
        </c:ser>
        <c:ser>
          <c:idx val="0"/>
          <c:order val="1"/>
          <c:tx>
            <c:v>Umeå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Betula_pubescens!$B$96:$B$125</c:f>
              <c:numCache>
                <c:formatCode>m/d/yy</c:formatCode>
                <c:ptCount val="30"/>
                <c:pt idx="0">
                  <c:v>41029.0</c:v>
                </c:pt>
                <c:pt idx="1">
                  <c:v>41037.0</c:v>
                </c:pt>
                <c:pt idx="2">
                  <c:v>41043.0</c:v>
                </c:pt>
                <c:pt idx="3">
                  <c:v>41045.0</c:v>
                </c:pt>
                <c:pt idx="4">
                  <c:v>41047.0</c:v>
                </c:pt>
                <c:pt idx="5">
                  <c:v>41048.0</c:v>
                </c:pt>
                <c:pt idx="6">
                  <c:v>41050.0</c:v>
                </c:pt>
                <c:pt idx="7">
                  <c:v>41052.0</c:v>
                </c:pt>
                <c:pt idx="8">
                  <c:v>41053.0</c:v>
                </c:pt>
                <c:pt idx="9">
                  <c:v>41055.0</c:v>
                </c:pt>
                <c:pt idx="10">
                  <c:v>41057.0</c:v>
                </c:pt>
              </c:numCache>
            </c:numRef>
          </c:xVal>
          <c:yVal>
            <c:numRef>
              <c:f>Betula_pubescens!$AZ$96:$AZ$125</c:f>
              <c:numCache>
                <c:formatCode>0.00</c:formatCode>
                <c:ptCount val="30"/>
                <c:pt idx="0">
                  <c:v>6.004</c:v>
                </c:pt>
                <c:pt idx="1">
                  <c:v>6.644</c:v>
                </c:pt>
                <c:pt idx="2">
                  <c:v>7.292</c:v>
                </c:pt>
                <c:pt idx="3">
                  <c:v>7.94</c:v>
                </c:pt>
                <c:pt idx="4">
                  <c:v>9.284000000000001</c:v>
                </c:pt>
                <c:pt idx="5">
                  <c:v>9.484</c:v>
                </c:pt>
                <c:pt idx="6">
                  <c:v>10.364</c:v>
                </c:pt>
                <c:pt idx="7">
                  <c:v>11.988</c:v>
                </c:pt>
                <c:pt idx="8">
                  <c:v>13.876</c:v>
                </c:pt>
                <c:pt idx="9">
                  <c:v>21.336</c:v>
                </c:pt>
                <c:pt idx="10">
                  <c:v>28.14</c:v>
                </c:pt>
                <c:pt idx="11">
                  <c:v>28.14</c:v>
                </c:pt>
                <c:pt idx="12">
                  <c:v>28.14</c:v>
                </c:pt>
                <c:pt idx="13">
                  <c:v>28.14</c:v>
                </c:pt>
                <c:pt idx="14">
                  <c:v>28.14</c:v>
                </c:pt>
                <c:pt idx="15">
                  <c:v>28.14</c:v>
                </c:pt>
                <c:pt idx="16">
                  <c:v>28.14</c:v>
                </c:pt>
                <c:pt idx="17">
                  <c:v>28.14</c:v>
                </c:pt>
                <c:pt idx="18">
                  <c:v>28.14</c:v>
                </c:pt>
                <c:pt idx="19">
                  <c:v>28.14</c:v>
                </c:pt>
                <c:pt idx="20">
                  <c:v>28.14</c:v>
                </c:pt>
                <c:pt idx="21">
                  <c:v>28.14</c:v>
                </c:pt>
                <c:pt idx="22">
                  <c:v>28.14</c:v>
                </c:pt>
                <c:pt idx="23">
                  <c:v>28.14</c:v>
                </c:pt>
                <c:pt idx="24">
                  <c:v>28.14</c:v>
                </c:pt>
                <c:pt idx="25">
                  <c:v>28.14</c:v>
                </c:pt>
                <c:pt idx="26">
                  <c:v>28.14</c:v>
                </c:pt>
                <c:pt idx="27">
                  <c:v>28.14</c:v>
                </c:pt>
                <c:pt idx="28">
                  <c:v>28.14</c:v>
                </c:pt>
              </c:numCache>
            </c:numRef>
          </c:yVal>
          <c:smooth val="0"/>
        </c:ser>
        <c:ser>
          <c:idx val="4"/>
          <c:order val="2"/>
          <c:tx>
            <c:v>Siljansfors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triangle"/>
            <c:size val="4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Betula_pubescens!$B$53:$B$65</c:f>
              <c:numCache>
                <c:formatCode>m/d/yy</c:formatCode>
                <c:ptCount val="13"/>
                <c:pt idx="0">
                  <c:v>41190.0</c:v>
                </c:pt>
                <c:pt idx="1">
                  <c:v>41197.0</c:v>
                </c:pt>
              </c:numCache>
            </c:numRef>
          </c:xVal>
          <c:yVal>
            <c:numRef>
              <c:f>Betula_pubescens!$AZ$36:$AZ$65</c:f>
              <c:numCache>
                <c:formatCode>0.00</c:formatCode>
                <c:ptCount val="30"/>
                <c:pt idx="0">
                  <c:v>5.994285714285715</c:v>
                </c:pt>
                <c:pt idx="1">
                  <c:v>6.651428571428572</c:v>
                </c:pt>
                <c:pt idx="2">
                  <c:v>7.585714285714286</c:v>
                </c:pt>
                <c:pt idx="3">
                  <c:v>9.46285714285714</c:v>
                </c:pt>
                <c:pt idx="4">
                  <c:v>12.70857142857143</c:v>
                </c:pt>
                <c:pt idx="5">
                  <c:v>24.84857142857143</c:v>
                </c:pt>
                <c:pt idx="6">
                  <c:v>36.65428571428571</c:v>
                </c:pt>
                <c:pt idx="7">
                  <c:v>39.31428571428572</c:v>
                </c:pt>
                <c:pt idx="8">
                  <c:v>44.88285714285714</c:v>
                </c:pt>
                <c:pt idx="9">
                  <c:v>50.71142857142856</c:v>
                </c:pt>
                <c:pt idx="10">
                  <c:v>51.84</c:v>
                </c:pt>
                <c:pt idx="11">
                  <c:v>52.26285714285713</c:v>
                </c:pt>
                <c:pt idx="12">
                  <c:v>52.26285714285713</c:v>
                </c:pt>
                <c:pt idx="13">
                  <c:v>52.26285714285713</c:v>
                </c:pt>
                <c:pt idx="14">
                  <c:v>52.26285714285713</c:v>
                </c:pt>
                <c:pt idx="15">
                  <c:v>52.26285714285713</c:v>
                </c:pt>
                <c:pt idx="16">
                  <c:v>52.26285714285713</c:v>
                </c:pt>
                <c:pt idx="17">
                  <c:v>52.26285714285713</c:v>
                </c:pt>
                <c:pt idx="18">
                  <c:v>52.26285714285713</c:v>
                </c:pt>
                <c:pt idx="19">
                  <c:v>52.26285714285713</c:v>
                </c:pt>
                <c:pt idx="20">
                  <c:v>52.26285714285713</c:v>
                </c:pt>
                <c:pt idx="21">
                  <c:v>52.26285714285713</c:v>
                </c:pt>
                <c:pt idx="22">
                  <c:v>52.26285714285713</c:v>
                </c:pt>
                <c:pt idx="23">
                  <c:v>52.26285714285713</c:v>
                </c:pt>
                <c:pt idx="24">
                  <c:v>52.26285714285713</c:v>
                </c:pt>
                <c:pt idx="25">
                  <c:v>52.26285714285713</c:v>
                </c:pt>
                <c:pt idx="26">
                  <c:v>52.26285714285713</c:v>
                </c:pt>
                <c:pt idx="27">
                  <c:v>52.26285714285713</c:v>
                </c:pt>
                <c:pt idx="28">
                  <c:v>52.26285714285713</c:v>
                </c:pt>
              </c:numCache>
            </c:numRef>
          </c:yVal>
          <c:smooth val="0"/>
        </c:ser>
        <c:ser>
          <c:idx val="2"/>
          <c:order val="3"/>
          <c:tx>
            <c:v>Asa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Betula_pubescens!$B$6:$B$35</c:f>
              <c:numCache>
                <c:formatCode>m/d/yy</c:formatCode>
                <c:ptCount val="30"/>
                <c:pt idx="0">
                  <c:v>41032.0</c:v>
                </c:pt>
                <c:pt idx="1">
                  <c:v>41040.0</c:v>
                </c:pt>
                <c:pt idx="2">
                  <c:v>41047.0</c:v>
                </c:pt>
                <c:pt idx="3">
                  <c:v>41053.0</c:v>
                </c:pt>
                <c:pt idx="4">
                  <c:v>41059.0</c:v>
                </c:pt>
                <c:pt idx="5">
                  <c:v>41068.0</c:v>
                </c:pt>
                <c:pt idx="6">
                  <c:v>41074.0</c:v>
                </c:pt>
                <c:pt idx="7">
                  <c:v>41130.0</c:v>
                </c:pt>
                <c:pt idx="8">
                  <c:v>41127.0</c:v>
                </c:pt>
                <c:pt idx="9">
                  <c:v>41145.0</c:v>
                </c:pt>
                <c:pt idx="10">
                  <c:v>41152.0</c:v>
                </c:pt>
                <c:pt idx="11">
                  <c:v>41159.0</c:v>
                </c:pt>
                <c:pt idx="12">
                  <c:v>41166.0</c:v>
                </c:pt>
                <c:pt idx="13">
                  <c:v>41172.0</c:v>
                </c:pt>
                <c:pt idx="14">
                  <c:v>41180.0</c:v>
                </c:pt>
                <c:pt idx="15">
                  <c:v>41186.0</c:v>
                </c:pt>
                <c:pt idx="16">
                  <c:v>41193.0</c:v>
                </c:pt>
                <c:pt idx="17">
                  <c:v>41201.0</c:v>
                </c:pt>
                <c:pt idx="18">
                  <c:v>41208.0</c:v>
                </c:pt>
              </c:numCache>
            </c:numRef>
          </c:xVal>
          <c:yVal>
            <c:numRef>
              <c:f>Betula_pubescens!$AZ$6:$AZ$35</c:f>
              <c:numCache>
                <c:formatCode>0.00</c:formatCode>
                <c:ptCount val="30"/>
                <c:pt idx="0">
                  <c:v>6.508</c:v>
                </c:pt>
                <c:pt idx="1">
                  <c:v>12.868</c:v>
                </c:pt>
                <c:pt idx="2">
                  <c:v>18.072</c:v>
                </c:pt>
                <c:pt idx="3">
                  <c:v>30.204</c:v>
                </c:pt>
                <c:pt idx="4">
                  <c:v>34.52</c:v>
                </c:pt>
                <c:pt idx="5">
                  <c:v>35.748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</c:numCache>
            </c:numRef>
          </c:yVal>
          <c:smooth val="0"/>
        </c:ser>
        <c:ser>
          <c:idx val="1"/>
          <c:order val="4"/>
          <c:tx>
            <c:v>Tönnersjöheden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Betula_pubescens!$B$66:$B$95</c:f>
              <c:numCache>
                <c:formatCode>m/d/yy</c:formatCode>
                <c:ptCount val="30"/>
              </c:numCache>
            </c:numRef>
          </c:xVal>
          <c:yVal>
            <c:numRef>
              <c:f>Betula_pubescens!$AZ$66:$AZ$95</c:f>
              <c:numCache>
                <c:formatCode>0.00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21297624"/>
        <c:axId val="-2113741768"/>
      </c:scatterChart>
      <c:valAx>
        <c:axId val="-2121297624"/>
        <c:scaling>
          <c:orientation val="minMax"/>
          <c:min val="41000.0"/>
        </c:scaling>
        <c:delete val="0"/>
        <c:axPos val="b"/>
        <c:numFmt formatCode="d\/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3741768"/>
        <c:crosses val="autoZero"/>
        <c:crossBetween val="midCat"/>
        <c:majorUnit val="7.0"/>
      </c:valAx>
      <c:valAx>
        <c:axId val="-21137417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Knopp/bladlängd, mm</a:t>
                </a:r>
              </a:p>
            </c:rich>
          </c:tx>
          <c:layout>
            <c:manualLayout>
              <c:xMode val="edge"/>
              <c:yMode val="edge"/>
              <c:x val="0.0183037674765363"/>
              <c:y val="0.11684021389849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21297624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4785992217899"/>
          <c:y val="0.0887850467289742"/>
          <c:w val="0.239299610894944"/>
          <c:h val="0.38785046728973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 orientation="landscape" horizontalDpi="0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9841868818371"/>
          <c:y val="0.0862073803844537"/>
          <c:w val="0.836412687083462"/>
          <c:h val="0.632187456152659"/>
        </c:manualLayout>
      </c:layout>
      <c:scatterChart>
        <c:scatterStyle val="lineMarker"/>
        <c:varyColors val="0"/>
        <c:ser>
          <c:idx val="2"/>
          <c:order val="0"/>
          <c:tx>
            <c:v>Asa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Betula_pubescens!$B$6:$B$35</c:f>
              <c:numCache>
                <c:formatCode>m/d/yy</c:formatCode>
                <c:ptCount val="30"/>
                <c:pt idx="0">
                  <c:v>41032.0</c:v>
                </c:pt>
                <c:pt idx="1">
                  <c:v>41040.0</c:v>
                </c:pt>
                <c:pt idx="2">
                  <c:v>41047.0</c:v>
                </c:pt>
                <c:pt idx="3">
                  <c:v>41053.0</c:v>
                </c:pt>
                <c:pt idx="4">
                  <c:v>41059.0</c:v>
                </c:pt>
                <c:pt idx="5">
                  <c:v>41068.0</c:v>
                </c:pt>
                <c:pt idx="6">
                  <c:v>41074.0</c:v>
                </c:pt>
                <c:pt idx="7">
                  <c:v>41130.0</c:v>
                </c:pt>
                <c:pt idx="8">
                  <c:v>41127.0</c:v>
                </c:pt>
                <c:pt idx="9">
                  <c:v>41145.0</c:v>
                </c:pt>
                <c:pt idx="10">
                  <c:v>41152.0</c:v>
                </c:pt>
                <c:pt idx="11">
                  <c:v>41159.0</c:v>
                </c:pt>
                <c:pt idx="12">
                  <c:v>41166.0</c:v>
                </c:pt>
                <c:pt idx="13">
                  <c:v>41172.0</c:v>
                </c:pt>
                <c:pt idx="14">
                  <c:v>41180.0</c:v>
                </c:pt>
                <c:pt idx="15">
                  <c:v>41186.0</c:v>
                </c:pt>
                <c:pt idx="16">
                  <c:v>41193.0</c:v>
                </c:pt>
                <c:pt idx="17">
                  <c:v>41201.0</c:v>
                </c:pt>
                <c:pt idx="18">
                  <c:v>41208.0</c:v>
                </c:pt>
              </c:numCache>
            </c:numRef>
          </c:xVal>
          <c:yVal>
            <c:numRef>
              <c:f>Betula_pubescens!$BA$6:$BA$35</c:f>
              <c:numCache>
                <c:formatCode>0.0</c:formatCode>
                <c:ptCount val="30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2.0</c:v>
                </c:pt>
                <c:pt idx="4">
                  <c:v>2.0</c:v>
                </c:pt>
                <c:pt idx="5">
                  <c:v>2.2</c:v>
                </c:pt>
                <c:pt idx="6">
                  <c:v>3.0</c:v>
                </c:pt>
                <c:pt idx="7">
                  <c:v>4.0</c:v>
                </c:pt>
                <c:pt idx="8">
                  <c:v>4.0</c:v>
                </c:pt>
                <c:pt idx="9">
                  <c:v>4.0</c:v>
                </c:pt>
                <c:pt idx="10">
                  <c:v>4.0</c:v>
                </c:pt>
                <c:pt idx="11">
                  <c:v>5.0</c:v>
                </c:pt>
                <c:pt idx="12">
                  <c:v>5.8</c:v>
                </c:pt>
                <c:pt idx="13">
                  <c:v>6.0</c:v>
                </c:pt>
                <c:pt idx="14">
                  <c:v>6.8</c:v>
                </c:pt>
                <c:pt idx="15">
                  <c:v>7.0</c:v>
                </c:pt>
                <c:pt idx="16">
                  <c:v>7.2</c:v>
                </c:pt>
                <c:pt idx="17">
                  <c:v>7.2</c:v>
                </c:pt>
                <c:pt idx="18">
                  <c:v>8.0</c:v>
                </c:pt>
                <c:pt idx="19">
                  <c:v>8.0</c:v>
                </c:pt>
                <c:pt idx="20">
                  <c:v>8.0</c:v>
                </c:pt>
                <c:pt idx="21">
                  <c:v>8.0</c:v>
                </c:pt>
                <c:pt idx="22">
                  <c:v>8.0</c:v>
                </c:pt>
                <c:pt idx="23">
                  <c:v>8.0</c:v>
                </c:pt>
                <c:pt idx="24">
                  <c:v>8.0</c:v>
                </c:pt>
                <c:pt idx="25">
                  <c:v>8.0</c:v>
                </c:pt>
                <c:pt idx="26">
                  <c:v>8.0</c:v>
                </c:pt>
                <c:pt idx="27">
                  <c:v>8.0</c:v>
                </c:pt>
                <c:pt idx="28">
                  <c:v>8.0</c:v>
                </c:pt>
                <c:pt idx="29">
                  <c:v>8.0</c:v>
                </c:pt>
              </c:numCache>
            </c:numRef>
          </c:yVal>
          <c:smooth val="0"/>
        </c:ser>
        <c:ser>
          <c:idx val="4"/>
          <c:order val="1"/>
          <c:tx>
            <c:v>Siljansfors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triangle"/>
            <c:size val="4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Betula_pubescens!$B$53:$B$65</c:f>
              <c:numCache>
                <c:formatCode>m/d/yy</c:formatCode>
                <c:ptCount val="13"/>
                <c:pt idx="0">
                  <c:v>41190.0</c:v>
                </c:pt>
                <c:pt idx="1">
                  <c:v>41197.0</c:v>
                </c:pt>
              </c:numCache>
            </c:numRef>
          </c:xVal>
          <c:yVal>
            <c:numRef>
              <c:f>Betula_pubescens!$BA$36:$BA$65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0.8</c:v>
                </c:pt>
                <c:pt idx="5">
                  <c:v>2.0</c:v>
                </c:pt>
                <c:pt idx="6">
                  <c:v>2.0</c:v>
                </c:pt>
                <c:pt idx="7">
                  <c:v>2.0</c:v>
                </c:pt>
                <c:pt idx="8">
                  <c:v>2.0</c:v>
                </c:pt>
                <c:pt idx="9">
                  <c:v>2.0</c:v>
                </c:pt>
                <c:pt idx="10">
                  <c:v>2.0</c:v>
                </c:pt>
                <c:pt idx="11">
                  <c:v>3.0</c:v>
                </c:pt>
                <c:pt idx="12">
                  <c:v>4.0</c:v>
                </c:pt>
                <c:pt idx="13">
                  <c:v>4.6</c:v>
                </c:pt>
                <c:pt idx="14">
                  <c:v>5.2</c:v>
                </c:pt>
                <c:pt idx="15">
                  <c:v>6.6</c:v>
                </c:pt>
                <c:pt idx="16">
                  <c:v>6.8</c:v>
                </c:pt>
                <c:pt idx="17">
                  <c:v>7.4</c:v>
                </c:pt>
                <c:pt idx="18">
                  <c:v>8.0</c:v>
                </c:pt>
                <c:pt idx="19">
                  <c:v>8.0</c:v>
                </c:pt>
                <c:pt idx="20">
                  <c:v>8.0</c:v>
                </c:pt>
                <c:pt idx="21">
                  <c:v>8.0</c:v>
                </c:pt>
                <c:pt idx="22">
                  <c:v>8.0</c:v>
                </c:pt>
                <c:pt idx="23">
                  <c:v>8.0</c:v>
                </c:pt>
                <c:pt idx="24">
                  <c:v>8.0</c:v>
                </c:pt>
                <c:pt idx="25">
                  <c:v>8.0</c:v>
                </c:pt>
                <c:pt idx="26">
                  <c:v>8.0</c:v>
                </c:pt>
                <c:pt idx="27">
                  <c:v>8.0</c:v>
                </c:pt>
                <c:pt idx="28">
                  <c:v>8.0</c:v>
                </c:pt>
                <c:pt idx="29">
                  <c:v>8.0</c:v>
                </c:pt>
              </c:numCache>
            </c:numRef>
          </c:yVal>
          <c:smooth val="0"/>
        </c:ser>
        <c:ser>
          <c:idx val="0"/>
          <c:order val="2"/>
          <c:tx>
            <c:v>Umeå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Betula_pubescens!$B$96:$B$125</c:f>
              <c:numCache>
                <c:formatCode>m/d/yy</c:formatCode>
                <c:ptCount val="30"/>
                <c:pt idx="0">
                  <c:v>41029.0</c:v>
                </c:pt>
                <c:pt idx="1">
                  <c:v>41037.0</c:v>
                </c:pt>
                <c:pt idx="2">
                  <c:v>41043.0</c:v>
                </c:pt>
                <c:pt idx="3">
                  <c:v>41045.0</c:v>
                </c:pt>
                <c:pt idx="4">
                  <c:v>41047.0</c:v>
                </c:pt>
                <c:pt idx="5">
                  <c:v>41048.0</c:v>
                </c:pt>
                <c:pt idx="6">
                  <c:v>41050.0</c:v>
                </c:pt>
                <c:pt idx="7">
                  <c:v>41052.0</c:v>
                </c:pt>
                <c:pt idx="8">
                  <c:v>41053.0</c:v>
                </c:pt>
                <c:pt idx="9">
                  <c:v>41055.0</c:v>
                </c:pt>
                <c:pt idx="10">
                  <c:v>41057.0</c:v>
                </c:pt>
              </c:numCache>
            </c:numRef>
          </c:xVal>
          <c:yVal>
            <c:numRef>
              <c:f>Betula_pubescens!$BA$96:$BA$125</c:f>
              <c:numCache>
                <c:formatCode>0.0</c:formatCode>
                <c:ptCount val="30"/>
                <c:pt idx="0">
                  <c:v>8.0</c:v>
                </c:pt>
                <c:pt idx="1">
                  <c:v>8.0</c:v>
                </c:pt>
                <c:pt idx="2">
                  <c:v>8.0</c:v>
                </c:pt>
                <c:pt idx="3">
                  <c:v>8.0</c:v>
                </c:pt>
                <c:pt idx="4">
                  <c:v>8.0</c:v>
                </c:pt>
                <c:pt idx="5">
                  <c:v>8.0</c:v>
                </c:pt>
                <c:pt idx="6">
                  <c:v>8.0</c:v>
                </c:pt>
                <c:pt idx="7">
                  <c:v>8.0</c:v>
                </c:pt>
                <c:pt idx="8">
                  <c:v>8.0</c:v>
                </c:pt>
                <c:pt idx="9">
                  <c:v>8.0</c:v>
                </c:pt>
                <c:pt idx="10">
                  <c:v>8.0</c:v>
                </c:pt>
                <c:pt idx="11">
                  <c:v>8.0</c:v>
                </c:pt>
                <c:pt idx="12">
                  <c:v>8.0</c:v>
                </c:pt>
                <c:pt idx="13">
                  <c:v>8.0</c:v>
                </c:pt>
                <c:pt idx="14">
                  <c:v>8.0</c:v>
                </c:pt>
                <c:pt idx="15">
                  <c:v>8.0</c:v>
                </c:pt>
                <c:pt idx="16">
                  <c:v>8.0</c:v>
                </c:pt>
                <c:pt idx="17">
                  <c:v>8.0</c:v>
                </c:pt>
                <c:pt idx="18">
                  <c:v>8.0</c:v>
                </c:pt>
                <c:pt idx="19">
                  <c:v>8.0</c:v>
                </c:pt>
                <c:pt idx="20">
                  <c:v>8.0</c:v>
                </c:pt>
                <c:pt idx="21">
                  <c:v>8.0</c:v>
                </c:pt>
                <c:pt idx="22">
                  <c:v>8.0</c:v>
                </c:pt>
                <c:pt idx="23">
                  <c:v>8.0</c:v>
                </c:pt>
                <c:pt idx="24">
                  <c:v>8.0</c:v>
                </c:pt>
                <c:pt idx="25">
                  <c:v>8.0</c:v>
                </c:pt>
                <c:pt idx="26">
                  <c:v>8.0</c:v>
                </c:pt>
                <c:pt idx="27">
                  <c:v>8.0</c:v>
                </c:pt>
                <c:pt idx="28">
                  <c:v>8.0</c:v>
                </c:pt>
                <c:pt idx="29">
                  <c:v>8.0</c:v>
                </c:pt>
              </c:numCache>
            </c:numRef>
          </c:yVal>
          <c:smooth val="0"/>
        </c:ser>
        <c:ser>
          <c:idx val="5"/>
          <c:order val="3"/>
          <c:tx>
            <c:v>Vindeln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Betula_pubescens!$B$126:$B$155</c:f>
              <c:numCache>
                <c:formatCode>m/d/yy</c:formatCode>
                <c:ptCount val="30"/>
                <c:pt idx="0">
                  <c:v>41036.0</c:v>
                </c:pt>
                <c:pt idx="1">
                  <c:v>41045.0</c:v>
                </c:pt>
                <c:pt idx="2">
                  <c:v>41052.0</c:v>
                </c:pt>
                <c:pt idx="3">
                  <c:v>41054.0</c:v>
                </c:pt>
                <c:pt idx="4">
                  <c:v>41060.0</c:v>
                </c:pt>
                <c:pt idx="5">
                  <c:v>41065.0</c:v>
                </c:pt>
                <c:pt idx="6">
                  <c:v>41071.0</c:v>
                </c:pt>
                <c:pt idx="7">
                  <c:v>41078.0</c:v>
                </c:pt>
                <c:pt idx="8">
                  <c:v>41085.0</c:v>
                </c:pt>
                <c:pt idx="9">
                  <c:v>41093.0</c:v>
                </c:pt>
                <c:pt idx="10">
                  <c:v>41100.0</c:v>
                </c:pt>
                <c:pt idx="11">
                  <c:v>41106.0</c:v>
                </c:pt>
                <c:pt idx="12">
                  <c:v>41113.0</c:v>
                </c:pt>
                <c:pt idx="13">
                  <c:v>41137.0</c:v>
                </c:pt>
                <c:pt idx="14">
                  <c:v>41143.0</c:v>
                </c:pt>
                <c:pt idx="15">
                  <c:v>41149.0</c:v>
                </c:pt>
                <c:pt idx="16">
                  <c:v>41156.0</c:v>
                </c:pt>
                <c:pt idx="17">
                  <c:v>41162.0</c:v>
                </c:pt>
                <c:pt idx="18">
                  <c:v>41169.0</c:v>
                </c:pt>
                <c:pt idx="19">
                  <c:v>41176.0</c:v>
                </c:pt>
                <c:pt idx="20">
                  <c:v>41183.0</c:v>
                </c:pt>
                <c:pt idx="21">
                  <c:v>41190.0</c:v>
                </c:pt>
                <c:pt idx="22">
                  <c:v>41197.0</c:v>
                </c:pt>
              </c:numCache>
            </c:numRef>
          </c:xVal>
          <c:yVal>
            <c:numRef>
              <c:f>Betula_pubescens!$BA$126:$BA$155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0.8</c:v>
                </c:pt>
                <c:pt idx="4">
                  <c:v>1.6</c:v>
                </c:pt>
                <c:pt idx="5">
                  <c:v>2.0</c:v>
                </c:pt>
                <c:pt idx="6">
                  <c:v>2.0</c:v>
                </c:pt>
                <c:pt idx="7">
                  <c:v>2.0</c:v>
                </c:pt>
                <c:pt idx="8">
                  <c:v>2.0</c:v>
                </c:pt>
                <c:pt idx="9">
                  <c:v>2.0</c:v>
                </c:pt>
                <c:pt idx="10">
                  <c:v>3.0</c:v>
                </c:pt>
                <c:pt idx="11">
                  <c:v>3.0</c:v>
                </c:pt>
                <c:pt idx="12">
                  <c:v>3.0</c:v>
                </c:pt>
                <c:pt idx="13">
                  <c:v>4.0</c:v>
                </c:pt>
                <c:pt idx="14">
                  <c:v>4.0</c:v>
                </c:pt>
                <c:pt idx="15">
                  <c:v>4.0</c:v>
                </c:pt>
                <c:pt idx="16">
                  <c:v>4.8</c:v>
                </c:pt>
                <c:pt idx="17">
                  <c:v>5.0</c:v>
                </c:pt>
                <c:pt idx="18">
                  <c:v>5.8</c:v>
                </c:pt>
                <c:pt idx="19">
                  <c:v>6.8</c:v>
                </c:pt>
                <c:pt idx="20">
                  <c:v>7.0</c:v>
                </c:pt>
                <c:pt idx="21">
                  <c:v>7.6</c:v>
                </c:pt>
                <c:pt idx="22">
                  <c:v>8.0</c:v>
                </c:pt>
                <c:pt idx="23">
                  <c:v>8.0</c:v>
                </c:pt>
                <c:pt idx="24">
                  <c:v>8.0</c:v>
                </c:pt>
                <c:pt idx="25">
                  <c:v>8.0</c:v>
                </c:pt>
                <c:pt idx="26">
                  <c:v>8.0</c:v>
                </c:pt>
                <c:pt idx="27">
                  <c:v>8.0</c:v>
                </c:pt>
                <c:pt idx="28">
                  <c:v>8.0</c:v>
                </c:pt>
                <c:pt idx="29">
                  <c:v>8.0</c:v>
                </c:pt>
              </c:numCache>
            </c:numRef>
          </c:yVal>
          <c:smooth val="0"/>
        </c:ser>
        <c:ser>
          <c:idx val="1"/>
          <c:order val="4"/>
          <c:tx>
            <c:v>Tönnersjöheden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Betula_pubescens!$B$66:$B$95</c:f>
              <c:numCache>
                <c:formatCode>m/d/yy</c:formatCode>
                <c:ptCount val="30"/>
              </c:numCache>
            </c:numRef>
          </c:xVal>
          <c:yVal>
            <c:numRef>
              <c:f>Betula_pubescens!$BA$66:$BA$95</c:f>
              <c:numCache>
                <c:formatCode>0.0</c:formatCode>
                <c:ptCount val="30"/>
                <c:pt idx="0">
                  <c:v>8.0</c:v>
                </c:pt>
                <c:pt idx="1">
                  <c:v>8.0</c:v>
                </c:pt>
                <c:pt idx="2">
                  <c:v>8.0</c:v>
                </c:pt>
                <c:pt idx="3">
                  <c:v>8.0</c:v>
                </c:pt>
                <c:pt idx="4">
                  <c:v>8.0</c:v>
                </c:pt>
                <c:pt idx="5">
                  <c:v>8.0</c:v>
                </c:pt>
                <c:pt idx="6">
                  <c:v>8.0</c:v>
                </c:pt>
                <c:pt idx="7">
                  <c:v>8.0</c:v>
                </c:pt>
                <c:pt idx="8">
                  <c:v>8.0</c:v>
                </c:pt>
                <c:pt idx="9">
                  <c:v>8.0</c:v>
                </c:pt>
                <c:pt idx="10">
                  <c:v>8.0</c:v>
                </c:pt>
                <c:pt idx="11">
                  <c:v>8.0</c:v>
                </c:pt>
                <c:pt idx="12">
                  <c:v>8.0</c:v>
                </c:pt>
                <c:pt idx="13">
                  <c:v>8.0</c:v>
                </c:pt>
                <c:pt idx="14">
                  <c:v>8.0</c:v>
                </c:pt>
                <c:pt idx="15">
                  <c:v>8.0</c:v>
                </c:pt>
                <c:pt idx="16">
                  <c:v>8.0</c:v>
                </c:pt>
                <c:pt idx="17">
                  <c:v>8.0</c:v>
                </c:pt>
                <c:pt idx="18">
                  <c:v>8.0</c:v>
                </c:pt>
                <c:pt idx="19">
                  <c:v>8.0</c:v>
                </c:pt>
                <c:pt idx="20">
                  <c:v>8.0</c:v>
                </c:pt>
                <c:pt idx="21">
                  <c:v>8.0</c:v>
                </c:pt>
                <c:pt idx="22">
                  <c:v>8.0</c:v>
                </c:pt>
                <c:pt idx="23">
                  <c:v>8.0</c:v>
                </c:pt>
                <c:pt idx="24">
                  <c:v>8.0</c:v>
                </c:pt>
                <c:pt idx="25">
                  <c:v>8.0</c:v>
                </c:pt>
                <c:pt idx="26">
                  <c:v>8.0</c:v>
                </c:pt>
                <c:pt idx="27">
                  <c:v>8.0</c:v>
                </c:pt>
                <c:pt idx="28">
                  <c:v>8.0</c:v>
                </c:pt>
                <c:pt idx="29">
                  <c:v>8.0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1914104"/>
        <c:axId val="-2132014520"/>
      </c:scatterChart>
      <c:valAx>
        <c:axId val="-2131914104"/>
        <c:scaling>
          <c:orientation val="minMax"/>
          <c:min val="41000.0"/>
        </c:scaling>
        <c:delete val="0"/>
        <c:axPos val="b"/>
        <c:numFmt formatCode="d\/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32014520"/>
        <c:crosses val="autoZero"/>
        <c:crossBetween val="midCat"/>
        <c:majorUnit val="7.0"/>
      </c:valAx>
      <c:valAx>
        <c:axId val="-21320145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Bedömd fas</a:t>
                </a:r>
              </a:p>
            </c:rich>
          </c:tx>
          <c:layout>
            <c:manualLayout>
              <c:xMode val="edge"/>
              <c:yMode val="edge"/>
              <c:x val="0.0263851512231857"/>
              <c:y val="0.22413900949297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31914104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7450980392157"/>
          <c:y val="0.0632183908045977"/>
          <c:w val="0.835784313725508"/>
          <c:h val="0.781609195402299"/>
        </c:manualLayout>
      </c:layout>
      <c:scatterChart>
        <c:scatterStyle val="lineMarker"/>
        <c:varyColors val="0"/>
        <c:ser>
          <c:idx val="2"/>
          <c:order val="0"/>
          <c:tx>
            <c:v>Årets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Betula_pubescens!$BO$6:$BO$35</c:f>
              <c:numCache>
                <c:formatCode>0</c:formatCode>
                <c:ptCount val="30"/>
                <c:pt idx="0">
                  <c:v>124.0</c:v>
                </c:pt>
                <c:pt idx="1">
                  <c:v>132.0</c:v>
                </c:pt>
                <c:pt idx="2">
                  <c:v>139.0</c:v>
                </c:pt>
                <c:pt idx="3">
                  <c:v>145.0</c:v>
                </c:pt>
                <c:pt idx="4">
                  <c:v>151.0</c:v>
                </c:pt>
                <c:pt idx="5">
                  <c:v>160.0</c:v>
                </c:pt>
                <c:pt idx="6">
                  <c:v>166.0</c:v>
                </c:pt>
                <c:pt idx="7">
                  <c:v>222.0</c:v>
                </c:pt>
                <c:pt idx="8">
                  <c:v>219.0</c:v>
                </c:pt>
                <c:pt idx="9">
                  <c:v>237.0</c:v>
                </c:pt>
                <c:pt idx="10">
                  <c:v>244.0</c:v>
                </c:pt>
                <c:pt idx="11">
                  <c:v>251.0</c:v>
                </c:pt>
                <c:pt idx="12">
                  <c:v>258.0</c:v>
                </c:pt>
                <c:pt idx="13">
                  <c:v>264.0</c:v>
                </c:pt>
                <c:pt idx="14">
                  <c:v>272.0</c:v>
                </c:pt>
                <c:pt idx="15">
                  <c:v>278.0</c:v>
                </c:pt>
                <c:pt idx="16">
                  <c:v>285.0</c:v>
                </c:pt>
                <c:pt idx="17">
                  <c:v>293.0</c:v>
                </c:pt>
                <c:pt idx="18">
                  <c:v>300.0</c:v>
                </c:pt>
                <c:pt idx="19">
                  <c:v>300.0</c:v>
                </c:pt>
                <c:pt idx="20">
                  <c:v>300.0</c:v>
                </c:pt>
                <c:pt idx="21">
                  <c:v>300.0</c:v>
                </c:pt>
                <c:pt idx="22">
                  <c:v>300.0</c:v>
                </c:pt>
                <c:pt idx="23">
                  <c:v>300.0</c:v>
                </c:pt>
                <c:pt idx="24">
                  <c:v>300.0</c:v>
                </c:pt>
                <c:pt idx="25">
                  <c:v>300.0</c:v>
                </c:pt>
                <c:pt idx="26">
                  <c:v>300.0</c:v>
                </c:pt>
                <c:pt idx="27">
                  <c:v>300.0</c:v>
                </c:pt>
                <c:pt idx="28">
                  <c:v>300.0</c:v>
                </c:pt>
                <c:pt idx="29">
                  <c:v>300.0</c:v>
                </c:pt>
              </c:numCache>
            </c:numRef>
          </c:xVal>
          <c:yVal>
            <c:numRef>
              <c:f>Betula_pubescens!$AZ$6:$AZ$35</c:f>
              <c:numCache>
                <c:formatCode>0.00</c:formatCode>
                <c:ptCount val="30"/>
                <c:pt idx="0">
                  <c:v>6.508</c:v>
                </c:pt>
                <c:pt idx="1">
                  <c:v>12.868</c:v>
                </c:pt>
                <c:pt idx="2">
                  <c:v>18.072</c:v>
                </c:pt>
                <c:pt idx="3">
                  <c:v>30.204</c:v>
                </c:pt>
                <c:pt idx="4">
                  <c:v>34.52</c:v>
                </c:pt>
                <c:pt idx="5">
                  <c:v>35.748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</c:numCache>
            </c:numRef>
          </c:yVal>
          <c:smooth val="0"/>
        </c:ser>
        <c:ser>
          <c:idx val="1"/>
          <c:order val="1"/>
          <c:tx>
            <c:v>2006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x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Betula_pubescens!$CK$6:$CK$35</c:f>
              <c:numCache>
                <c:formatCode>0</c:formatCode>
                <c:ptCount val="30"/>
                <c:pt idx="0">
                  <c:v>123.0</c:v>
                </c:pt>
                <c:pt idx="1">
                  <c:v>124.0</c:v>
                </c:pt>
                <c:pt idx="2">
                  <c:v>128.0</c:v>
                </c:pt>
                <c:pt idx="3">
                  <c:v>130.0</c:v>
                </c:pt>
                <c:pt idx="4">
                  <c:v>132.0</c:v>
                </c:pt>
                <c:pt idx="5">
                  <c:v>135.0</c:v>
                </c:pt>
                <c:pt idx="6">
                  <c:v>137.0</c:v>
                </c:pt>
                <c:pt idx="7">
                  <c:v>139.0</c:v>
                </c:pt>
                <c:pt idx="8">
                  <c:v>142.0</c:v>
                </c:pt>
                <c:pt idx="9">
                  <c:v>144.0</c:v>
                </c:pt>
                <c:pt idx="10">
                  <c:v>146.0</c:v>
                </c:pt>
                <c:pt idx="11">
                  <c:v>149.0</c:v>
                </c:pt>
                <c:pt idx="12">
                  <c:v>151.0</c:v>
                </c:pt>
                <c:pt idx="13">
                  <c:v>153.0</c:v>
                </c:pt>
                <c:pt idx="14">
                  <c:v>156.0</c:v>
                </c:pt>
                <c:pt idx="15">
                  <c:v>163.0</c:v>
                </c:pt>
                <c:pt idx="16">
                  <c:v>244.0</c:v>
                </c:pt>
                <c:pt idx="17">
                  <c:v>250.0</c:v>
                </c:pt>
                <c:pt idx="18">
                  <c:v>258.0</c:v>
                </c:pt>
                <c:pt idx="19">
                  <c:v>264.0</c:v>
                </c:pt>
                <c:pt idx="20">
                  <c:v>272.0</c:v>
                </c:pt>
                <c:pt idx="21">
                  <c:v>279.0</c:v>
                </c:pt>
                <c:pt idx="22">
                  <c:v>286.0</c:v>
                </c:pt>
                <c:pt idx="23">
                  <c:v>293.0</c:v>
                </c:pt>
                <c:pt idx="24">
                  <c:v>300.0</c:v>
                </c:pt>
                <c:pt idx="25">
                  <c:v>306.0</c:v>
                </c:pt>
                <c:pt idx="26">
                  <c:v>314.0</c:v>
                </c:pt>
              </c:numCache>
            </c:numRef>
          </c:xVal>
          <c:yVal>
            <c:numRef>
              <c:f>Betula_pubescens!$CL$6:$CL$35</c:f>
              <c:numCache>
                <c:formatCode>0.0</c:formatCode>
                <c:ptCount val="30"/>
                <c:pt idx="0">
                  <c:v>6.836</c:v>
                </c:pt>
                <c:pt idx="1">
                  <c:v>7.26</c:v>
                </c:pt>
                <c:pt idx="2">
                  <c:v>11.768</c:v>
                </c:pt>
                <c:pt idx="3">
                  <c:v>15.716</c:v>
                </c:pt>
                <c:pt idx="4">
                  <c:v>20.168</c:v>
                </c:pt>
                <c:pt idx="5">
                  <c:v>23.488</c:v>
                </c:pt>
                <c:pt idx="6">
                  <c:v>27.16</c:v>
                </c:pt>
                <c:pt idx="7">
                  <c:v>27.52933333333334</c:v>
                </c:pt>
                <c:pt idx="8">
                  <c:v>31.69333333333334</c:v>
                </c:pt>
                <c:pt idx="9">
                  <c:v>35.212</c:v>
                </c:pt>
                <c:pt idx="10">
                  <c:v>36.84</c:v>
                </c:pt>
                <c:pt idx="11">
                  <c:v>39.996</c:v>
                </c:pt>
                <c:pt idx="12">
                  <c:v>41.75066666666667</c:v>
                </c:pt>
                <c:pt idx="13">
                  <c:v>43.30666666666666</c:v>
                </c:pt>
                <c:pt idx="14">
                  <c:v>45.24733333333334</c:v>
                </c:pt>
                <c:pt idx="15">
                  <c:v>46.988</c:v>
                </c:pt>
              </c:numCache>
            </c:numRef>
          </c:yVal>
          <c:smooth val="0"/>
        </c:ser>
        <c:ser>
          <c:idx val="0"/>
          <c:order val="2"/>
          <c:tx>
            <c:v>2007</c:v>
          </c:tx>
          <c:spPr>
            <a:ln w="9525">
              <a:solidFill>
                <a:srgbClr val="FF0000"/>
              </a:solidFill>
            </a:ln>
          </c:spPr>
          <c:marker>
            <c:symbol val="square"/>
            <c:size val="4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Betula_pubescens!$CG$6:$CG$27</c:f>
              <c:numCache>
                <c:formatCode>0</c:formatCode>
                <c:ptCount val="22"/>
                <c:pt idx="0">
                  <c:v>100.0</c:v>
                </c:pt>
                <c:pt idx="1">
                  <c:v>107.0</c:v>
                </c:pt>
                <c:pt idx="2">
                  <c:v>110.0</c:v>
                </c:pt>
                <c:pt idx="3">
                  <c:v>115.0</c:v>
                </c:pt>
                <c:pt idx="4">
                  <c:v>117.0</c:v>
                </c:pt>
                <c:pt idx="5">
                  <c:v>122.0</c:v>
                </c:pt>
                <c:pt idx="6">
                  <c:v>124.0</c:v>
                </c:pt>
                <c:pt idx="7">
                  <c:v>128.0</c:v>
                </c:pt>
                <c:pt idx="8">
                  <c:v>131.0</c:v>
                </c:pt>
                <c:pt idx="9">
                  <c:v>135.0</c:v>
                </c:pt>
                <c:pt idx="10">
                  <c:v>138.0</c:v>
                </c:pt>
                <c:pt idx="11">
                  <c:v>236.0</c:v>
                </c:pt>
                <c:pt idx="12">
                  <c:v>243.0</c:v>
                </c:pt>
                <c:pt idx="13">
                  <c:v>250.0</c:v>
                </c:pt>
                <c:pt idx="14">
                  <c:v>257.0</c:v>
                </c:pt>
                <c:pt idx="15">
                  <c:v>264.0</c:v>
                </c:pt>
                <c:pt idx="16">
                  <c:v>271.0</c:v>
                </c:pt>
                <c:pt idx="17">
                  <c:v>277.0</c:v>
                </c:pt>
                <c:pt idx="18">
                  <c:v>285.0</c:v>
                </c:pt>
                <c:pt idx="19">
                  <c:v>292.0</c:v>
                </c:pt>
                <c:pt idx="20">
                  <c:v>299.0</c:v>
                </c:pt>
                <c:pt idx="21">
                  <c:v>304.0</c:v>
                </c:pt>
              </c:numCache>
            </c:numRef>
          </c:xVal>
          <c:yVal>
            <c:numRef>
              <c:f>Betula_pubescens!$CH$6:$CH$27</c:f>
              <c:numCache>
                <c:formatCode>General</c:formatCode>
                <c:ptCount val="22"/>
                <c:pt idx="0">
                  <c:v>5.272</c:v>
                </c:pt>
                <c:pt idx="1">
                  <c:v>5.624</c:v>
                </c:pt>
                <c:pt idx="2">
                  <c:v>5.564</c:v>
                </c:pt>
                <c:pt idx="3">
                  <c:v>7.883999999999999</c:v>
                </c:pt>
                <c:pt idx="4">
                  <c:v>8.664</c:v>
                </c:pt>
                <c:pt idx="5">
                  <c:v>12.188</c:v>
                </c:pt>
                <c:pt idx="6">
                  <c:v>13.544</c:v>
                </c:pt>
                <c:pt idx="7">
                  <c:v>17.56</c:v>
                </c:pt>
                <c:pt idx="8">
                  <c:v>18.764</c:v>
                </c:pt>
                <c:pt idx="9">
                  <c:v>21.556</c:v>
                </c:pt>
                <c:pt idx="10">
                  <c:v>23.688</c:v>
                </c:pt>
              </c:numCache>
            </c:numRef>
          </c:yVal>
          <c:smooth val="0"/>
        </c:ser>
        <c:ser>
          <c:idx val="3"/>
          <c:order val="3"/>
          <c:tx>
            <c:v>2008</c:v>
          </c:tx>
          <c:spPr>
            <a:ln w="9525">
              <a:solidFill>
                <a:srgbClr val="FF0000"/>
              </a:solidFill>
            </a:ln>
          </c:spPr>
          <c:marker>
            <c:symbol val="triangle"/>
            <c:size val="4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Betula_pubescens!$CC$6:$CC$35</c:f>
              <c:numCache>
                <c:formatCode>0</c:formatCode>
                <c:ptCount val="30"/>
                <c:pt idx="0">
                  <c:v>102.0</c:v>
                </c:pt>
                <c:pt idx="1">
                  <c:v>109.0</c:v>
                </c:pt>
                <c:pt idx="2">
                  <c:v>116.0</c:v>
                </c:pt>
                <c:pt idx="3">
                  <c:v>123.0</c:v>
                </c:pt>
                <c:pt idx="4">
                  <c:v>130.0</c:v>
                </c:pt>
                <c:pt idx="5">
                  <c:v>137.0</c:v>
                </c:pt>
                <c:pt idx="6">
                  <c:v>144.0</c:v>
                </c:pt>
                <c:pt idx="7">
                  <c:v>151.0</c:v>
                </c:pt>
                <c:pt idx="8">
                  <c:v>171.0</c:v>
                </c:pt>
                <c:pt idx="9">
                  <c:v>179.0</c:v>
                </c:pt>
                <c:pt idx="10">
                  <c:v>189.0</c:v>
                </c:pt>
                <c:pt idx="11">
                  <c:v>235.0</c:v>
                </c:pt>
                <c:pt idx="12">
                  <c:v>242.0</c:v>
                </c:pt>
                <c:pt idx="13">
                  <c:v>249.0</c:v>
                </c:pt>
                <c:pt idx="14">
                  <c:v>259.0</c:v>
                </c:pt>
                <c:pt idx="15">
                  <c:v>263.0</c:v>
                </c:pt>
                <c:pt idx="16">
                  <c:v>270.0</c:v>
                </c:pt>
                <c:pt idx="17">
                  <c:v>277.0</c:v>
                </c:pt>
                <c:pt idx="18">
                  <c:v>284.0</c:v>
                </c:pt>
                <c:pt idx="19">
                  <c:v>290.0</c:v>
                </c:pt>
                <c:pt idx="20">
                  <c:v>297.0</c:v>
                </c:pt>
                <c:pt idx="21">
                  <c:v>305.0</c:v>
                </c:pt>
              </c:numCache>
            </c:numRef>
          </c:xVal>
          <c:yVal>
            <c:numRef>
              <c:f>Betula_pubescens!$CD$6:$CD$35</c:f>
              <c:numCache>
                <c:formatCode>0.0</c:formatCode>
                <c:ptCount val="30"/>
                <c:pt idx="0">
                  <c:v>5.023999999999999</c:v>
                </c:pt>
                <c:pt idx="1">
                  <c:v>5.407999999999999</c:v>
                </c:pt>
                <c:pt idx="2">
                  <c:v>5.48</c:v>
                </c:pt>
                <c:pt idx="3">
                  <c:v>7.032</c:v>
                </c:pt>
                <c:pt idx="4">
                  <c:v>9.968</c:v>
                </c:pt>
                <c:pt idx="5">
                  <c:v>15.196</c:v>
                </c:pt>
                <c:pt idx="6">
                  <c:v>26.28</c:v>
                </c:pt>
                <c:pt idx="7">
                  <c:v>30.76270061728395</c:v>
                </c:pt>
                <c:pt idx="8">
                  <c:v>43.57041666666667</c:v>
                </c:pt>
              </c:numCache>
            </c:numRef>
          </c:yVal>
          <c:smooth val="0"/>
        </c:ser>
        <c:ser>
          <c:idx val="4"/>
          <c:order val="4"/>
          <c:tx>
            <c:v>2009</c:v>
          </c:tx>
          <c:spPr>
            <a:ln w="9525">
              <a:solidFill>
                <a:srgbClr val="FF0000"/>
              </a:solidFill>
            </a:ln>
          </c:spPr>
          <c:marker>
            <c:symbol val="diamond"/>
            <c:size val="4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Betula_pubescens!$BY$6:$BY$35</c:f>
              <c:numCache>
                <c:formatCode>0</c:formatCode>
                <c:ptCount val="30"/>
                <c:pt idx="0">
                  <c:v>107.0</c:v>
                </c:pt>
                <c:pt idx="1">
                  <c:v>114.0</c:v>
                </c:pt>
                <c:pt idx="2">
                  <c:v>120.0</c:v>
                </c:pt>
                <c:pt idx="3">
                  <c:v>128.0</c:v>
                </c:pt>
                <c:pt idx="4">
                  <c:v>135.0</c:v>
                </c:pt>
                <c:pt idx="5">
                  <c:v>140.0</c:v>
                </c:pt>
                <c:pt idx="6">
                  <c:v>149.0</c:v>
                </c:pt>
                <c:pt idx="7">
                  <c:v>155.0</c:v>
                </c:pt>
                <c:pt idx="8">
                  <c:v>163.0</c:v>
                </c:pt>
                <c:pt idx="9">
                  <c:v>169.0</c:v>
                </c:pt>
                <c:pt idx="10">
                  <c:v>176.0</c:v>
                </c:pt>
                <c:pt idx="11">
                  <c:v>184.0</c:v>
                </c:pt>
                <c:pt idx="12">
                  <c:v>190.0</c:v>
                </c:pt>
                <c:pt idx="13">
                  <c:v>198.0</c:v>
                </c:pt>
                <c:pt idx="14">
                  <c:v>222.0</c:v>
                </c:pt>
                <c:pt idx="15">
                  <c:v>233.0</c:v>
                </c:pt>
                <c:pt idx="16">
                  <c:v>238.0</c:v>
                </c:pt>
                <c:pt idx="17">
                  <c:v>247.0</c:v>
                </c:pt>
                <c:pt idx="18">
                  <c:v>253.0</c:v>
                </c:pt>
                <c:pt idx="19">
                  <c:v>259.0</c:v>
                </c:pt>
                <c:pt idx="20">
                  <c:v>268.0</c:v>
                </c:pt>
                <c:pt idx="21">
                  <c:v>275.0</c:v>
                </c:pt>
                <c:pt idx="22">
                  <c:v>282.0</c:v>
                </c:pt>
                <c:pt idx="23">
                  <c:v>289.0</c:v>
                </c:pt>
                <c:pt idx="24">
                  <c:v>296.0</c:v>
                </c:pt>
                <c:pt idx="25">
                  <c:v>302.0</c:v>
                </c:pt>
              </c:numCache>
            </c:numRef>
          </c:xVal>
          <c:yVal>
            <c:numRef>
              <c:f>Betula_pubescens!$BZ$6:$BZ$35</c:f>
              <c:numCache>
                <c:formatCode>0.0</c:formatCode>
                <c:ptCount val="30"/>
                <c:pt idx="0">
                  <c:v>4.817142857142857</c:v>
                </c:pt>
                <c:pt idx="1">
                  <c:v>4.954285714285715</c:v>
                </c:pt>
                <c:pt idx="2">
                  <c:v>8.12</c:v>
                </c:pt>
                <c:pt idx="3">
                  <c:v>11.09142857142857</c:v>
                </c:pt>
                <c:pt idx="4">
                  <c:v>16.72285714285714</c:v>
                </c:pt>
                <c:pt idx="5">
                  <c:v>20.65142857142857</c:v>
                </c:pt>
                <c:pt idx="6">
                  <c:v>36.66685714285714</c:v>
                </c:pt>
                <c:pt idx="7">
                  <c:v>42.64638095238095</c:v>
                </c:pt>
                <c:pt idx="8">
                  <c:v>43.766</c:v>
                </c:pt>
                <c:pt idx="9">
                  <c:v>44.34933333333333</c:v>
                </c:pt>
                <c:pt idx="10">
                  <c:v>49.58180952380953</c:v>
                </c:pt>
                <c:pt idx="11">
                  <c:v>47.23914285714286</c:v>
                </c:pt>
                <c:pt idx="12">
                  <c:v>46.916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Betula_pubescens!$BT$3</c:f>
              <c:strCache>
                <c:ptCount val="1"/>
                <c:pt idx="0">
                  <c:v>2010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tar"/>
            <c:size val="5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Betula_pubescens!$BU$6:$BU$18</c:f>
              <c:numCache>
                <c:formatCode>0</c:formatCode>
                <c:ptCount val="13"/>
                <c:pt idx="0">
                  <c:v>113.0</c:v>
                </c:pt>
                <c:pt idx="1">
                  <c:v>120.0</c:v>
                </c:pt>
                <c:pt idx="2">
                  <c:v>125.0</c:v>
                </c:pt>
                <c:pt idx="3">
                  <c:v>134.0</c:v>
                </c:pt>
                <c:pt idx="4">
                  <c:v>140.0</c:v>
                </c:pt>
                <c:pt idx="5">
                  <c:v>147.0</c:v>
                </c:pt>
                <c:pt idx="6">
                  <c:v>155.0</c:v>
                </c:pt>
                <c:pt idx="7">
                  <c:v>162.0</c:v>
                </c:pt>
                <c:pt idx="8">
                  <c:v>173.0</c:v>
                </c:pt>
                <c:pt idx="9">
                  <c:v>183.0</c:v>
                </c:pt>
                <c:pt idx="10">
                  <c:v>225.0</c:v>
                </c:pt>
                <c:pt idx="11">
                  <c:v>246.0</c:v>
                </c:pt>
                <c:pt idx="12">
                  <c:v>253.0</c:v>
                </c:pt>
              </c:numCache>
            </c:numRef>
          </c:xVal>
          <c:yVal>
            <c:numRef>
              <c:f>Betula_pubescens!$BV$6:$BV$18</c:f>
              <c:numCache>
                <c:formatCode>0.0</c:formatCode>
                <c:ptCount val="13"/>
                <c:pt idx="0">
                  <c:v>5.314285714285715</c:v>
                </c:pt>
                <c:pt idx="1">
                  <c:v>6.014285714285714</c:v>
                </c:pt>
                <c:pt idx="2">
                  <c:v>6.977142857142857</c:v>
                </c:pt>
                <c:pt idx="3">
                  <c:v>8.897142857142856</c:v>
                </c:pt>
                <c:pt idx="4">
                  <c:v>15.75428571428571</c:v>
                </c:pt>
                <c:pt idx="5">
                  <c:v>33.46619047619048</c:v>
                </c:pt>
                <c:pt idx="6">
                  <c:v>44.53476190476191</c:v>
                </c:pt>
                <c:pt idx="7">
                  <c:v>46.31238095238096</c:v>
                </c:pt>
                <c:pt idx="8">
                  <c:v>48.57761904761905</c:v>
                </c:pt>
                <c:pt idx="9">
                  <c:v>47.46238095238094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5304200"/>
        <c:axId val="-2135274232"/>
      </c:scatterChart>
      <c:valAx>
        <c:axId val="-2135304200"/>
        <c:scaling>
          <c:orientation val="minMax"/>
          <c:min val="90.0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35274232"/>
        <c:crosses val="autoZero"/>
        <c:crossBetween val="midCat"/>
      </c:valAx>
      <c:valAx>
        <c:axId val="-21352742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Knopp/bladlängd, mm</a:t>
                </a:r>
              </a:p>
            </c:rich>
          </c:tx>
          <c:layout>
            <c:manualLayout>
              <c:xMode val="edge"/>
              <c:yMode val="edge"/>
              <c:x val="0.0124687264969074"/>
              <c:y val="0.17241491965403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35304200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7524382087927"/>
          <c:y val="0.232067530470152"/>
          <c:w val="0.142300197753514"/>
          <c:h val="0.58649794064273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689486552567"/>
          <c:y val="0.0632183908045977"/>
          <c:w val="0.860635696821552"/>
          <c:h val="0.781609195402299"/>
        </c:manualLayout>
      </c:layout>
      <c:scatterChart>
        <c:scatterStyle val="lineMarker"/>
        <c:varyColors val="0"/>
        <c:ser>
          <c:idx val="2"/>
          <c:order val="0"/>
          <c:tx>
            <c:v>Årets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Betula_pubescens!$BO$6:$BO$35</c:f>
              <c:numCache>
                <c:formatCode>0</c:formatCode>
                <c:ptCount val="30"/>
                <c:pt idx="0">
                  <c:v>124.0</c:v>
                </c:pt>
                <c:pt idx="1">
                  <c:v>132.0</c:v>
                </c:pt>
                <c:pt idx="2">
                  <c:v>139.0</c:v>
                </c:pt>
                <c:pt idx="3">
                  <c:v>145.0</c:v>
                </c:pt>
                <c:pt idx="4">
                  <c:v>151.0</c:v>
                </c:pt>
                <c:pt idx="5">
                  <c:v>160.0</c:v>
                </c:pt>
                <c:pt idx="6">
                  <c:v>166.0</c:v>
                </c:pt>
                <c:pt idx="7">
                  <c:v>222.0</c:v>
                </c:pt>
                <c:pt idx="8">
                  <c:v>219.0</c:v>
                </c:pt>
                <c:pt idx="9">
                  <c:v>237.0</c:v>
                </c:pt>
                <c:pt idx="10">
                  <c:v>244.0</c:v>
                </c:pt>
                <c:pt idx="11">
                  <c:v>251.0</c:v>
                </c:pt>
                <c:pt idx="12">
                  <c:v>258.0</c:v>
                </c:pt>
                <c:pt idx="13">
                  <c:v>264.0</c:v>
                </c:pt>
                <c:pt idx="14">
                  <c:v>272.0</c:v>
                </c:pt>
                <c:pt idx="15">
                  <c:v>278.0</c:v>
                </c:pt>
                <c:pt idx="16">
                  <c:v>285.0</c:v>
                </c:pt>
                <c:pt idx="17">
                  <c:v>293.0</c:v>
                </c:pt>
                <c:pt idx="18">
                  <c:v>300.0</c:v>
                </c:pt>
                <c:pt idx="19">
                  <c:v>300.0</c:v>
                </c:pt>
                <c:pt idx="20">
                  <c:v>300.0</c:v>
                </c:pt>
                <c:pt idx="21">
                  <c:v>300.0</c:v>
                </c:pt>
                <c:pt idx="22">
                  <c:v>300.0</c:v>
                </c:pt>
                <c:pt idx="23">
                  <c:v>300.0</c:v>
                </c:pt>
                <c:pt idx="24">
                  <c:v>300.0</c:v>
                </c:pt>
                <c:pt idx="25">
                  <c:v>300.0</c:v>
                </c:pt>
                <c:pt idx="26">
                  <c:v>300.0</c:v>
                </c:pt>
                <c:pt idx="27">
                  <c:v>300.0</c:v>
                </c:pt>
                <c:pt idx="28">
                  <c:v>300.0</c:v>
                </c:pt>
                <c:pt idx="29">
                  <c:v>300.0</c:v>
                </c:pt>
              </c:numCache>
            </c:numRef>
          </c:xVal>
          <c:yVal>
            <c:numRef>
              <c:f>Betula_pubescens!$BA$6:$BA$35</c:f>
              <c:numCache>
                <c:formatCode>0.0</c:formatCode>
                <c:ptCount val="30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2.0</c:v>
                </c:pt>
                <c:pt idx="4">
                  <c:v>2.0</c:v>
                </c:pt>
                <c:pt idx="5">
                  <c:v>2.2</c:v>
                </c:pt>
                <c:pt idx="6">
                  <c:v>3.0</c:v>
                </c:pt>
                <c:pt idx="7">
                  <c:v>4.0</c:v>
                </c:pt>
                <c:pt idx="8">
                  <c:v>4.0</c:v>
                </c:pt>
                <c:pt idx="9">
                  <c:v>4.0</c:v>
                </c:pt>
                <c:pt idx="10">
                  <c:v>4.0</c:v>
                </c:pt>
                <c:pt idx="11">
                  <c:v>5.0</c:v>
                </c:pt>
                <c:pt idx="12">
                  <c:v>5.8</c:v>
                </c:pt>
                <c:pt idx="13">
                  <c:v>6.0</c:v>
                </c:pt>
                <c:pt idx="14">
                  <c:v>6.8</c:v>
                </c:pt>
                <c:pt idx="15">
                  <c:v>7.0</c:v>
                </c:pt>
                <c:pt idx="16">
                  <c:v>7.2</c:v>
                </c:pt>
                <c:pt idx="17">
                  <c:v>7.2</c:v>
                </c:pt>
                <c:pt idx="18">
                  <c:v>8.0</c:v>
                </c:pt>
                <c:pt idx="19">
                  <c:v>8.0</c:v>
                </c:pt>
                <c:pt idx="20">
                  <c:v>8.0</c:v>
                </c:pt>
                <c:pt idx="21">
                  <c:v>8.0</c:v>
                </c:pt>
                <c:pt idx="22">
                  <c:v>8.0</c:v>
                </c:pt>
                <c:pt idx="23">
                  <c:v>8.0</c:v>
                </c:pt>
                <c:pt idx="24">
                  <c:v>8.0</c:v>
                </c:pt>
                <c:pt idx="25">
                  <c:v>8.0</c:v>
                </c:pt>
                <c:pt idx="26">
                  <c:v>8.0</c:v>
                </c:pt>
                <c:pt idx="27">
                  <c:v>8.0</c:v>
                </c:pt>
                <c:pt idx="28">
                  <c:v>8.0</c:v>
                </c:pt>
                <c:pt idx="29">
                  <c:v>8.0</c:v>
                </c:pt>
              </c:numCache>
            </c:numRef>
          </c:yVal>
          <c:smooth val="0"/>
        </c:ser>
        <c:ser>
          <c:idx val="1"/>
          <c:order val="1"/>
          <c:tx>
            <c:v>2006</c:v>
          </c:tx>
          <c:spPr>
            <a:ln w="9525">
              <a:solidFill>
                <a:srgbClr val="FF0000"/>
              </a:solidFill>
              <a:prstDash val="solid"/>
            </a:ln>
          </c:spPr>
          <c:marker>
            <c:symbol val="x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Betula_pubescens!$CK$6:$CK$35</c:f>
              <c:numCache>
                <c:formatCode>0</c:formatCode>
                <c:ptCount val="30"/>
                <c:pt idx="0">
                  <c:v>123.0</c:v>
                </c:pt>
                <c:pt idx="1">
                  <c:v>124.0</c:v>
                </c:pt>
                <c:pt idx="2">
                  <c:v>128.0</c:v>
                </c:pt>
                <c:pt idx="3">
                  <c:v>130.0</c:v>
                </c:pt>
                <c:pt idx="4">
                  <c:v>132.0</c:v>
                </c:pt>
                <c:pt idx="5">
                  <c:v>135.0</c:v>
                </c:pt>
                <c:pt idx="6">
                  <c:v>137.0</c:v>
                </c:pt>
                <c:pt idx="7">
                  <c:v>139.0</c:v>
                </c:pt>
                <c:pt idx="8">
                  <c:v>142.0</c:v>
                </c:pt>
                <c:pt idx="9">
                  <c:v>144.0</c:v>
                </c:pt>
                <c:pt idx="10">
                  <c:v>146.0</c:v>
                </c:pt>
                <c:pt idx="11">
                  <c:v>149.0</c:v>
                </c:pt>
                <c:pt idx="12">
                  <c:v>151.0</c:v>
                </c:pt>
                <c:pt idx="13">
                  <c:v>153.0</c:v>
                </c:pt>
                <c:pt idx="14">
                  <c:v>156.0</c:v>
                </c:pt>
                <c:pt idx="15">
                  <c:v>163.0</c:v>
                </c:pt>
                <c:pt idx="16">
                  <c:v>244.0</c:v>
                </c:pt>
                <c:pt idx="17">
                  <c:v>250.0</c:v>
                </c:pt>
                <c:pt idx="18">
                  <c:v>258.0</c:v>
                </c:pt>
                <c:pt idx="19">
                  <c:v>264.0</c:v>
                </c:pt>
                <c:pt idx="20">
                  <c:v>272.0</c:v>
                </c:pt>
                <c:pt idx="21">
                  <c:v>279.0</c:v>
                </c:pt>
                <c:pt idx="22">
                  <c:v>286.0</c:v>
                </c:pt>
                <c:pt idx="23">
                  <c:v>293.0</c:v>
                </c:pt>
                <c:pt idx="24">
                  <c:v>300.0</c:v>
                </c:pt>
                <c:pt idx="25">
                  <c:v>306.0</c:v>
                </c:pt>
                <c:pt idx="26">
                  <c:v>314.0</c:v>
                </c:pt>
              </c:numCache>
            </c:numRef>
          </c:xVal>
          <c:yVal>
            <c:numRef>
              <c:f>Betula_pubescens!$CM$6:$CM$35</c:f>
              <c:numCache>
                <c:formatCode>General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0.4</c:v>
                </c:pt>
                <c:pt idx="3">
                  <c:v>1.0</c:v>
                </c:pt>
                <c:pt idx="4">
                  <c:v>2.0</c:v>
                </c:pt>
                <c:pt idx="5">
                  <c:v>2.0</c:v>
                </c:pt>
                <c:pt idx="6">
                  <c:v>2.0</c:v>
                </c:pt>
                <c:pt idx="7">
                  <c:v>2.0</c:v>
                </c:pt>
                <c:pt idx="8">
                  <c:v>3.0</c:v>
                </c:pt>
                <c:pt idx="9">
                  <c:v>3.0</c:v>
                </c:pt>
                <c:pt idx="10">
                  <c:v>3.0</c:v>
                </c:pt>
                <c:pt idx="11">
                  <c:v>3.0</c:v>
                </c:pt>
                <c:pt idx="12">
                  <c:v>3.0</c:v>
                </c:pt>
                <c:pt idx="13">
                  <c:v>3.0</c:v>
                </c:pt>
                <c:pt idx="14">
                  <c:v>3.0</c:v>
                </c:pt>
                <c:pt idx="15">
                  <c:v>3.0</c:v>
                </c:pt>
                <c:pt idx="16">
                  <c:v>4.0</c:v>
                </c:pt>
                <c:pt idx="17">
                  <c:v>4.0</c:v>
                </c:pt>
                <c:pt idx="18">
                  <c:v>4.2</c:v>
                </c:pt>
                <c:pt idx="19">
                  <c:v>4.2</c:v>
                </c:pt>
                <c:pt idx="20">
                  <c:v>4.6</c:v>
                </c:pt>
                <c:pt idx="21">
                  <c:v>5.2</c:v>
                </c:pt>
                <c:pt idx="22">
                  <c:v>5.6</c:v>
                </c:pt>
                <c:pt idx="23">
                  <c:v>7.2</c:v>
                </c:pt>
                <c:pt idx="24">
                  <c:v>7.6</c:v>
                </c:pt>
                <c:pt idx="25">
                  <c:v>7.6</c:v>
                </c:pt>
                <c:pt idx="26">
                  <c:v>8.0</c:v>
                </c:pt>
              </c:numCache>
            </c:numRef>
          </c:yVal>
          <c:smooth val="0"/>
        </c:ser>
        <c:ser>
          <c:idx val="0"/>
          <c:order val="2"/>
          <c:tx>
            <c:v>2007</c:v>
          </c:tx>
          <c:spPr>
            <a:ln w="9525">
              <a:solidFill>
                <a:srgbClr val="FF0000"/>
              </a:solidFill>
            </a:ln>
          </c:spPr>
          <c:marker>
            <c:symbol val="square"/>
            <c:size val="4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Betula_pubescens!$CG$7:$CG$27</c:f>
              <c:numCache>
                <c:formatCode>0</c:formatCode>
                <c:ptCount val="21"/>
                <c:pt idx="0">
                  <c:v>107.0</c:v>
                </c:pt>
                <c:pt idx="1">
                  <c:v>110.0</c:v>
                </c:pt>
                <c:pt idx="2">
                  <c:v>115.0</c:v>
                </c:pt>
                <c:pt idx="3">
                  <c:v>117.0</c:v>
                </c:pt>
                <c:pt idx="4">
                  <c:v>122.0</c:v>
                </c:pt>
                <c:pt idx="5">
                  <c:v>124.0</c:v>
                </c:pt>
                <c:pt idx="6">
                  <c:v>128.0</c:v>
                </c:pt>
                <c:pt idx="7">
                  <c:v>131.0</c:v>
                </c:pt>
                <c:pt idx="8">
                  <c:v>135.0</c:v>
                </c:pt>
                <c:pt idx="9">
                  <c:v>138.0</c:v>
                </c:pt>
                <c:pt idx="10">
                  <c:v>236.0</c:v>
                </c:pt>
                <c:pt idx="11">
                  <c:v>243.0</c:v>
                </c:pt>
                <c:pt idx="12">
                  <c:v>250.0</c:v>
                </c:pt>
                <c:pt idx="13">
                  <c:v>257.0</c:v>
                </c:pt>
                <c:pt idx="14">
                  <c:v>264.0</c:v>
                </c:pt>
                <c:pt idx="15">
                  <c:v>271.0</c:v>
                </c:pt>
                <c:pt idx="16">
                  <c:v>277.0</c:v>
                </c:pt>
                <c:pt idx="17">
                  <c:v>285.0</c:v>
                </c:pt>
                <c:pt idx="18">
                  <c:v>292.0</c:v>
                </c:pt>
                <c:pt idx="19">
                  <c:v>299.0</c:v>
                </c:pt>
                <c:pt idx="20">
                  <c:v>304.0</c:v>
                </c:pt>
              </c:numCache>
            </c:numRef>
          </c:xVal>
          <c:yVal>
            <c:numRef>
              <c:f>Betula_pubescens!$CI$7:$CI$27</c:f>
              <c:numCache>
                <c:formatCode>0.0</c:formatCode>
                <c:ptCount val="21"/>
                <c:pt idx="0">
                  <c:v>0.0</c:v>
                </c:pt>
                <c:pt idx="1">
                  <c:v>0.0</c:v>
                </c:pt>
                <c:pt idx="2">
                  <c:v>0.2</c:v>
                </c:pt>
                <c:pt idx="3">
                  <c:v>0.2</c:v>
                </c:pt>
                <c:pt idx="4">
                  <c:v>1.2</c:v>
                </c:pt>
                <c:pt idx="5">
                  <c:v>1.2</c:v>
                </c:pt>
                <c:pt idx="6">
                  <c:v>2.0</c:v>
                </c:pt>
                <c:pt idx="7">
                  <c:v>2.0</c:v>
                </c:pt>
                <c:pt idx="8">
                  <c:v>2.0</c:v>
                </c:pt>
                <c:pt idx="9">
                  <c:v>3.0</c:v>
                </c:pt>
                <c:pt idx="10">
                  <c:v>4.0</c:v>
                </c:pt>
                <c:pt idx="11">
                  <c:v>4.0</c:v>
                </c:pt>
                <c:pt idx="12">
                  <c:v>4.0</c:v>
                </c:pt>
                <c:pt idx="13">
                  <c:v>4.0</c:v>
                </c:pt>
                <c:pt idx="14">
                  <c:v>4.2</c:v>
                </c:pt>
                <c:pt idx="15">
                  <c:v>4.8</c:v>
                </c:pt>
                <c:pt idx="16">
                  <c:v>5.0</c:v>
                </c:pt>
                <c:pt idx="17">
                  <c:v>5.0</c:v>
                </c:pt>
                <c:pt idx="18">
                  <c:v>7.0</c:v>
                </c:pt>
                <c:pt idx="19">
                  <c:v>7.0</c:v>
                </c:pt>
                <c:pt idx="20">
                  <c:v>8.0</c:v>
                </c:pt>
              </c:numCache>
            </c:numRef>
          </c:yVal>
          <c:smooth val="0"/>
        </c:ser>
        <c:ser>
          <c:idx val="3"/>
          <c:order val="3"/>
          <c:tx>
            <c:v>2008</c:v>
          </c:tx>
          <c:spPr>
            <a:ln w="9525">
              <a:solidFill>
                <a:srgbClr val="FF0000"/>
              </a:solidFill>
            </a:ln>
          </c:spPr>
          <c:marker>
            <c:symbol val="triangle"/>
            <c:size val="4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Betula_pubescens!$CC$6:$CC$35</c:f>
              <c:numCache>
                <c:formatCode>0</c:formatCode>
                <c:ptCount val="30"/>
                <c:pt idx="0">
                  <c:v>102.0</c:v>
                </c:pt>
                <c:pt idx="1">
                  <c:v>109.0</c:v>
                </c:pt>
                <c:pt idx="2">
                  <c:v>116.0</c:v>
                </c:pt>
                <c:pt idx="3">
                  <c:v>123.0</c:v>
                </c:pt>
                <c:pt idx="4">
                  <c:v>130.0</c:v>
                </c:pt>
                <c:pt idx="5">
                  <c:v>137.0</c:v>
                </c:pt>
                <c:pt idx="6">
                  <c:v>144.0</c:v>
                </c:pt>
                <c:pt idx="7">
                  <c:v>151.0</c:v>
                </c:pt>
                <c:pt idx="8">
                  <c:v>171.0</c:v>
                </c:pt>
                <c:pt idx="9">
                  <c:v>179.0</c:v>
                </c:pt>
                <c:pt idx="10">
                  <c:v>189.0</c:v>
                </c:pt>
                <c:pt idx="11">
                  <c:v>235.0</c:v>
                </c:pt>
                <c:pt idx="12">
                  <c:v>242.0</c:v>
                </c:pt>
                <c:pt idx="13">
                  <c:v>249.0</c:v>
                </c:pt>
                <c:pt idx="14">
                  <c:v>259.0</c:v>
                </c:pt>
                <c:pt idx="15">
                  <c:v>263.0</c:v>
                </c:pt>
                <c:pt idx="16">
                  <c:v>270.0</c:v>
                </c:pt>
                <c:pt idx="17">
                  <c:v>277.0</c:v>
                </c:pt>
                <c:pt idx="18">
                  <c:v>284.0</c:v>
                </c:pt>
                <c:pt idx="19">
                  <c:v>290.0</c:v>
                </c:pt>
                <c:pt idx="20">
                  <c:v>297.0</c:v>
                </c:pt>
                <c:pt idx="21">
                  <c:v>305.0</c:v>
                </c:pt>
              </c:numCache>
            </c:numRef>
          </c:xVal>
          <c:yVal>
            <c:numRef>
              <c:f>Betula_pubescens!$CE$6:$CE$35</c:f>
              <c:numCache>
                <c:formatCode>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0.2</c:v>
                </c:pt>
                <c:pt idx="4">
                  <c:v>1.0</c:v>
                </c:pt>
                <c:pt idx="5">
                  <c:v>3.0</c:v>
                </c:pt>
                <c:pt idx="6">
                  <c:v>3.0</c:v>
                </c:pt>
                <c:pt idx="7">
                  <c:v>3.0</c:v>
                </c:pt>
                <c:pt idx="8">
                  <c:v>3.0</c:v>
                </c:pt>
                <c:pt idx="9">
                  <c:v>3.0</c:v>
                </c:pt>
                <c:pt idx="10">
                  <c:v>3.0</c:v>
                </c:pt>
                <c:pt idx="11">
                  <c:v>4.0</c:v>
                </c:pt>
                <c:pt idx="12">
                  <c:v>4.0</c:v>
                </c:pt>
                <c:pt idx="13">
                  <c:v>4.0</c:v>
                </c:pt>
                <c:pt idx="14">
                  <c:v>4.6</c:v>
                </c:pt>
                <c:pt idx="15">
                  <c:v>4.6</c:v>
                </c:pt>
                <c:pt idx="16">
                  <c:v>5.2</c:v>
                </c:pt>
                <c:pt idx="17">
                  <c:v>6.2</c:v>
                </c:pt>
                <c:pt idx="18">
                  <c:v>7.0</c:v>
                </c:pt>
                <c:pt idx="19">
                  <c:v>7.0</c:v>
                </c:pt>
                <c:pt idx="20">
                  <c:v>7.0</c:v>
                </c:pt>
                <c:pt idx="21">
                  <c:v>8.0</c:v>
                </c:pt>
              </c:numCache>
            </c:numRef>
          </c:yVal>
          <c:smooth val="0"/>
        </c:ser>
        <c:ser>
          <c:idx val="4"/>
          <c:order val="4"/>
          <c:tx>
            <c:v>2009</c:v>
          </c:tx>
          <c:spPr>
            <a:ln w="9525">
              <a:solidFill>
                <a:srgbClr val="FF0000"/>
              </a:solidFill>
            </a:ln>
          </c:spPr>
          <c:marker>
            <c:symbol val="diamond"/>
            <c:size val="4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Betula_pubescens!$BY$6:$BY$35</c:f>
              <c:numCache>
                <c:formatCode>0</c:formatCode>
                <c:ptCount val="30"/>
                <c:pt idx="0">
                  <c:v>107.0</c:v>
                </c:pt>
                <c:pt idx="1">
                  <c:v>114.0</c:v>
                </c:pt>
                <c:pt idx="2">
                  <c:v>120.0</c:v>
                </c:pt>
                <c:pt idx="3">
                  <c:v>128.0</c:v>
                </c:pt>
                <c:pt idx="4">
                  <c:v>135.0</c:v>
                </c:pt>
                <c:pt idx="5">
                  <c:v>140.0</c:v>
                </c:pt>
                <c:pt idx="6">
                  <c:v>149.0</c:v>
                </c:pt>
                <c:pt idx="7">
                  <c:v>155.0</c:v>
                </c:pt>
                <c:pt idx="8">
                  <c:v>163.0</c:v>
                </c:pt>
                <c:pt idx="9">
                  <c:v>169.0</c:v>
                </c:pt>
                <c:pt idx="10">
                  <c:v>176.0</c:v>
                </c:pt>
                <c:pt idx="11">
                  <c:v>184.0</c:v>
                </c:pt>
                <c:pt idx="12">
                  <c:v>190.0</c:v>
                </c:pt>
                <c:pt idx="13">
                  <c:v>198.0</c:v>
                </c:pt>
                <c:pt idx="14">
                  <c:v>222.0</c:v>
                </c:pt>
                <c:pt idx="15">
                  <c:v>233.0</c:v>
                </c:pt>
                <c:pt idx="16">
                  <c:v>238.0</c:v>
                </c:pt>
                <c:pt idx="17">
                  <c:v>247.0</c:v>
                </c:pt>
                <c:pt idx="18">
                  <c:v>253.0</c:v>
                </c:pt>
                <c:pt idx="19">
                  <c:v>259.0</c:v>
                </c:pt>
                <c:pt idx="20">
                  <c:v>268.0</c:v>
                </c:pt>
                <c:pt idx="21">
                  <c:v>275.0</c:v>
                </c:pt>
                <c:pt idx="22">
                  <c:v>282.0</c:v>
                </c:pt>
                <c:pt idx="23">
                  <c:v>289.0</c:v>
                </c:pt>
                <c:pt idx="24">
                  <c:v>296.0</c:v>
                </c:pt>
                <c:pt idx="25">
                  <c:v>302.0</c:v>
                </c:pt>
              </c:numCache>
            </c:numRef>
          </c:xVal>
          <c:yVal>
            <c:numRef>
              <c:f>Betula_pubescens!$CA$6:$CA$35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0.6</c:v>
                </c:pt>
                <c:pt idx="3">
                  <c:v>1.0</c:v>
                </c:pt>
                <c:pt idx="4">
                  <c:v>1.4</c:v>
                </c:pt>
                <c:pt idx="5">
                  <c:v>1.8</c:v>
                </c:pt>
                <c:pt idx="6">
                  <c:v>3.0</c:v>
                </c:pt>
                <c:pt idx="7">
                  <c:v>3.0</c:v>
                </c:pt>
                <c:pt idx="8">
                  <c:v>3.0</c:v>
                </c:pt>
                <c:pt idx="9">
                  <c:v>3.0</c:v>
                </c:pt>
                <c:pt idx="10">
                  <c:v>3.0</c:v>
                </c:pt>
                <c:pt idx="11">
                  <c:v>3.0</c:v>
                </c:pt>
                <c:pt idx="12">
                  <c:v>3.0</c:v>
                </c:pt>
                <c:pt idx="13">
                  <c:v>3.0</c:v>
                </c:pt>
                <c:pt idx="14">
                  <c:v>3.8</c:v>
                </c:pt>
                <c:pt idx="15">
                  <c:v>4.0</c:v>
                </c:pt>
                <c:pt idx="16">
                  <c:v>4.0</c:v>
                </c:pt>
                <c:pt idx="17">
                  <c:v>4.0</c:v>
                </c:pt>
                <c:pt idx="18">
                  <c:v>4.0</c:v>
                </c:pt>
                <c:pt idx="19">
                  <c:v>4.0</c:v>
                </c:pt>
                <c:pt idx="20">
                  <c:v>4.6</c:v>
                </c:pt>
                <c:pt idx="21">
                  <c:v>6.2</c:v>
                </c:pt>
                <c:pt idx="22">
                  <c:v>6.6</c:v>
                </c:pt>
                <c:pt idx="23">
                  <c:v>6.8</c:v>
                </c:pt>
                <c:pt idx="24">
                  <c:v>7.0</c:v>
                </c:pt>
                <c:pt idx="25">
                  <c:v>7.4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21546600"/>
        <c:axId val="-2114819832"/>
      </c:scatterChart>
      <c:valAx>
        <c:axId val="-2121546600"/>
        <c:scaling>
          <c:orientation val="minMax"/>
          <c:min val="90.0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4819832"/>
        <c:crosses val="autoZero"/>
        <c:crossBetween val="midCat"/>
      </c:valAx>
      <c:valAx>
        <c:axId val="-2114819832"/>
        <c:scaling>
          <c:orientation val="minMax"/>
          <c:max val="9.0"/>
          <c:min val="0.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Bedömd fas</a:t>
                </a:r>
              </a:p>
            </c:rich>
          </c:tx>
          <c:layout>
            <c:manualLayout>
              <c:xMode val="edge"/>
              <c:yMode val="edge"/>
              <c:x val="0.0124687235107285"/>
              <c:y val="0.2988521213329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21546600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7665369649806"/>
          <c:y val="0.333333361948045"/>
          <c:w val="0.155642023346306"/>
          <c:h val="0.5232067959690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231920199501"/>
          <c:y val="0.0632183908045977"/>
          <c:w val="0.855361596009976"/>
          <c:h val="0.781609195402299"/>
        </c:manualLayout>
      </c:layout>
      <c:scatterChart>
        <c:scatterStyle val="lineMarker"/>
        <c:varyColors val="0"/>
        <c:ser>
          <c:idx val="2"/>
          <c:order val="0"/>
          <c:tx>
            <c:v>Årets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triangle"/>
            <c:size val="4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Betula_pubescens!$BO$36:$BO$65</c:f>
              <c:numCache>
                <c:formatCode>0</c:formatCode>
                <c:ptCount val="30"/>
                <c:pt idx="0">
                  <c:v>87.0</c:v>
                </c:pt>
                <c:pt idx="1">
                  <c:v>129.0</c:v>
                </c:pt>
                <c:pt idx="2">
                  <c:v>133.0</c:v>
                </c:pt>
                <c:pt idx="3">
                  <c:v>138.0</c:v>
                </c:pt>
                <c:pt idx="4">
                  <c:v>142.0</c:v>
                </c:pt>
                <c:pt idx="5">
                  <c:v>146.0</c:v>
                </c:pt>
                <c:pt idx="6">
                  <c:v>150.0</c:v>
                </c:pt>
                <c:pt idx="7">
                  <c:v>153.0</c:v>
                </c:pt>
                <c:pt idx="8">
                  <c:v>159.0</c:v>
                </c:pt>
                <c:pt idx="9">
                  <c:v>166.0</c:v>
                </c:pt>
                <c:pt idx="10">
                  <c:v>173.0</c:v>
                </c:pt>
                <c:pt idx="11">
                  <c:v>181.0</c:v>
                </c:pt>
                <c:pt idx="12">
                  <c:v>233.0</c:v>
                </c:pt>
                <c:pt idx="13">
                  <c:v>250.0</c:v>
                </c:pt>
                <c:pt idx="14">
                  <c:v>262.0</c:v>
                </c:pt>
                <c:pt idx="15">
                  <c:v>269.0</c:v>
                </c:pt>
                <c:pt idx="16">
                  <c:v>272.0</c:v>
                </c:pt>
                <c:pt idx="17">
                  <c:v>282.0</c:v>
                </c:pt>
                <c:pt idx="18">
                  <c:v>289.0</c:v>
                </c:pt>
                <c:pt idx="19">
                  <c:v>289.0</c:v>
                </c:pt>
                <c:pt idx="20">
                  <c:v>289.0</c:v>
                </c:pt>
                <c:pt idx="21">
                  <c:v>289.0</c:v>
                </c:pt>
                <c:pt idx="22">
                  <c:v>289.0</c:v>
                </c:pt>
                <c:pt idx="23">
                  <c:v>289.0</c:v>
                </c:pt>
                <c:pt idx="24">
                  <c:v>289.0</c:v>
                </c:pt>
                <c:pt idx="25">
                  <c:v>289.0</c:v>
                </c:pt>
                <c:pt idx="26">
                  <c:v>289.0</c:v>
                </c:pt>
                <c:pt idx="27">
                  <c:v>289.0</c:v>
                </c:pt>
                <c:pt idx="28">
                  <c:v>289.0</c:v>
                </c:pt>
                <c:pt idx="29">
                  <c:v>289.0</c:v>
                </c:pt>
              </c:numCache>
            </c:numRef>
          </c:xVal>
          <c:yVal>
            <c:numRef>
              <c:f>Betula_pubescens!$AZ$36:$AZ$65</c:f>
              <c:numCache>
                <c:formatCode>0.00</c:formatCode>
                <c:ptCount val="30"/>
                <c:pt idx="0">
                  <c:v>5.994285714285715</c:v>
                </c:pt>
                <c:pt idx="1">
                  <c:v>6.651428571428572</c:v>
                </c:pt>
                <c:pt idx="2">
                  <c:v>7.585714285714286</c:v>
                </c:pt>
                <c:pt idx="3">
                  <c:v>9.46285714285714</c:v>
                </c:pt>
                <c:pt idx="4">
                  <c:v>12.70857142857143</c:v>
                </c:pt>
                <c:pt idx="5">
                  <c:v>24.84857142857143</c:v>
                </c:pt>
                <c:pt idx="6">
                  <c:v>36.65428571428571</c:v>
                </c:pt>
                <c:pt idx="7">
                  <c:v>39.31428571428572</c:v>
                </c:pt>
                <c:pt idx="8">
                  <c:v>44.88285714285714</c:v>
                </c:pt>
                <c:pt idx="9">
                  <c:v>50.71142857142856</c:v>
                </c:pt>
                <c:pt idx="10">
                  <c:v>51.84</c:v>
                </c:pt>
                <c:pt idx="11">
                  <c:v>52.26285714285713</c:v>
                </c:pt>
                <c:pt idx="12">
                  <c:v>52.26285714285713</c:v>
                </c:pt>
                <c:pt idx="13">
                  <c:v>52.26285714285713</c:v>
                </c:pt>
                <c:pt idx="14">
                  <c:v>52.26285714285713</c:v>
                </c:pt>
                <c:pt idx="15">
                  <c:v>52.26285714285713</c:v>
                </c:pt>
                <c:pt idx="16">
                  <c:v>52.26285714285713</c:v>
                </c:pt>
                <c:pt idx="17">
                  <c:v>52.26285714285713</c:v>
                </c:pt>
                <c:pt idx="18">
                  <c:v>52.26285714285713</c:v>
                </c:pt>
                <c:pt idx="19">
                  <c:v>52.26285714285713</c:v>
                </c:pt>
                <c:pt idx="20">
                  <c:v>52.26285714285713</c:v>
                </c:pt>
                <c:pt idx="21">
                  <c:v>52.26285714285713</c:v>
                </c:pt>
                <c:pt idx="22">
                  <c:v>52.26285714285713</c:v>
                </c:pt>
                <c:pt idx="23">
                  <c:v>52.26285714285713</c:v>
                </c:pt>
                <c:pt idx="24">
                  <c:v>52.26285714285713</c:v>
                </c:pt>
                <c:pt idx="25">
                  <c:v>52.26285714285713</c:v>
                </c:pt>
                <c:pt idx="26">
                  <c:v>52.26285714285713</c:v>
                </c:pt>
                <c:pt idx="27">
                  <c:v>52.26285714285713</c:v>
                </c:pt>
                <c:pt idx="28">
                  <c:v>52.26285714285713</c:v>
                </c:pt>
              </c:numCache>
            </c:numRef>
          </c:yVal>
          <c:smooth val="0"/>
        </c:ser>
        <c:ser>
          <c:idx val="1"/>
          <c:order val="1"/>
          <c:tx>
            <c:v>2006</c:v>
          </c:tx>
          <c:spPr>
            <a:ln w="9525">
              <a:solidFill>
                <a:srgbClr val="008000"/>
              </a:solidFill>
              <a:prstDash val="solid"/>
            </a:ln>
          </c:spPr>
          <c:marker>
            <c:symbol val="x"/>
            <c:size val="4"/>
            <c:spPr>
              <a:noFill/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Betula_pubescens!$CK$36:$CK$65</c:f>
              <c:numCache>
                <c:formatCode>0</c:formatCode>
                <c:ptCount val="30"/>
                <c:pt idx="0">
                  <c:v>130.0</c:v>
                </c:pt>
                <c:pt idx="1">
                  <c:v>132.0</c:v>
                </c:pt>
                <c:pt idx="2">
                  <c:v>135.0</c:v>
                </c:pt>
                <c:pt idx="3">
                  <c:v>139.0</c:v>
                </c:pt>
                <c:pt idx="4">
                  <c:v>142.0</c:v>
                </c:pt>
                <c:pt idx="5">
                  <c:v>144.0</c:v>
                </c:pt>
                <c:pt idx="6">
                  <c:v>149.0</c:v>
                </c:pt>
                <c:pt idx="7">
                  <c:v>153.0</c:v>
                </c:pt>
                <c:pt idx="8">
                  <c:v>156.0</c:v>
                </c:pt>
              </c:numCache>
            </c:numRef>
          </c:xVal>
          <c:yVal>
            <c:numRef>
              <c:f>Betula_pubescens!$CL$36:$CL$65</c:f>
              <c:numCache>
                <c:formatCode>General</c:formatCode>
                <c:ptCount val="30"/>
                <c:pt idx="0">
                  <c:v>12.204</c:v>
                </c:pt>
                <c:pt idx="1">
                  <c:v>14.16</c:v>
                </c:pt>
                <c:pt idx="2">
                  <c:v>16.156</c:v>
                </c:pt>
                <c:pt idx="3">
                  <c:v>18.38</c:v>
                </c:pt>
                <c:pt idx="4">
                  <c:v>21.016</c:v>
                </c:pt>
                <c:pt idx="5">
                  <c:v>23.588</c:v>
                </c:pt>
                <c:pt idx="6">
                  <c:v>29.3</c:v>
                </c:pt>
                <c:pt idx="7">
                  <c:v>33.852</c:v>
                </c:pt>
                <c:pt idx="8">
                  <c:v>39.948</c:v>
                </c:pt>
              </c:numCache>
            </c:numRef>
          </c:yVal>
          <c:smooth val="0"/>
        </c:ser>
        <c:ser>
          <c:idx val="0"/>
          <c:order val="2"/>
          <c:tx>
            <c:v>2007</c:v>
          </c:tx>
          <c:spPr>
            <a:ln w="9525">
              <a:solidFill>
                <a:srgbClr val="00B050"/>
              </a:solidFill>
            </a:ln>
          </c:spPr>
          <c:marker>
            <c:symbol val="triangle"/>
            <c:size val="5"/>
            <c:spPr>
              <a:solidFill>
                <a:srgbClr val="FFFFFF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Betula_pubescens!$CG$36:$CG$57</c:f>
              <c:numCache>
                <c:formatCode>0</c:formatCode>
                <c:ptCount val="22"/>
                <c:pt idx="0">
                  <c:v>117.0</c:v>
                </c:pt>
                <c:pt idx="1">
                  <c:v>120.0</c:v>
                </c:pt>
                <c:pt idx="2">
                  <c:v>124.0</c:v>
                </c:pt>
                <c:pt idx="3">
                  <c:v>128.0</c:v>
                </c:pt>
                <c:pt idx="4">
                  <c:v>131.0</c:v>
                </c:pt>
                <c:pt idx="5">
                  <c:v>135.0</c:v>
                </c:pt>
                <c:pt idx="6">
                  <c:v>138.0</c:v>
                </c:pt>
                <c:pt idx="7">
                  <c:v>141.0</c:v>
                </c:pt>
                <c:pt idx="8">
                  <c:v>145.0</c:v>
                </c:pt>
                <c:pt idx="9">
                  <c:v>148.0</c:v>
                </c:pt>
                <c:pt idx="10">
                  <c:v>152.0</c:v>
                </c:pt>
                <c:pt idx="11">
                  <c:v>155.0</c:v>
                </c:pt>
                <c:pt idx="12">
                  <c:v>159.0</c:v>
                </c:pt>
                <c:pt idx="13">
                  <c:v>163.0</c:v>
                </c:pt>
                <c:pt idx="14">
                  <c:v>166.0</c:v>
                </c:pt>
                <c:pt idx="15">
                  <c:v>172.0</c:v>
                </c:pt>
                <c:pt idx="16">
                  <c:v>246.0</c:v>
                </c:pt>
                <c:pt idx="17">
                  <c:v>253.0</c:v>
                </c:pt>
                <c:pt idx="18">
                  <c:v>260.0</c:v>
                </c:pt>
                <c:pt idx="19">
                  <c:v>264.0</c:v>
                </c:pt>
                <c:pt idx="20">
                  <c:v>278.0</c:v>
                </c:pt>
                <c:pt idx="21">
                  <c:v>281.0</c:v>
                </c:pt>
              </c:numCache>
            </c:numRef>
          </c:xVal>
          <c:yVal>
            <c:numRef>
              <c:f>Betula_pubescens!$CH$36:$CH$57</c:f>
              <c:numCache>
                <c:formatCode>General</c:formatCode>
                <c:ptCount val="22"/>
                <c:pt idx="0">
                  <c:v>7.572</c:v>
                </c:pt>
                <c:pt idx="1">
                  <c:v>8.303999999999998</c:v>
                </c:pt>
                <c:pt idx="2">
                  <c:v>10.552</c:v>
                </c:pt>
                <c:pt idx="3">
                  <c:v>14.376</c:v>
                </c:pt>
                <c:pt idx="4">
                  <c:v>16.152</c:v>
                </c:pt>
                <c:pt idx="5">
                  <c:v>19.28</c:v>
                </c:pt>
                <c:pt idx="6">
                  <c:v>22.016</c:v>
                </c:pt>
                <c:pt idx="7">
                  <c:v>26.592</c:v>
                </c:pt>
                <c:pt idx="8">
                  <c:v>34.464</c:v>
                </c:pt>
                <c:pt idx="9">
                  <c:v>40.492</c:v>
                </c:pt>
                <c:pt idx="10">
                  <c:v>43.944</c:v>
                </c:pt>
                <c:pt idx="11">
                  <c:v>47.292</c:v>
                </c:pt>
                <c:pt idx="12">
                  <c:v>49.948</c:v>
                </c:pt>
                <c:pt idx="13">
                  <c:v>51.048</c:v>
                </c:pt>
                <c:pt idx="14">
                  <c:v>51.224</c:v>
                </c:pt>
                <c:pt idx="15">
                  <c:v>51.30800000000001</c:v>
                </c:pt>
              </c:numCache>
            </c:numRef>
          </c:yVal>
          <c:smooth val="0"/>
        </c:ser>
        <c:ser>
          <c:idx val="3"/>
          <c:order val="3"/>
          <c:tx>
            <c:v>2008</c:v>
          </c:tx>
          <c:spPr>
            <a:ln w="9525">
              <a:solidFill>
                <a:srgbClr val="009900"/>
              </a:solidFill>
            </a:ln>
          </c:spPr>
          <c:marker>
            <c:symbol val="square"/>
            <c:size val="4"/>
            <c:spPr>
              <a:noFill/>
              <a:ln>
                <a:solidFill>
                  <a:srgbClr val="009900"/>
                </a:solidFill>
              </a:ln>
            </c:spPr>
          </c:marker>
          <c:xVal>
            <c:numRef>
              <c:f>Betula_pubescens!$CC$36:$CC$65</c:f>
              <c:numCache>
                <c:formatCode>0</c:formatCode>
                <c:ptCount val="30"/>
                <c:pt idx="0">
                  <c:v>112.0</c:v>
                </c:pt>
                <c:pt idx="1">
                  <c:v>115.0</c:v>
                </c:pt>
                <c:pt idx="2">
                  <c:v>119.0</c:v>
                </c:pt>
                <c:pt idx="3">
                  <c:v>123.0</c:v>
                </c:pt>
                <c:pt idx="4">
                  <c:v>127.0</c:v>
                </c:pt>
                <c:pt idx="5">
                  <c:v>130.0</c:v>
                </c:pt>
                <c:pt idx="6">
                  <c:v>134.0</c:v>
                </c:pt>
                <c:pt idx="7">
                  <c:v>137.0</c:v>
                </c:pt>
                <c:pt idx="8">
                  <c:v>141.0</c:v>
                </c:pt>
                <c:pt idx="9">
                  <c:v>144.0</c:v>
                </c:pt>
                <c:pt idx="10">
                  <c:v>148.0</c:v>
                </c:pt>
                <c:pt idx="11">
                  <c:v>150.0</c:v>
                </c:pt>
                <c:pt idx="12">
                  <c:v>154.0</c:v>
                </c:pt>
                <c:pt idx="13">
                  <c:v>157.0</c:v>
                </c:pt>
                <c:pt idx="14">
                  <c:v>161.0</c:v>
                </c:pt>
                <c:pt idx="15">
                  <c:v>165.0</c:v>
                </c:pt>
                <c:pt idx="16">
                  <c:v>169.0</c:v>
                </c:pt>
                <c:pt idx="17">
                  <c:v>177.0</c:v>
                </c:pt>
                <c:pt idx="18">
                  <c:v>246.0</c:v>
                </c:pt>
                <c:pt idx="19">
                  <c:v>252.0</c:v>
                </c:pt>
                <c:pt idx="20">
                  <c:v>263.0</c:v>
                </c:pt>
                <c:pt idx="21">
                  <c:v>270.0</c:v>
                </c:pt>
                <c:pt idx="22">
                  <c:v>274.0</c:v>
                </c:pt>
                <c:pt idx="23">
                  <c:v>280.0</c:v>
                </c:pt>
                <c:pt idx="24">
                  <c:v>287.0</c:v>
                </c:pt>
              </c:numCache>
            </c:numRef>
          </c:xVal>
          <c:yVal>
            <c:numRef>
              <c:f>Betula_pubescens!$CD$36:$CD$65</c:f>
              <c:numCache>
                <c:formatCode>0.0</c:formatCode>
                <c:ptCount val="30"/>
                <c:pt idx="0">
                  <c:v>0.0</c:v>
                </c:pt>
                <c:pt idx="1">
                  <c:v>5.528</c:v>
                </c:pt>
                <c:pt idx="2">
                  <c:v>5.752000000000001</c:v>
                </c:pt>
                <c:pt idx="3">
                  <c:v>6.347999999999999</c:v>
                </c:pt>
                <c:pt idx="4">
                  <c:v>7.651999999999998</c:v>
                </c:pt>
                <c:pt idx="5">
                  <c:v>11.548</c:v>
                </c:pt>
                <c:pt idx="6">
                  <c:v>16.352</c:v>
                </c:pt>
                <c:pt idx="7">
                  <c:v>19.676</c:v>
                </c:pt>
                <c:pt idx="8">
                  <c:v>20.144</c:v>
                </c:pt>
                <c:pt idx="9">
                  <c:v>22.072</c:v>
                </c:pt>
                <c:pt idx="10">
                  <c:v>25.856</c:v>
                </c:pt>
                <c:pt idx="11">
                  <c:v>33.26</c:v>
                </c:pt>
                <c:pt idx="12">
                  <c:v>42.876</c:v>
                </c:pt>
                <c:pt idx="13">
                  <c:v>46.632</c:v>
                </c:pt>
                <c:pt idx="14">
                  <c:v>48.048</c:v>
                </c:pt>
                <c:pt idx="15">
                  <c:v>50.288</c:v>
                </c:pt>
                <c:pt idx="16">
                  <c:v>51.156</c:v>
                </c:pt>
                <c:pt idx="17">
                  <c:v>48.496</c:v>
                </c:pt>
              </c:numCache>
            </c:numRef>
          </c:yVal>
          <c:smooth val="0"/>
        </c:ser>
        <c:ser>
          <c:idx val="4"/>
          <c:order val="4"/>
          <c:tx>
            <c:v>2009</c:v>
          </c:tx>
          <c:spPr>
            <a:ln w="9525">
              <a:solidFill>
                <a:srgbClr val="008000"/>
              </a:solidFill>
            </a:ln>
          </c:spPr>
          <c:marker>
            <c:symbol val="diamond"/>
            <c:size val="4"/>
            <c:spPr>
              <a:noFill/>
              <a:ln>
                <a:solidFill>
                  <a:srgbClr val="008000"/>
                </a:solidFill>
              </a:ln>
            </c:spPr>
          </c:marker>
          <c:xVal>
            <c:numRef>
              <c:f>Betula_pubescens!$BY$36:$BY$65</c:f>
              <c:numCache>
                <c:formatCode>0</c:formatCode>
                <c:ptCount val="30"/>
                <c:pt idx="0">
                  <c:v>112.0</c:v>
                </c:pt>
                <c:pt idx="1">
                  <c:v>114.0</c:v>
                </c:pt>
                <c:pt idx="2">
                  <c:v>118.0</c:v>
                </c:pt>
                <c:pt idx="3">
                  <c:v>124.0</c:v>
                </c:pt>
                <c:pt idx="4">
                  <c:v>128.0</c:v>
                </c:pt>
                <c:pt idx="5">
                  <c:v>132.0</c:v>
                </c:pt>
                <c:pt idx="6">
                  <c:v>135.0</c:v>
                </c:pt>
                <c:pt idx="7">
                  <c:v>139.0</c:v>
                </c:pt>
                <c:pt idx="8">
                  <c:v>142.0</c:v>
                </c:pt>
                <c:pt idx="9">
                  <c:v>145.0</c:v>
                </c:pt>
                <c:pt idx="10">
                  <c:v>149.0</c:v>
                </c:pt>
                <c:pt idx="11">
                  <c:v>152.0</c:v>
                </c:pt>
                <c:pt idx="12">
                  <c:v>160.0</c:v>
                </c:pt>
                <c:pt idx="13">
                  <c:v>168.0</c:v>
                </c:pt>
                <c:pt idx="14">
                  <c:v>176.0</c:v>
                </c:pt>
                <c:pt idx="15">
                  <c:v>183.0</c:v>
                </c:pt>
                <c:pt idx="16">
                  <c:v>244.0</c:v>
                </c:pt>
                <c:pt idx="17">
                  <c:v>257.0</c:v>
                </c:pt>
                <c:pt idx="18">
                  <c:v>264.0</c:v>
                </c:pt>
                <c:pt idx="19">
                  <c:v>271.0</c:v>
                </c:pt>
                <c:pt idx="20">
                  <c:v>287.0</c:v>
                </c:pt>
              </c:numCache>
            </c:numRef>
          </c:xVal>
          <c:yVal>
            <c:numRef>
              <c:f>Betula_pubescens!$BZ$36:$BZ$65</c:f>
              <c:numCache>
                <c:formatCode>0.0</c:formatCode>
                <c:ptCount val="30"/>
                <c:pt idx="0">
                  <c:v>6.064</c:v>
                </c:pt>
                <c:pt idx="1">
                  <c:v>6.048</c:v>
                </c:pt>
                <c:pt idx="2">
                  <c:v>6.868</c:v>
                </c:pt>
                <c:pt idx="3">
                  <c:v>10.436</c:v>
                </c:pt>
                <c:pt idx="4">
                  <c:v>12.148</c:v>
                </c:pt>
                <c:pt idx="5">
                  <c:v>14.408</c:v>
                </c:pt>
                <c:pt idx="6">
                  <c:v>16.336</c:v>
                </c:pt>
                <c:pt idx="7">
                  <c:v>20.492</c:v>
                </c:pt>
                <c:pt idx="8">
                  <c:v>25.304</c:v>
                </c:pt>
                <c:pt idx="9">
                  <c:v>31.13199999999999</c:v>
                </c:pt>
                <c:pt idx="10">
                  <c:v>37.984</c:v>
                </c:pt>
                <c:pt idx="11">
                  <c:v>45.608</c:v>
                </c:pt>
                <c:pt idx="12">
                  <c:v>51.352</c:v>
                </c:pt>
                <c:pt idx="13">
                  <c:v>53.36800000000001</c:v>
                </c:pt>
                <c:pt idx="14">
                  <c:v>54.436</c:v>
                </c:pt>
                <c:pt idx="15">
                  <c:v>54.76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5756856"/>
        <c:axId val="-2117124952"/>
      </c:scatterChart>
      <c:valAx>
        <c:axId val="-2115756856"/>
        <c:scaling>
          <c:orientation val="minMax"/>
          <c:min val="90.0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7124952"/>
        <c:crosses val="autoZero"/>
        <c:crossBetween val="midCat"/>
      </c:valAx>
      <c:valAx>
        <c:axId val="-21171249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Knopp/bladlängd, mm</a:t>
                </a:r>
              </a:p>
            </c:rich>
          </c:tx>
          <c:layout>
            <c:manualLayout>
              <c:xMode val="edge"/>
              <c:yMode val="edge"/>
              <c:x val="0.00251817481148198"/>
              <c:y val="0.1878360417713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5756856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3571428571429"/>
          <c:y val="0.327659595743361"/>
          <c:w val="0.144841269841274"/>
          <c:h val="0.4851064144771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738154613466"/>
          <c:y val="0.0632183908045977"/>
          <c:w val="0.85785536159601"/>
          <c:h val="0.781609195402299"/>
        </c:manualLayout>
      </c:layout>
      <c:scatterChart>
        <c:scatterStyle val="lineMarker"/>
        <c:varyColors val="0"/>
        <c:ser>
          <c:idx val="2"/>
          <c:order val="0"/>
          <c:tx>
            <c:v>Årets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triangle"/>
            <c:size val="4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Betula_pubescens!$BO$36:$BO$65</c:f>
              <c:numCache>
                <c:formatCode>0</c:formatCode>
                <c:ptCount val="30"/>
                <c:pt idx="0">
                  <c:v>87.0</c:v>
                </c:pt>
                <c:pt idx="1">
                  <c:v>129.0</c:v>
                </c:pt>
                <c:pt idx="2">
                  <c:v>133.0</c:v>
                </c:pt>
                <c:pt idx="3">
                  <c:v>138.0</c:v>
                </c:pt>
                <c:pt idx="4">
                  <c:v>142.0</c:v>
                </c:pt>
                <c:pt idx="5">
                  <c:v>146.0</c:v>
                </c:pt>
                <c:pt idx="6">
                  <c:v>150.0</c:v>
                </c:pt>
                <c:pt idx="7">
                  <c:v>153.0</c:v>
                </c:pt>
                <c:pt idx="8">
                  <c:v>159.0</c:v>
                </c:pt>
                <c:pt idx="9">
                  <c:v>166.0</c:v>
                </c:pt>
                <c:pt idx="10">
                  <c:v>173.0</c:v>
                </c:pt>
                <c:pt idx="11">
                  <c:v>181.0</c:v>
                </c:pt>
                <c:pt idx="12">
                  <c:v>233.0</c:v>
                </c:pt>
                <c:pt idx="13">
                  <c:v>250.0</c:v>
                </c:pt>
                <c:pt idx="14">
                  <c:v>262.0</c:v>
                </c:pt>
                <c:pt idx="15">
                  <c:v>269.0</c:v>
                </c:pt>
                <c:pt idx="16">
                  <c:v>272.0</c:v>
                </c:pt>
                <c:pt idx="17">
                  <c:v>282.0</c:v>
                </c:pt>
                <c:pt idx="18">
                  <c:v>289.0</c:v>
                </c:pt>
                <c:pt idx="19">
                  <c:v>289.0</c:v>
                </c:pt>
                <c:pt idx="20">
                  <c:v>289.0</c:v>
                </c:pt>
                <c:pt idx="21">
                  <c:v>289.0</c:v>
                </c:pt>
                <c:pt idx="22">
                  <c:v>289.0</c:v>
                </c:pt>
                <c:pt idx="23">
                  <c:v>289.0</c:v>
                </c:pt>
                <c:pt idx="24">
                  <c:v>289.0</c:v>
                </c:pt>
                <c:pt idx="25">
                  <c:v>289.0</c:v>
                </c:pt>
                <c:pt idx="26">
                  <c:v>289.0</c:v>
                </c:pt>
                <c:pt idx="27">
                  <c:v>289.0</c:v>
                </c:pt>
                <c:pt idx="28">
                  <c:v>289.0</c:v>
                </c:pt>
                <c:pt idx="29">
                  <c:v>289.0</c:v>
                </c:pt>
              </c:numCache>
            </c:numRef>
          </c:xVal>
          <c:yVal>
            <c:numRef>
              <c:f>Betula_pubescens!$BA$36:$BA$65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0.8</c:v>
                </c:pt>
                <c:pt idx="5">
                  <c:v>2.0</c:v>
                </c:pt>
                <c:pt idx="6">
                  <c:v>2.0</c:v>
                </c:pt>
                <c:pt idx="7">
                  <c:v>2.0</c:v>
                </c:pt>
                <c:pt idx="8">
                  <c:v>2.0</c:v>
                </c:pt>
                <c:pt idx="9">
                  <c:v>2.0</c:v>
                </c:pt>
                <c:pt idx="10">
                  <c:v>2.0</c:v>
                </c:pt>
                <c:pt idx="11">
                  <c:v>3.0</c:v>
                </c:pt>
                <c:pt idx="12">
                  <c:v>4.0</c:v>
                </c:pt>
                <c:pt idx="13">
                  <c:v>4.6</c:v>
                </c:pt>
                <c:pt idx="14">
                  <c:v>5.2</c:v>
                </c:pt>
                <c:pt idx="15">
                  <c:v>6.6</c:v>
                </c:pt>
                <c:pt idx="16">
                  <c:v>6.8</c:v>
                </c:pt>
                <c:pt idx="17">
                  <c:v>7.4</c:v>
                </c:pt>
                <c:pt idx="18">
                  <c:v>8.0</c:v>
                </c:pt>
                <c:pt idx="19">
                  <c:v>8.0</c:v>
                </c:pt>
                <c:pt idx="20">
                  <c:v>8.0</c:v>
                </c:pt>
                <c:pt idx="21">
                  <c:v>8.0</c:v>
                </c:pt>
                <c:pt idx="22">
                  <c:v>8.0</c:v>
                </c:pt>
                <c:pt idx="23">
                  <c:v>8.0</c:v>
                </c:pt>
                <c:pt idx="24">
                  <c:v>8.0</c:v>
                </c:pt>
                <c:pt idx="25">
                  <c:v>8.0</c:v>
                </c:pt>
                <c:pt idx="26">
                  <c:v>8.0</c:v>
                </c:pt>
                <c:pt idx="27">
                  <c:v>8.0</c:v>
                </c:pt>
                <c:pt idx="28">
                  <c:v>8.0</c:v>
                </c:pt>
                <c:pt idx="29">
                  <c:v>8.0</c:v>
                </c:pt>
              </c:numCache>
            </c:numRef>
          </c:yVal>
          <c:smooth val="0"/>
        </c:ser>
        <c:ser>
          <c:idx val="1"/>
          <c:order val="1"/>
          <c:tx>
            <c:v>2006</c:v>
          </c:tx>
          <c:spPr>
            <a:ln w="9525">
              <a:solidFill>
                <a:srgbClr val="008000"/>
              </a:solidFill>
              <a:prstDash val="solid"/>
            </a:ln>
          </c:spPr>
          <c:marker>
            <c:symbol val="x"/>
            <c:size val="4"/>
            <c:spPr>
              <a:noFill/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Betula_pubescens!$CK$36:$CK$65</c:f>
              <c:numCache>
                <c:formatCode>0</c:formatCode>
                <c:ptCount val="30"/>
                <c:pt idx="0">
                  <c:v>130.0</c:v>
                </c:pt>
                <c:pt idx="1">
                  <c:v>132.0</c:v>
                </c:pt>
                <c:pt idx="2">
                  <c:v>135.0</c:v>
                </c:pt>
                <c:pt idx="3">
                  <c:v>139.0</c:v>
                </c:pt>
                <c:pt idx="4">
                  <c:v>142.0</c:v>
                </c:pt>
                <c:pt idx="5">
                  <c:v>144.0</c:v>
                </c:pt>
                <c:pt idx="6">
                  <c:v>149.0</c:v>
                </c:pt>
                <c:pt idx="7">
                  <c:v>153.0</c:v>
                </c:pt>
                <c:pt idx="8">
                  <c:v>156.0</c:v>
                </c:pt>
              </c:numCache>
            </c:numRef>
          </c:xVal>
          <c:yVal>
            <c:numRef>
              <c:f>Betula_pubescens!$CM$36:$CM$65</c:f>
              <c:numCache>
                <c:formatCode>General</c:formatCode>
                <c:ptCount val="30"/>
                <c:pt idx="0">
                  <c:v>0.6</c:v>
                </c:pt>
                <c:pt idx="1">
                  <c:v>1.0</c:v>
                </c:pt>
                <c:pt idx="2">
                  <c:v>1.0</c:v>
                </c:pt>
                <c:pt idx="3">
                  <c:v>1.6</c:v>
                </c:pt>
                <c:pt idx="4">
                  <c:v>2.0</c:v>
                </c:pt>
                <c:pt idx="5">
                  <c:v>2.0</c:v>
                </c:pt>
                <c:pt idx="6">
                  <c:v>2.0</c:v>
                </c:pt>
                <c:pt idx="7">
                  <c:v>2.0</c:v>
                </c:pt>
                <c:pt idx="8">
                  <c:v>2.6</c:v>
                </c:pt>
              </c:numCache>
            </c:numRef>
          </c:yVal>
          <c:smooth val="0"/>
        </c:ser>
        <c:ser>
          <c:idx val="0"/>
          <c:order val="2"/>
          <c:tx>
            <c:v>2007</c:v>
          </c:tx>
          <c:spPr>
            <a:ln w="9525">
              <a:solidFill>
                <a:srgbClr val="008000"/>
              </a:solidFill>
            </a:ln>
          </c:spPr>
          <c:marker>
            <c:symbol val="triangle"/>
            <c:size val="4"/>
            <c:spPr>
              <a:noFill/>
              <a:ln w="9525">
                <a:solidFill>
                  <a:srgbClr val="00B050"/>
                </a:solidFill>
              </a:ln>
            </c:spPr>
          </c:marker>
          <c:xVal>
            <c:numRef>
              <c:f>Betula_pubescens!$CG$36:$CG$57</c:f>
              <c:numCache>
                <c:formatCode>0</c:formatCode>
                <c:ptCount val="22"/>
                <c:pt idx="0">
                  <c:v>117.0</c:v>
                </c:pt>
                <c:pt idx="1">
                  <c:v>120.0</c:v>
                </c:pt>
                <c:pt idx="2">
                  <c:v>124.0</c:v>
                </c:pt>
                <c:pt idx="3">
                  <c:v>128.0</c:v>
                </c:pt>
                <c:pt idx="4">
                  <c:v>131.0</c:v>
                </c:pt>
                <c:pt idx="5">
                  <c:v>135.0</c:v>
                </c:pt>
                <c:pt idx="6">
                  <c:v>138.0</c:v>
                </c:pt>
                <c:pt idx="7">
                  <c:v>141.0</c:v>
                </c:pt>
                <c:pt idx="8">
                  <c:v>145.0</c:v>
                </c:pt>
                <c:pt idx="9">
                  <c:v>148.0</c:v>
                </c:pt>
                <c:pt idx="10">
                  <c:v>152.0</c:v>
                </c:pt>
                <c:pt idx="11">
                  <c:v>155.0</c:v>
                </c:pt>
                <c:pt idx="12">
                  <c:v>159.0</c:v>
                </c:pt>
                <c:pt idx="13">
                  <c:v>163.0</c:v>
                </c:pt>
                <c:pt idx="14">
                  <c:v>166.0</c:v>
                </c:pt>
                <c:pt idx="15">
                  <c:v>172.0</c:v>
                </c:pt>
                <c:pt idx="16">
                  <c:v>246.0</c:v>
                </c:pt>
                <c:pt idx="17">
                  <c:v>253.0</c:v>
                </c:pt>
                <c:pt idx="18">
                  <c:v>260.0</c:v>
                </c:pt>
                <c:pt idx="19">
                  <c:v>264.0</c:v>
                </c:pt>
                <c:pt idx="20">
                  <c:v>278.0</c:v>
                </c:pt>
                <c:pt idx="21">
                  <c:v>281.0</c:v>
                </c:pt>
              </c:numCache>
            </c:numRef>
          </c:xVal>
          <c:yVal>
            <c:numRef>
              <c:f>Betula_pubescens!$CI$36:$CI$57</c:f>
              <c:numCache>
                <c:formatCode>0.0</c:formatCode>
                <c:ptCount val="22"/>
                <c:pt idx="0">
                  <c:v>0.0</c:v>
                </c:pt>
                <c:pt idx="1">
                  <c:v>0.0</c:v>
                </c:pt>
                <c:pt idx="2">
                  <c:v>0.2</c:v>
                </c:pt>
                <c:pt idx="3">
                  <c:v>0.8</c:v>
                </c:pt>
                <c:pt idx="4">
                  <c:v>1.0</c:v>
                </c:pt>
                <c:pt idx="5">
                  <c:v>1.0</c:v>
                </c:pt>
                <c:pt idx="6">
                  <c:v>1.6</c:v>
                </c:pt>
                <c:pt idx="7">
                  <c:v>2.0</c:v>
                </c:pt>
                <c:pt idx="8">
                  <c:v>2.0</c:v>
                </c:pt>
                <c:pt idx="9">
                  <c:v>2.0</c:v>
                </c:pt>
                <c:pt idx="10">
                  <c:v>2.0</c:v>
                </c:pt>
                <c:pt idx="11">
                  <c:v>2.0</c:v>
                </c:pt>
                <c:pt idx="12">
                  <c:v>2.8</c:v>
                </c:pt>
                <c:pt idx="13">
                  <c:v>3.0</c:v>
                </c:pt>
                <c:pt idx="14">
                  <c:v>3.0</c:v>
                </c:pt>
                <c:pt idx="15">
                  <c:v>3.0</c:v>
                </c:pt>
                <c:pt idx="16">
                  <c:v>3.4</c:v>
                </c:pt>
                <c:pt idx="17">
                  <c:v>4.0</c:v>
                </c:pt>
                <c:pt idx="18">
                  <c:v>4.4</c:v>
                </c:pt>
                <c:pt idx="19">
                  <c:v>5.0</c:v>
                </c:pt>
                <c:pt idx="20">
                  <c:v>7.8</c:v>
                </c:pt>
                <c:pt idx="21">
                  <c:v>8.0</c:v>
                </c:pt>
              </c:numCache>
            </c:numRef>
          </c:yVal>
          <c:smooth val="0"/>
        </c:ser>
        <c:ser>
          <c:idx val="3"/>
          <c:order val="3"/>
          <c:tx>
            <c:v>2008</c:v>
          </c:tx>
          <c:spPr>
            <a:ln w="9525">
              <a:solidFill>
                <a:srgbClr val="009900"/>
              </a:solidFill>
            </a:ln>
          </c:spPr>
          <c:marker>
            <c:symbol val="square"/>
            <c:size val="4"/>
            <c:spPr>
              <a:noFill/>
              <a:ln>
                <a:solidFill>
                  <a:srgbClr val="009900"/>
                </a:solidFill>
              </a:ln>
            </c:spPr>
          </c:marker>
          <c:xVal>
            <c:numRef>
              <c:f>Betula_pubescens!$CC$36:$CC$65</c:f>
              <c:numCache>
                <c:formatCode>0</c:formatCode>
                <c:ptCount val="30"/>
                <c:pt idx="0">
                  <c:v>112.0</c:v>
                </c:pt>
                <c:pt idx="1">
                  <c:v>115.0</c:v>
                </c:pt>
                <c:pt idx="2">
                  <c:v>119.0</c:v>
                </c:pt>
                <c:pt idx="3">
                  <c:v>123.0</c:v>
                </c:pt>
                <c:pt idx="4">
                  <c:v>127.0</c:v>
                </c:pt>
                <c:pt idx="5">
                  <c:v>130.0</c:v>
                </c:pt>
                <c:pt idx="6">
                  <c:v>134.0</c:v>
                </c:pt>
                <c:pt idx="7">
                  <c:v>137.0</c:v>
                </c:pt>
                <c:pt idx="8">
                  <c:v>141.0</c:v>
                </c:pt>
                <c:pt idx="9">
                  <c:v>144.0</c:v>
                </c:pt>
                <c:pt idx="10">
                  <c:v>148.0</c:v>
                </c:pt>
                <c:pt idx="11">
                  <c:v>150.0</c:v>
                </c:pt>
                <c:pt idx="12">
                  <c:v>154.0</c:v>
                </c:pt>
                <c:pt idx="13">
                  <c:v>157.0</c:v>
                </c:pt>
                <c:pt idx="14">
                  <c:v>161.0</c:v>
                </c:pt>
                <c:pt idx="15">
                  <c:v>165.0</c:v>
                </c:pt>
                <c:pt idx="16">
                  <c:v>169.0</c:v>
                </c:pt>
                <c:pt idx="17">
                  <c:v>177.0</c:v>
                </c:pt>
                <c:pt idx="18">
                  <c:v>246.0</c:v>
                </c:pt>
                <c:pt idx="19">
                  <c:v>252.0</c:v>
                </c:pt>
                <c:pt idx="20">
                  <c:v>263.0</c:v>
                </c:pt>
                <c:pt idx="21">
                  <c:v>270.0</c:v>
                </c:pt>
                <c:pt idx="22">
                  <c:v>274.0</c:v>
                </c:pt>
                <c:pt idx="23">
                  <c:v>280.0</c:v>
                </c:pt>
                <c:pt idx="24">
                  <c:v>287.0</c:v>
                </c:pt>
              </c:numCache>
            </c:numRef>
          </c:xVal>
          <c:yVal>
            <c:numRef>
              <c:f>Betula_pubescens!$CE$36:$CE$65</c:f>
              <c:numCache>
                <c:formatCode>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0.4</c:v>
                </c:pt>
                <c:pt idx="6">
                  <c:v>1.0</c:v>
                </c:pt>
                <c:pt idx="7">
                  <c:v>1.4</c:v>
                </c:pt>
                <c:pt idx="8">
                  <c:v>1.4</c:v>
                </c:pt>
                <c:pt idx="9">
                  <c:v>1.8</c:v>
                </c:pt>
                <c:pt idx="10">
                  <c:v>1.8</c:v>
                </c:pt>
                <c:pt idx="11">
                  <c:v>2.0</c:v>
                </c:pt>
                <c:pt idx="12">
                  <c:v>2.0</c:v>
                </c:pt>
                <c:pt idx="13">
                  <c:v>2.0</c:v>
                </c:pt>
                <c:pt idx="14">
                  <c:v>3.0</c:v>
                </c:pt>
                <c:pt idx="15">
                  <c:v>3.0</c:v>
                </c:pt>
                <c:pt idx="16">
                  <c:v>3.0</c:v>
                </c:pt>
                <c:pt idx="17">
                  <c:v>3.0</c:v>
                </c:pt>
                <c:pt idx="18">
                  <c:v>3.4</c:v>
                </c:pt>
                <c:pt idx="19">
                  <c:v>4.0</c:v>
                </c:pt>
                <c:pt idx="20">
                  <c:v>5.0</c:v>
                </c:pt>
                <c:pt idx="21">
                  <c:v>6.0</c:v>
                </c:pt>
                <c:pt idx="22">
                  <c:v>6.8</c:v>
                </c:pt>
                <c:pt idx="23">
                  <c:v>7.4</c:v>
                </c:pt>
                <c:pt idx="24">
                  <c:v>8.0</c:v>
                </c:pt>
              </c:numCache>
            </c:numRef>
          </c:yVal>
          <c:smooth val="0"/>
        </c:ser>
        <c:ser>
          <c:idx val="4"/>
          <c:order val="4"/>
          <c:tx>
            <c:v>2009</c:v>
          </c:tx>
          <c:spPr>
            <a:ln w="9525">
              <a:solidFill>
                <a:srgbClr val="008000"/>
              </a:solidFill>
            </a:ln>
          </c:spPr>
          <c:marker>
            <c:symbol val="diamond"/>
            <c:size val="4"/>
            <c:spPr>
              <a:noFill/>
              <a:ln>
                <a:solidFill>
                  <a:srgbClr val="008000"/>
                </a:solidFill>
              </a:ln>
            </c:spPr>
          </c:marker>
          <c:xVal>
            <c:numRef>
              <c:f>Betula_pubescens!$BY$36:$BY$65</c:f>
              <c:numCache>
                <c:formatCode>0</c:formatCode>
                <c:ptCount val="30"/>
                <c:pt idx="0">
                  <c:v>112.0</c:v>
                </c:pt>
                <c:pt idx="1">
                  <c:v>114.0</c:v>
                </c:pt>
                <c:pt idx="2">
                  <c:v>118.0</c:v>
                </c:pt>
                <c:pt idx="3">
                  <c:v>124.0</c:v>
                </c:pt>
                <c:pt idx="4">
                  <c:v>128.0</c:v>
                </c:pt>
                <c:pt idx="5">
                  <c:v>132.0</c:v>
                </c:pt>
                <c:pt idx="6">
                  <c:v>135.0</c:v>
                </c:pt>
                <c:pt idx="7">
                  <c:v>139.0</c:v>
                </c:pt>
                <c:pt idx="8">
                  <c:v>142.0</c:v>
                </c:pt>
                <c:pt idx="9">
                  <c:v>145.0</c:v>
                </c:pt>
                <c:pt idx="10">
                  <c:v>149.0</c:v>
                </c:pt>
                <c:pt idx="11">
                  <c:v>152.0</c:v>
                </c:pt>
                <c:pt idx="12">
                  <c:v>160.0</c:v>
                </c:pt>
                <c:pt idx="13">
                  <c:v>168.0</c:v>
                </c:pt>
                <c:pt idx="14">
                  <c:v>176.0</c:v>
                </c:pt>
                <c:pt idx="15">
                  <c:v>183.0</c:v>
                </c:pt>
                <c:pt idx="16">
                  <c:v>244.0</c:v>
                </c:pt>
                <c:pt idx="17">
                  <c:v>257.0</c:v>
                </c:pt>
                <c:pt idx="18">
                  <c:v>264.0</c:v>
                </c:pt>
                <c:pt idx="19">
                  <c:v>271.0</c:v>
                </c:pt>
                <c:pt idx="20">
                  <c:v>287.0</c:v>
                </c:pt>
              </c:numCache>
            </c:numRef>
          </c:xVal>
          <c:yVal>
            <c:numRef>
              <c:f>Betula_pubescens!$CA$36:$CA$65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0.4</c:v>
                </c:pt>
                <c:pt idx="5">
                  <c:v>0.6</c:v>
                </c:pt>
                <c:pt idx="6">
                  <c:v>0.6</c:v>
                </c:pt>
                <c:pt idx="7">
                  <c:v>1.4</c:v>
                </c:pt>
                <c:pt idx="8">
                  <c:v>1.8</c:v>
                </c:pt>
                <c:pt idx="9">
                  <c:v>2.0</c:v>
                </c:pt>
                <c:pt idx="10">
                  <c:v>2.0</c:v>
                </c:pt>
                <c:pt idx="11">
                  <c:v>2.0</c:v>
                </c:pt>
                <c:pt idx="12">
                  <c:v>3.0</c:v>
                </c:pt>
                <c:pt idx="13">
                  <c:v>3.0</c:v>
                </c:pt>
                <c:pt idx="14">
                  <c:v>3.0</c:v>
                </c:pt>
                <c:pt idx="15">
                  <c:v>3.0</c:v>
                </c:pt>
                <c:pt idx="16">
                  <c:v>4.0</c:v>
                </c:pt>
                <c:pt idx="17">
                  <c:v>4.8</c:v>
                </c:pt>
                <c:pt idx="18">
                  <c:v>6.2</c:v>
                </c:pt>
                <c:pt idx="19">
                  <c:v>7.0</c:v>
                </c:pt>
                <c:pt idx="20">
                  <c:v>8.0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8803736"/>
        <c:axId val="-2132499800"/>
      </c:scatterChart>
      <c:valAx>
        <c:axId val="-2118803736"/>
        <c:scaling>
          <c:orientation val="minMax"/>
          <c:min val="90.0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32499800"/>
        <c:crosses val="autoZero"/>
        <c:crossBetween val="midCat"/>
      </c:valAx>
      <c:valAx>
        <c:axId val="-21324998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Bedömd fas</a:t>
                </a:r>
              </a:p>
            </c:rich>
          </c:tx>
          <c:layout>
            <c:manualLayout>
              <c:xMode val="edge"/>
              <c:yMode val="edge"/>
              <c:x val="0.00251817481148198"/>
              <c:y val="0.2988521213329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8803736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5555555555556"/>
          <c:y val="0.329113952303124"/>
          <c:w val="0.144841269841274"/>
          <c:h val="0.4894515188097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897755610972636"/>
          <c:y val="0.0632183908045977"/>
          <c:w val="0.872817955112219"/>
          <c:h val="0.781609195402299"/>
        </c:manualLayout>
      </c:layout>
      <c:scatterChart>
        <c:scatterStyle val="lineMarker"/>
        <c:varyColors val="0"/>
        <c:ser>
          <c:idx val="2"/>
          <c:order val="0"/>
          <c:tx>
            <c:v>Årets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Betula_pubescens!$BO$66:$BO$95</c:f>
              <c:numCache>
                <c:formatCode>0</c:formatCode>
                <c:ptCount val="30"/>
                <c:pt idx="0">
                  <c:v>289.0</c:v>
                </c:pt>
                <c:pt idx="1">
                  <c:v>289.0</c:v>
                </c:pt>
                <c:pt idx="2">
                  <c:v>289.0</c:v>
                </c:pt>
                <c:pt idx="3">
                  <c:v>289.0</c:v>
                </c:pt>
                <c:pt idx="4">
                  <c:v>289.0</c:v>
                </c:pt>
                <c:pt idx="5">
                  <c:v>289.0</c:v>
                </c:pt>
                <c:pt idx="6">
                  <c:v>289.0</c:v>
                </c:pt>
                <c:pt idx="7">
                  <c:v>289.0</c:v>
                </c:pt>
                <c:pt idx="8">
                  <c:v>289.0</c:v>
                </c:pt>
                <c:pt idx="9">
                  <c:v>289.0</c:v>
                </c:pt>
                <c:pt idx="10">
                  <c:v>289.0</c:v>
                </c:pt>
                <c:pt idx="11">
                  <c:v>289.0</c:v>
                </c:pt>
                <c:pt idx="12">
                  <c:v>289.0</c:v>
                </c:pt>
                <c:pt idx="13">
                  <c:v>289.0</c:v>
                </c:pt>
                <c:pt idx="14">
                  <c:v>289.0</c:v>
                </c:pt>
                <c:pt idx="15">
                  <c:v>289.0</c:v>
                </c:pt>
                <c:pt idx="16">
                  <c:v>289.0</c:v>
                </c:pt>
                <c:pt idx="17">
                  <c:v>289.0</c:v>
                </c:pt>
                <c:pt idx="18">
                  <c:v>289.0</c:v>
                </c:pt>
                <c:pt idx="19">
                  <c:v>289.0</c:v>
                </c:pt>
                <c:pt idx="20">
                  <c:v>289.0</c:v>
                </c:pt>
                <c:pt idx="21">
                  <c:v>289.0</c:v>
                </c:pt>
                <c:pt idx="22">
                  <c:v>289.0</c:v>
                </c:pt>
                <c:pt idx="23">
                  <c:v>289.0</c:v>
                </c:pt>
                <c:pt idx="24">
                  <c:v>289.0</c:v>
                </c:pt>
                <c:pt idx="25">
                  <c:v>289.0</c:v>
                </c:pt>
                <c:pt idx="26">
                  <c:v>289.0</c:v>
                </c:pt>
                <c:pt idx="27">
                  <c:v>289.0</c:v>
                </c:pt>
                <c:pt idx="28">
                  <c:v>289.0</c:v>
                </c:pt>
                <c:pt idx="29">
                  <c:v>289.0</c:v>
                </c:pt>
              </c:numCache>
            </c:numRef>
          </c:xVal>
          <c:yVal>
            <c:numRef>
              <c:f>Betula_pubescens!$AZ$66:$AZ$95</c:f>
              <c:numCache>
                <c:formatCode>0.00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</c:numCache>
            </c:numRef>
          </c:yVal>
          <c:smooth val="0"/>
        </c:ser>
        <c:ser>
          <c:idx val="0"/>
          <c:order val="1"/>
          <c:tx>
            <c:v>2008</c:v>
          </c:tx>
          <c:spPr>
            <a:ln w="9525">
              <a:solidFill>
                <a:srgbClr val="FF9900"/>
              </a:solidFill>
            </a:ln>
          </c:spPr>
          <c:marker>
            <c:symbol val="square"/>
            <c:size val="4"/>
            <c:spPr>
              <a:noFill/>
              <a:ln>
                <a:solidFill>
                  <a:srgbClr val="FF9900"/>
                </a:solidFill>
              </a:ln>
            </c:spPr>
          </c:marker>
          <c:xVal>
            <c:numRef>
              <c:f>Betula_pubescens!$CC$66:$CC$95</c:f>
              <c:numCache>
                <c:formatCode>0</c:formatCode>
                <c:ptCount val="30"/>
                <c:pt idx="0">
                  <c:v>116.0</c:v>
                </c:pt>
                <c:pt idx="1">
                  <c:v>121.0</c:v>
                </c:pt>
                <c:pt idx="2">
                  <c:v>127.0</c:v>
                </c:pt>
                <c:pt idx="3">
                  <c:v>132.0</c:v>
                </c:pt>
                <c:pt idx="4">
                  <c:v>136.0</c:v>
                </c:pt>
                <c:pt idx="5">
                  <c:v>147.0</c:v>
                </c:pt>
                <c:pt idx="6">
                  <c:v>154.0</c:v>
                </c:pt>
                <c:pt idx="7">
                  <c:v>161.0</c:v>
                </c:pt>
                <c:pt idx="8">
                  <c:v>168.0</c:v>
                </c:pt>
                <c:pt idx="9">
                  <c:v>175.0</c:v>
                </c:pt>
                <c:pt idx="10">
                  <c:v>192.0</c:v>
                </c:pt>
                <c:pt idx="11">
                  <c:v>216.0</c:v>
                </c:pt>
              </c:numCache>
            </c:numRef>
          </c:xVal>
          <c:yVal>
            <c:numRef>
              <c:f>Betula_pubescens!$CD$66:$CD$95</c:f>
              <c:numCache>
                <c:formatCode>0.0</c:formatCode>
                <c:ptCount val="30"/>
                <c:pt idx="0">
                  <c:v>6.77142857142857</c:v>
                </c:pt>
                <c:pt idx="1">
                  <c:v>11.86857142857143</c:v>
                </c:pt>
                <c:pt idx="2">
                  <c:v>19.31428571428571</c:v>
                </c:pt>
                <c:pt idx="3">
                  <c:v>33.77428571428571</c:v>
                </c:pt>
                <c:pt idx="4">
                  <c:v>38.23142857142857</c:v>
                </c:pt>
                <c:pt idx="5">
                  <c:v>44.46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4542872"/>
        <c:axId val="-2114928488"/>
      </c:scatterChart>
      <c:valAx>
        <c:axId val="-2114542872"/>
        <c:scaling>
          <c:orientation val="minMax"/>
          <c:min val="90.0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4928488"/>
        <c:crosses val="autoZero"/>
        <c:crossBetween val="midCat"/>
      </c:valAx>
      <c:valAx>
        <c:axId val="-21149284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Knopp/bladlängd, mm</a:t>
                </a:r>
              </a:p>
            </c:rich>
          </c:tx>
          <c:layout>
            <c:manualLayout>
              <c:xMode val="edge"/>
              <c:yMode val="edge"/>
              <c:x val="0.00251817481148198"/>
              <c:y val="0.17241413972190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4542872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5634920634921"/>
          <c:y val="0.591489400108136"/>
          <c:w val="0.154761904761908"/>
          <c:h val="0.2085106518366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84788029925187"/>
          <c:y val="0.0632183908045977"/>
          <c:w val="0.877805486284333"/>
          <c:h val="0.781609195402299"/>
        </c:manualLayout>
      </c:layout>
      <c:scatterChart>
        <c:scatterStyle val="lineMarker"/>
        <c:varyColors val="0"/>
        <c:ser>
          <c:idx val="2"/>
          <c:order val="0"/>
          <c:tx>
            <c:v>Årets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Betula_pubescens!$BO$66:$BO$95</c:f>
              <c:numCache>
                <c:formatCode>0</c:formatCode>
                <c:ptCount val="30"/>
                <c:pt idx="0">
                  <c:v>289.0</c:v>
                </c:pt>
                <c:pt idx="1">
                  <c:v>289.0</c:v>
                </c:pt>
                <c:pt idx="2">
                  <c:v>289.0</c:v>
                </c:pt>
                <c:pt idx="3">
                  <c:v>289.0</c:v>
                </c:pt>
                <c:pt idx="4">
                  <c:v>289.0</c:v>
                </c:pt>
                <c:pt idx="5">
                  <c:v>289.0</c:v>
                </c:pt>
                <c:pt idx="6">
                  <c:v>289.0</c:v>
                </c:pt>
                <c:pt idx="7">
                  <c:v>289.0</c:v>
                </c:pt>
                <c:pt idx="8">
                  <c:v>289.0</c:v>
                </c:pt>
                <c:pt idx="9">
                  <c:v>289.0</c:v>
                </c:pt>
                <c:pt idx="10">
                  <c:v>289.0</c:v>
                </c:pt>
                <c:pt idx="11">
                  <c:v>289.0</c:v>
                </c:pt>
                <c:pt idx="12">
                  <c:v>289.0</c:v>
                </c:pt>
                <c:pt idx="13">
                  <c:v>289.0</c:v>
                </c:pt>
                <c:pt idx="14">
                  <c:v>289.0</c:v>
                </c:pt>
                <c:pt idx="15">
                  <c:v>289.0</c:v>
                </c:pt>
                <c:pt idx="16">
                  <c:v>289.0</c:v>
                </c:pt>
                <c:pt idx="17">
                  <c:v>289.0</c:v>
                </c:pt>
                <c:pt idx="18">
                  <c:v>289.0</c:v>
                </c:pt>
                <c:pt idx="19">
                  <c:v>289.0</c:v>
                </c:pt>
                <c:pt idx="20">
                  <c:v>289.0</c:v>
                </c:pt>
                <c:pt idx="21">
                  <c:v>289.0</c:v>
                </c:pt>
                <c:pt idx="22">
                  <c:v>289.0</c:v>
                </c:pt>
                <c:pt idx="23">
                  <c:v>289.0</c:v>
                </c:pt>
                <c:pt idx="24">
                  <c:v>289.0</c:v>
                </c:pt>
                <c:pt idx="25">
                  <c:v>289.0</c:v>
                </c:pt>
                <c:pt idx="26">
                  <c:v>289.0</c:v>
                </c:pt>
                <c:pt idx="27">
                  <c:v>289.0</c:v>
                </c:pt>
                <c:pt idx="28">
                  <c:v>289.0</c:v>
                </c:pt>
                <c:pt idx="29">
                  <c:v>289.0</c:v>
                </c:pt>
              </c:numCache>
            </c:numRef>
          </c:xVal>
          <c:yVal>
            <c:numRef>
              <c:f>Betula_pubescens!$BA$66:$BA$95</c:f>
              <c:numCache>
                <c:formatCode>0.0</c:formatCode>
                <c:ptCount val="30"/>
                <c:pt idx="0">
                  <c:v>8.0</c:v>
                </c:pt>
                <c:pt idx="1">
                  <c:v>8.0</c:v>
                </c:pt>
                <c:pt idx="2">
                  <c:v>8.0</c:v>
                </c:pt>
                <c:pt idx="3">
                  <c:v>8.0</c:v>
                </c:pt>
                <c:pt idx="4">
                  <c:v>8.0</c:v>
                </c:pt>
                <c:pt idx="5">
                  <c:v>8.0</c:v>
                </c:pt>
                <c:pt idx="6">
                  <c:v>8.0</c:v>
                </c:pt>
                <c:pt idx="7">
                  <c:v>8.0</c:v>
                </c:pt>
                <c:pt idx="8">
                  <c:v>8.0</c:v>
                </c:pt>
                <c:pt idx="9">
                  <c:v>8.0</c:v>
                </c:pt>
                <c:pt idx="10">
                  <c:v>8.0</c:v>
                </c:pt>
                <c:pt idx="11">
                  <c:v>8.0</c:v>
                </c:pt>
                <c:pt idx="12">
                  <c:v>8.0</c:v>
                </c:pt>
                <c:pt idx="13">
                  <c:v>8.0</c:v>
                </c:pt>
                <c:pt idx="14">
                  <c:v>8.0</c:v>
                </c:pt>
                <c:pt idx="15">
                  <c:v>8.0</c:v>
                </c:pt>
                <c:pt idx="16">
                  <c:v>8.0</c:v>
                </c:pt>
                <c:pt idx="17">
                  <c:v>8.0</c:v>
                </c:pt>
                <c:pt idx="18">
                  <c:v>8.0</c:v>
                </c:pt>
                <c:pt idx="19">
                  <c:v>8.0</c:v>
                </c:pt>
                <c:pt idx="20">
                  <c:v>8.0</c:v>
                </c:pt>
                <c:pt idx="21">
                  <c:v>8.0</c:v>
                </c:pt>
                <c:pt idx="22">
                  <c:v>8.0</c:v>
                </c:pt>
                <c:pt idx="23">
                  <c:v>8.0</c:v>
                </c:pt>
                <c:pt idx="24">
                  <c:v>8.0</c:v>
                </c:pt>
                <c:pt idx="25">
                  <c:v>8.0</c:v>
                </c:pt>
                <c:pt idx="26">
                  <c:v>8.0</c:v>
                </c:pt>
                <c:pt idx="27">
                  <c:v>8.0</c:v>
                </c:pt>
                <c:pt idx="28">
                  <c:v>8.0</c:v>
                </c:pt>
                <c:pt idx="29">
                  <c:v>8.0</c:v>
                </c:pt>
              </c:numCache>
            </c:numRef>
          </c:yVal>
          <c:smooth val="0"/>
        </c:ser>
        <c:ser>
          <c:idx val="0"/>
          <c:order val="1"/>
          <c:tx>
            <c:v>2008</c:v>
          </c:tx>
          <c:spPr>
            <a:ln w="9525">
              <a:solidFill>
                <a:srgbClr val="FF9900"/>
              </a:solidFill>
            </a:ln>
          </c:spPr>
          <c:marker>
            <c:symbol val="square"/>
            <c:size val="4"/>
            <c:spPr>
              <a:noFill/>
              <a:ln>
                <a:solidFill>
                  <a:srgbClr val="FF9900"/>
                </a:solidFill>
              </a:ln>
            </c:spPr>
          </c:marker>
          <c:xVal>
            <c:numRef>
              <c:f>Betula_pubescens!$CC$66:$CC$95</c:f>
              <c:numCache>
                <c:formatCode>0</c:formatCode>
                <c:ptCount val="30"/>
                <c:pt idx="0">
                  <c:v>116.0</c:v>
                </c:pt>
                <c:pt idx="1">
                  <c:v>121.0</c:v>
                </c:pt>
                <c:pt idx="2">
                  <c:v>127.0</c:v>
                </c:pt>
                <c:pt idx="3">
                  <c:v>132.0</c:v>
                </c:pt>
                <c:pt idx="4">
                  <c:v>136.0</c:v>
                </c:pt>
                <c:pt idx="5">
                  <c:v>147.0</c:v>
                </c:pt>
                <c:pt idx="6">
                  <c:v>154.0</c:v>
                </c:pt>
                <c:pt idx="7">
                  <c:v>161.0</c:v>
                </c:pt>
                <c:pt idx="8">
                  <c:v>168.0</c:v>
                </c:pt>
                <c:pt idx="9">
                  <c:v>175.0</c:v>
                </c:pt>
                <c:pt idx="10">
                  <c:v>192.0</c:v>
                </c:pt>
                <c:pt idx="11">
                  <c:v>216.0</c:v>
                </c:pt>
              </c:numCache>
            </c:numRef>
          </c:xVal>
          <c:yVal>
            <c:numRef>
              <c:f>Betula_pubescens!$CE$66:$CE$95</c:f>
              <c:numCache>
                <c:formatCode>0</c:formatCode>
                <c:ptCount val="30"/>
                <c:pt idx="0">
                  <c:v>0.0</c:v>
                </c:pt>
                <c:pt idx="1">
                  <c:v>0.8</c:v>
                </c:pt>
                <c:pt idx="2">
                  <c:v>1.8</c:v>
                </c:pt>
                <c:pt idx="3">
                  <c:v>2.0</c:v>
                </c:pt>
                <c:pt idx="4">
                  <c:v>2.2</c:v>
                </c:pt>
                <c:pt idx="5">
                  <c:v>3.0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7908904"/>
        <c:axId val="-2135309016"/>
      </c:scatterChart>
      <c:valAx>
        <c:axId val="2137908904"/>
        <c:scaling>
          <c:orientation val="minMax"/>
          <c:min val="90.0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35309016"/>
        <c:crosses val="autoZero"/>
        <c:crossBetween val="midCat"/>
      </c:valAx>
      <c:valAx>
        <c:axId val="-2135309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Bedömd fas</a:t>
                </a:r>
              </a:p>
            </c:rich>
          </c:tx>
          <c:layout>
            <c:manualLayout>
              <c:xMode val="edge"/>
              <c:yMode val="edge"/>
              <c:x val="0.00251817481148198"/>
              <c:y val="0.2988521213329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2137908904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9682539682539"/>
          <c:y val="0.594936759932571"/>
          <c:w val="0.154761904761908"/>
          <c:h val="0.2067510726006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206982543645"/>
          <c:y val="0.0632183908045977"/>
          <c:w val="0.845386533665836"/>
          <c:h val="0.781609195402299"/>
        </c:manualLayout>
      </c:layout>
      <c:scatterChart>
        <c:scatterStyle val="lineMarker"/>
        <c:varyColors val="0"/>
        <c:ser>
          <c:idx val="2"/>
          <c:order val="0"/>
          <c:tx>
            <c:v>Årets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Betula_pubescens!$BO$96:$BO$125</c:f>
              <c:numCache>
                <c:formatCode>0</c:formatCode>
                <c:ptCount val="30"/>
                <c:pt idx="0">
                  <c:v>121.0</c:v>
                </c:pt>
                <c:pt idx="1">
                  <c:v>129.0</c:v>
                </c:pt>
                <c:pt idx="2">
                  <c:v>135.0</c:v>
                </c:pt>
                <c:pt idx="3">
                  <c:v>137.0</c:v>
                </c:pt>
                <c:pt idx="4">
                  <c:v>139.0</c:v>
                </c:pt>
                <c:pt idx="5">
                  <c:v>140.0</c:v>
                </c:pt>
                <c:pt idx="6">
                  <c:v>142.0</c:v>
                </c:pt>
                <c:pt idx="7">
                  <c:v>144.0</c:v>
                </c:pt>
                <c:pt idx="8">
                  <c:v>145.0</c:v>
                </c:pt>
                <c:pt idx="9">
                  <c:v>147.0</c:v>
                </c:pt>
                <c:pt idx="10">
                  <c:v>149.0</c:v>
                </c:pt>
                <c:pt idx="11">
                  <c:v>149.0</c:v>
                </c:pt>
                <c:pt idx="12">
                  <c:v>149.0</c:v>
                </c:pt>
                <c:pt idx="13">
                  <c:v>149.0</c:v>
                </c:pt>
                <c:pt idx="14">
                  <c:v>149.0</c:v>
                </c:pt>
                <c:pt idx="15">
                  <c:v>149.0</c:v>
                </c:pt>
                <c:pt idx="16">
                  <c:v>149.0</c:v>
                </c:pt>
                <c:pt idx="17">
                  <c:v>149.0</c:v>
                </c:pt>
                <c:pt idx="18">
                  <c:v>149.0</c:v>
                </c:pt>
                <c:pt idx="19">
                  <c:v>149.0</c:v>
                </c:pt>
                <c:pt idx="20">
                  <c:v>149.0</c:v>
                </c:pt>
                <c:pt idx="21">
                  <c:v>149.0</c:v>
                </c:pt>
                <c:pt idx="22">
                  <c:v>149.0</c:v>
                </c:pt>
                <c:pt idx="23">
                  <c:v>149.0</c:v>
                </c:pt>
                <c:pt idx="24">
                  <c:v>149.0</c:v>
                </c:pt>
                <c:pt idx="25">
                  <c:v>149.0</c:v>
                </c:pt>
                <c:pt idx="26">
                  <c:v>149.0</c:v>
                </c:pt>
                <c:pt idx="27">
                  <c:v>149.0</c:v>
                </c:pt>
                <c:pt idx="28">
                  <c:v>149.0</c:v>
                </c:pt>
                <c:pt idx="29">
                  <c:v>149.0</c:v>
                </c:pt>
              </c:numCache>
            </c:numRef>
          </c:xVal>
          <c:yVal>
            <c:numRef>
              <c:f>Betula_pubescens!$AZ$96:$AZ$125</c:f>
              <c:numCache>
                <c:formatCode>0.00</c:formatCode>
                <c:ptCount val="30"/>
                <c:pt idx="0">
                  <c:v>6.004</c:v>
                </c:pt>
                <c:pt idx="1">
                  <c:v>6.644</c:v>
                </c:pt>
                <c:pt idx="2">
                  <c:v>7.292</c:v>
                </c:pt>
                <c:pt idx="3">
                  <c:v>7.94</c:v>
                </c:pt>
                <c:pt idx="4">
                  <c:v>9.284000000000001</c:v>
                </c:pt>
                <c:pt idx="5">
                  <c:v>9.484</c:v>
                </c:pt>
                <c:pt idx="6">
                  <c:v>10.364</c:v>
                </c:pt>
                <c:pt idx="7">
                  <c:v>11.988</c:v>
                </c:pt>
                <c:pt idx="8">
                  <c:v>13.876</c:v>
                </c:pt>
                <c:pt idx="9">
                  <c:v>21.336</c:v>
                </c:pt>
                <c:pt idx="10">
                  <c:v>28.14</c:v>
                </c:pt>
                <c:pt idx="11">
                  <c:v>28.14</c:v>
                </c:pt>
                <c:pt idx="12">
                  <c:v>28.14</c:v>
                </c:pt>
                <c:pt idx="13">
                  <c:v>28.14</c:v>
                </c:pt>
                <c:pt idx="14">
                  <c:v>28.14</c:v>
                </c:pt>
                <c:pt idx="15">
                  <c:v>28.14</c:v>
                </c:pt>
                <c:pt idx="16">
                  <c:v>28.14</c:v>
                </c:pt>
                <c:pt idx="17">
                  <c:v>28.14</c:v>
                </c:pt>
                <c:pt idx="18">
                  <c:v>28.14</c:v>
                </c:pt>
                <c:pt idx="19">
                  <c:v>28.14</c:v>
                </c:pt>
                <c:pt idx="20">
                  <c:v>28.14</c:v>
                </c:pt>
                <c:pt idx="21">
                  <c:v>28.14</c:v>
                </c:pt>
                <c:pt idx="22">
                  <c:v>28.14</c:v>
                </c:pt>
                <c:pt idx="23">
                  <c:v>28.14</c:v>
                </c:pt>
                <c:pt idx="24">
                  <c:v>28.14</c:v>
                </c:pt>
                <c:pt idx="25">
                  <c:v>28.14</c:v>
                </c:pt>
                <c:pt idx="26">
                  <c:v>28.14</c:v>
                </c:pt>
                <c:pt idx="27">
                  <c:v>28.14</c:v>
                </c:pt>
                <c:pt idx="28">
                  <c:v>28.14</c:v>
                </c:pt>
              </c:numCache>
            </c:numRef>
          </c:yVal>
          <c:smooth val="0"/>
        </c:ser>
        <c:ser>
          <c:idx val="1"/>
          <c:order val="1"/>
          <c:tx>
            <c:v>2006</c:v>
          </c:tx>
          <c:spPr>
            <a:ln w="9525">
              <a:solidFill>
                <a:srgbClr val="0000FF"/>
              </a:solidFill>
              <a:prstDash val="solid"/>
            </a:ln>
          </c:spPr>
          <c:marker>
            <c:symbol val="x"/>
            <c:size val="4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Betula_pubescens!$CK$96:$CK$125</c:f>
              <c:numCache>
                <c:formatCode>0</c:formatCode>
                <c:ptCount val="30"/>
                <c:pt idx="0">
                  <c:v>128.0</c:v>
                </c:pt>
                <c:pt idx="1">
                  <c:v>129.0</c:v>
                </c:pt>
                <c:pt idx="2">
                  <c:v>130.0</c:v>
                </c:pt>
                <c:pt idx="3">
                  <c:v>131.0</c:v>
                </c:pt>
                <c:pt idx="4">
                  <c:v>132.0</c:v>
                </c:pt>
                <c:pt idx="5">
                  <c:v>134.0</c:v>
                </c:pt>
                <c:pt idx="6">
                  <c:v>135.0</c:v>
                </c:pt>
                <c:pt idx="7">
                  <c:v>136.0</c:v>
                </c:pt>
                <c:pt idx="8">
                  <c:v>137.0</c:v>
                </c:pt>
                <c:pt idx="9">
                  <c:v>139.0</c:v>
                </c:pt>
                <c:pt idx="10">
                  <c:v>140.0</c:v>
                </c:pt>
              </c:numCache>
            </c:numRef>
          </c:xVal>
          <c:yVal>
            <c:numRef>
              <c:f>Betula_pubescens!$CL$96:$CL$125</c:f>
              <c:numCache>
                <c:formatCode>General</c:formatCode>
                <c:ptCount val="30"/>
                <c:pt idx="0">
                  <c:v>10.196</c:v>
                </c:pt>
                <c:pt idx="1">
                  <c:v>11.668</c:v>
                </c:pt>
                <c:pt idx="2">
                  <c:v>12.196</c:v>
                </c:pt>
                <c:pt idx="3">
                  <c:v>14.52</c:v>
                </c:pt>
                <c:pt idx="4">
                  <c:v>15.696</c:v>
                </c:pt>
                <c:pt idx="5">
                  <c:v>17.352</c:v>
                </c:pt>
                <c:pt idx="6">
                  <c:v>17.864</c:v>
                </c:pt>
                <c:pt idx="7">
                  <c:v>18.572</c:v>
                </c:pt>
                <c:pt idx="8">
                  <c:v>18.604</c:v>
                </c:pt>
                <c:pt idx="9">
                  <c:v>19.792</c:v>
                </c:pt>
                <c:pt idx="10">
                  <c:v>21.868</c:v>
                </c:pt>
              </c:numCache>
            </c:numRef>
          </c:yVal>
          <c:smooth val="0"/>
        </c:ser>
        <c:ser>
          <c:idx val="0"/>
          <c:order val="2"/>
          <c:tx>
            <c:v>2007</c:v>
          </c:tx>
          <c:spPr>
            <a:ln w="9525">
              <a:solidFill>
                <a:srgbClr val="0000FF"/>
              </a:solidFill>
            </a:ln>
          </c:spPr>
          <c:marker>
            <c:symbol val="triangle"/>
            <c:size val="4"/>
            <c:spPr>
              <a:noFill/>
              <a:ln>
                <a:solidFill>
                  <a:srgbClr val="0000FF"/>
                </a:solidFill>
              </a:ln>
            </c:spPr>
          </c:marker>
          <c:xVal>
            <c:numRef>
              <c:f>Betula_pubescens!$CG$96:$CG$109</c:f>
              <c:numCache>
                <c:formatCode>0</c:formatCode>
                <c:ptCount val="14"/>
                <c:pt idx="0">
                  <c:v>117.0</c:v>
                </c:pt>
                <c:pt idx="1">
                  <c:v>122.0</c:v>
                </c:pt>
                <c:pt idx="2">
                  <c:v>124.0</c:v>
                </c:pt>
                <c:pt idx="3">
                  <c:v>127.0</c:v>
                </c:pt>
                <c:pt idx="4">
                  <c:v>128.0</c:v>
                </c:pt>
                <c:pt idx="5">
                  <c:v>130.0</c:v>
                </c:pt>
                <c:pt idx="6">
                  <c:v>131.0</c:v>
                </c:pt>
                <c:pt idx="7">
                  <c:v>134.0</c:v>
                </c:pt>
                <c:pt idx="8">
                  <c:v>136.0</c:v>
                </c:pt>
                <c:pt idx="9">
                  <c:v>139.0</c:v>
                </c:pt>
                <c:pt idx="10">
                  <c:v>141.0</c:v>
                </c:pt>
                <c:pt idx="11">
                  <c:v>142.0</c:v>
                </c:pt>
                <c:pt idx="12">
                  <c:v>145.0</c:v>
                </c:pt>
                <c:pt idx="13">
                  <c:v>150.0</c:v>
                </c:pt>
              </c:numCache>
            </c:numRef>
          </c:xVal>
          <c:yVal>
            <c:numRef>
              <c:f>Betula_pubescens!$CH$96:$CH$109</c:f>
              <c:numCache>
                <c:formatCode>General</c:formatCode>
                <c:ptCount val="14"/>
                <c:pt idx="0">
                  <c:v>7.64</c:v>
                </c:pt>
                <c:pt idx="1">
                  <c:v>8.46</c:v>
                </c:pt>
                <c:pt idx="2">
                  <c:v>8.96</c:v>
                </c:pt>
                <c:pt idx="3">
                  <c:v>9.712</c:v>
                </c:pt>
                <c:pt idx="4">
                  <c:v>10.412</c:v>
                </c:pt>
                <c:pt idx="5">
                  <c:v>11.06</c:v>
                </c:pt>
                <c:pt idx="6">
                  <c:v>11.908</c:v>
                </c:pt>
                <c:pt idx="7">
                  <c:v>13.172</c:v>
                </c:pt>
                <c:pt idx="8">
                  <c:v>14.756</c:v>
                </c:pt>
                <c:pt idx="9">
                  <c:v>17.984</c:v>
                </c:pt>
                <c:pt idx="10">
                  <c:v>20.08</c:v>
                </c:pt>
                <c:pt idx="11">
                  <c:v>23.42</c:v>
                </c:pt>
                <c:pt idx="12">
                  <c:v>32.244</c:v>
                </c:pt>
                <c:pt idx="13">
                  <c:v>46.24</c:v>
                </c:pt>
              </c:numCache>
            </c:numRef>
          </c:yVal>
          <c:smooth val="0"/>
        </c:ser>
        <c:ser>
          <c:idx val="3"/>
          <c:order val="3"/>
          <c:tx>
            <c:v>2008</c:v>
          </c:tx>
          <c:spPr>
            <a:ln w="9525">
              <a:solidFill>
                <a:srgbClr val="0000FF"/>
              </a:solidFill>
            </a:ln>
          </c:spPr>
          <c:marker>
            <c:symbol val="square"/>
            <c:size val="4"/>
            <c:spPr>
              <a:noFill/>
              <a:ln>
                <a:solidFill>
                  <a:srgbClr val="0000FF"/>
                </a:solidFill>
              </a:ln>
            </c:spPr>
          </c:marker>
          <c:xVal>
            <c:numRef>
              <c:f>Betula_pubescens!$CC$96:$CC$125</c:f>
              <c:numCache>
                <c:formatCode>0</c:formatCode>
                <c:ptCount val="30"/>
                <c:pt idx="0">
                  <c:v>121.0</c:v>
                </c:pt>
                <c:pt idx="1">
                  <c:v>126.0</c:v>
                </c:pt>
                <c:pt idx="2">
                  <c:v>128.0</c:v>
                </c:pt>
                <c:pt idx="3">
                  <c:v>130.0</c:v>
                </c:pt>
                <c:pt idx="4">
                  <c:v>132.0</c:v>
                </c:pt>
                <c:pt idx="5">
                  <c:v>133.0</c:v>
                </c:pt>
                <c:pt idx="6">
                  <c:v>134.0</c:v>
                </c:pt>
                <c:pt idx="7">
                  <c:v>135.0</c:v>
                </c:pt>
                <c:pt idx="8">
                  <c:v>136.0</c:v>
                </c:pt>
                <c:pt idx="9">
                  <c:v>140.0</c:v>
                </c:pt>
                <c:pt idx="10">
                  <c:v>144.0</c:v>
                </c:pt>
                <c:pt idx="11">
                  <c:v>148.0</c:v>
                </c:pt>
                <c:pt idx="12">
                  <c:v>151.0</c:v>
                </c:pt>
                <c:pt idx="13">
                  <c:v>154.0</c:v>
                </c:pt>
                <c:pt idx="14">
                  <c:v>168.0</c:v>
                </c:pt>
                <c:pt idx="15">
                  <c:v>179.0</c:v>
                </c:pt>
                <c:pt idx="16">
                  <c:v>186.0</c:v>
                </c:pt>
              </c:numCache>
            </c:numRef>
          </c:xVal>
          <c:yVal>
            <c:numRef>
              <c:f>Betula_pubescens!$CD$96:$CD$125</c:f>
              <c:numCache>
                <c:formatCode>0.0</c:formatCode>
                <c:ptCount val="30"/>
                <c:pt idx="0">
                  <c:v>6.516</c:v>
                </c:pt>
                <c:pt idx="1">
                  <c:v>9.084</c:v>
                </c:pt>
                <c:pt idx="2">
                  <c:v>9.639999999999998</c:v>
                </c:pt>
                <c:pt idx="3">
                  <c:v>12.6</c:v>
                </c:pt>
                <c:pt idx="4">
                  <c:v>16.984</c:v>
                </c:pt>
                <c:pt idx="5">
                  <c:v>18.476</c:v>
                </c:pt>
                <c:pt idx="6">
                  <c:v>18.956</c:v>
                </c:pt>
                <c:pt idx="7">
                  <c:v>19.668</c:v>
                </c:pt>
                <c:pt idx="8">
                  <c:v>20.08</c:v>
                </c:pt>
                <c:pt idx="9">
                  <c:v>21.652</c:v>
                </c:pt>
                <c:pt idx="10">
                  <c:v>25.556</c:v>
                </c:pt>
                <c:pt idx="11">
                  <c:v>36.912</c:v>
                </c:pt>
                <c:pt idx="12">
                  <c:v>48.552</c:v>
                </c:pt>
                <c:pt idx="13">
                  <c:v>62.636</c:v>
                </c:pt>
                <c:pt idx="14">
                  <c:v>74.844</c:v>
                </c:pt>
                <c:pt idx="15">
                  <c:v>76.232</c:v>
                </c:pt>
                <c:pt idx="16">
                  <c:v>76.092</c:v>
                </c:pt>
              </c:numCache>
            </c:numRef>
          </c:yVal>
          <c:smooth val="0"/>
        </c:ser>
        <c:ser>
          <c:idx val="4"/>
          <c:order val="4"/>
          <c:tx>
            <c:v>2009</c:v>
          </c:tx>
          <c:spPr>
            <a:ln w="9525">
              <a:solidFill>
                <a:srgbClr val="0000FF"/>
              </a:solidFill>
            </a:ln>
          </c:spPr>
          <c:marker>
            <c:symbol val="diamond"/>
            <c:size val="4"/>
            <c:spPr>
              <a:noFill/>
              <a:ln>
                <a:solidFill>
                  <a:srgbClr val="0000FF"/>
                </a:solidFill>
              </a:ln>
            </c:spPr>
          </c:marker>
          <c:xVal>
            <c:numRef>
              <c:f>Betula_pubescens!$BY$96:$BY$125</c:f>
              <c:numCache>
                <c:formatCode>0</c:formatCode>
                <c:ptCount val="30"/>
                <c:pt idx="0">
                  <c:v>120.0</c:v>
                </c:pt>
                <c:pt idx="1">
                  <c:v>125.0</c:v>
                </c:pt>
                <c:pt idx="2">
                  <c:v>127.0</c:v>
                </c:pt>
                <c:pt idx="3">
                  <c:v>131.0</c:v>
                </c:pt>
                <c:pt idx="4">
                  <c:v>133.0</c:v>
                </c:pt>
                <c:pt idx="5">
                  <c:v>135.0</c:v>
                </c:pt>
                <c:pt idx="6">
                  <c:v>138.0</c:v>
                </c:pt>
                <c:pt idx="7">
                  <c:v>139.0</c:v>
                </c:pt>
                <c:pt idx="8">
                  <c:v>145.0</c:v>
                </c:pt>
                <c:pt idx="9">
                  <c:v>148.0</c:v>
                </c:pt>
                <c:pt idx="10">
                  <c:v>152.0</c:v>
                </c:pt>
                <c:pt idx="11">
                  <c:v>163.0</c:v>
                </c:pt>
                <c:pt idx="12">
                  <c:v>176.0</c:v>
                </c:pt>
                <c:pt idx="13">
                  <c:v>183.0</c:v>
                </c:pt>
                <c:pt idx="14">
                  <c:v>189.0</c:v>
                </c:pt>
              </c:numCache>
            </c:numRef>
          </c:xVal>
          <c:yVal>
            <c:numRef>
              <c:f>Betula_pubescens!$BZ$96:$BZ$125</c:f>
              <c:numCache>
                <c:formatCode>0.0</c:formatCode>
                <c:ptCount val="30"/>
                <c:pt idx="0">
                  <c:v>6.556000000000002</c:v>
                </c:pt>
                <c:pt idx="1">
                  <c:v>7.528</c:v>
                </c:pt>
                <c:pt idx="2">
                  <c:v>7.98</c:v>
                </c:pt>
                <c:pt idx="3">
                  <c:v>9.588</c:v>
                </c:pt>
                <c:pt idx="4">
                  <c:v>10.988</c:v>
                </c:pt>
                <c:pt idx="5">
                  <c:v>12.864</c:v>
                </c:pt>
                <c:pt idx="6">
                  <c:v>19.788</c:v>
                </c:pt>
                <c:pt idx="7">
                  <c:v>22.188</c:v>
                </c:pt>
                <c:pt idx="8">
                  <c:v>30.214</c:v>
                </c:pt>
                <c:pt idx="9">
                  <c:v>49.226</c:v>
                </c:pt>
                <c:pt idx="10">
                  <c:v>67.95500000000001</c:v>
                </c:pt>
                <c:pt idx="11">
                  <c:v>73.3125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4974520"/>
        <c:axId val="-2122022440"/>
      </c:scatterChart>
      <c:valAx>
        <c:axId val="2054974520"/>
        <c:scaling>
          <c:orientation val="minMax"/>
          <c:min val="90.0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22022440"/>
        <c:crosses val="autoZero"/>
        <c:crossBetween val="midCat"/>
      </c:valAx>
      <c:valAx>
        <c:axId val="-21220224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Knopp/bladlängd, mm</a:t>
                </a:r>
              </a:p>
            </c:rich>
          </c:tx>
          <c:layout>
            <c:manualLayout>
              <c:xMode val="edge"/>
              <c:yMode val="edge"/>
              <c:x val="0.0124687539057618"/>
              <c:y val="0.17241525660356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2054974520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9603174603191"/>
          <c:y val="0.319148956892886"/>
          <c:w val="0.144841269841274"/>
          <c:h val="0.4851064144771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244389027431"/>
          <c:y val="0.0632183908045977"/>
          <c:w val="0.860349127182045"/>
          <c:h val="0.781609195402299"/>
        </c:manualLayout>
      </c:layout>
      <c:scatterChart>
        <c:scatterStyle val="lineMarker"/>
        <c:varyColors val="0"/>
        <c:ser>
          <c:idx val="2"/>
          <c:order val="0"/>
          <c:tx>
            <c:v>Årets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Betula_pubescens!$BO$96:$BO$125</c:f>
              <c:numCache>
                <c:formatCode>0</c:formatCode>
                <c:ptCount val="30"/>
                <c:pt idx="0">
                  <c:v>121.0</c:v>
                </c:pt>
                <c:pt idx="1">
                  <c:v>129.0</c:v>
                </c:pt>
                <c:pt idx="2">
                  <c:v>135.0</c:v>
                </c:pt>
                <c:pt idx="3">
                  <c:v>137.0</c:v>
                </c:pt>
                <c:pt idx="4">
                  <c:v>139.0</c:v>
                </c:pt>
                <c:pt idx="5">
                  <c:v>140.0</c:v>
                </c:pt>
                <c:pt idx="6">
                  <c:v>142.0</c:v>
                </c:pt>
                <c:pt idx="7">
                  <c:v>144.0</c:v>
                </c:pt>
                <c:pt idx="8">
                  <c:v>145.0</c:v>
                </c:pt>
                <c:pt idx="9">
                  <c:v>147.0</c:v>
                </c:pt>
                <c:pt idx="10">
                  <c:v>149.0</c:v>
                </c:pt>
                <c:pt idx="11">
                  <c:v>149.0</c:v>
                </c:pt>
                <c:pt idx="12">
                  <c:v>149.0</c:v>
                </c:pt>
                <c:pt idx="13">
                  <c:v>149.0</c:v>
                </c:pt>
                <c:pt idx="14">
                  <c:v>149.0</c:v>
                </c:pt>
                <c:pt idx="15">
                  <c:v>149.0</c:v>
                </c:pt>
                <c:pt idx="16">
                  <c:v>149.0</c:v>
                </c:pt>
                <c:pt idx="17">
                  <c:v>149.0</c:v>
                </c:pt>
                <c:pt idx="18">
                  <c:v>149.0</c:v>
                </c:pt>
                <c:pt idx="19">
                  <c:v>149.0</c:v>
                </c:pt>
                <c:pt idx="20">
                  <c:v>149.0</c:v>
                </c:pt>
                <c:pt idx="21">
                  <c:v>149.0</c:v>
                </c:pt>
                <c:pt idx="22">
                  <c:v>149.0</c:v>
                </c:pt>
                <c:pt idx="23">
                  <c:v>149.0</c:v>
                </c:pt>
                <c:pt idx="24">
                  <c:v>149.0</c:v>
                </c:pt>
                <c:pt idx="25">
                  <c:v>149.0</c:v>
                </c:pt>
                <c:pt idx="26">
                  <c:v>149.0</c:v>
                </c:pt>
                <c:pt idx="27">
                  <c:v>149.0</c:v>
                </c:pt>
                <c:pt idx="28">
                  <c:v>149.0</c:v>
                </c:pt>
                <c:pt idx="29">
                  <c:v>149.0</c:v>
                </c:pt>
              </c:numCache>
            </c:numRef>
          </c:xVal>
          <c:yVal>
            <c:numRef>
              <c:f>Betula_pubescens!$BA$96:$BA$125</c:f>
              <c:numCache>
                <c:formatCode>0.0</c:formatCode>
                <c:ptCount val="30"/>
                <c:pt idx="0">
                  <c:v>8.0</c:v>
                </c:pt>
                <c:pt idx="1">
                  <c:v>8.0</c:v>
                </c:pt>
                <c:pt idx="2">
                  <c:v>8.0</c:v>
                </c:pt>
                <c:pt idx="3">
                  <c:v>8.0</c:v>
                </c:pt>
                <c:pt idx="4">
                  <c:v>8.0</c:v>
                </c:pt>
                <c:pt idx="5">
                  <c:v>8.0</c:v>
                </c:pt>
                <c:pt idx="6">
                  <c:v>8.0</c:v>
                </c:pt>
                <c:pt idx="7">
                  <c:v>8.0</c:v>
                </c:pt>
                <c:pt idx="8">
                  <c:v>8.0</c:v>
                </c:pt>
                <c:pt idx="9">
                  <c:v>8.0</c:v>
                </c:pt>
                <c:pt idx="10">
                  <c:v>8.0</c:v>
                </c:pt>
                <c:pt idx="11">
                  <c:v>8.0</c:v>
                </c:pt>
                <c:pt idx="12">
                  <c:v>8.0</c:v>
                </c:pt>
                <c:pt idx="13">
                  <c:v>8.0</c:v>
                </c:pt>
                <c:pt idx="14">
                  <c:v>8.0</c:v>
                </c:pt>
                <c:pt idx="15">
                  <c:v>8.0</c:v>
                </c:pt>
                <c:pt idx="16">
                  <c:v>8.0</c:v>
                </c:pt>
                <c:pt idx="17">
                  <c:v>8.0</c:v>
                </c:pt>
                <c:pt idx="18">
                  <c:v>8.0</c:v>
                </c:pt>
                <c:pt idx="19">
                  <c:v>8.0</c:v>
                </c:pt>
                <c:pt idx="20">
                  <c:v>8.0</c:v>
                </c:pt>
                <c:pt idx="21">
                  <c:v>8.0</c:v>
                </c:pt>
                <c:pt idx="22">
                  <c:v>8.0</c:v>
                </c:pt>
                <c:pt idx="23">
                  <c:v>8.0</c:v>
                </c:pt>
                <c:pt idx="24">
                  <c:v>8.0</c:v>
                </c:pt>
                <c:pt idx="25">
                  <c:v>8.0</c:v>
                </c:pt>
                <c:pt idx="26">
                  <c:v>8.0</c:v>
                </c:pt>
                <c:pt idx="27">
                  <c:v>8.0</c:v>
                </c:pt>
                <c:pt idx="28">
                  <c:v>8.0</c:v>
                </c:pt>
                <c:pt idx="29">
                  <c:v>8.0</c:v>
                </c:pt>
              </c:numCache>
            </c:numRef>
          </c:yVal>
          <c:smooth val="0"/>
        </c:ser>
        <c:ser>
          <c:idx val="1"/>
          <c:order val="1"/>
          <c:tx>
            <c:v>2006</c:v>
          </c:tx>
          <c:spPr>
            <a:ln w="9525">
              <a:solidFill>
                <a:srgbClr val="0000FF"/>
              </a:solidFill>
              <a:prstDash val="solid"/>
            </a:ln>
          </c:spPr>
          <c:marker>
            <c:symbol val="x"/>
            <c:size val="4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Betula_pubescens!$CK$96:$CK$125</c:f>
              <c:numCache>
                <c:formatCode>0</c:formatCode>
                <c:ptCount val="30"/>
                <c:pt idx="0">
                  <c:v>128.0</c:v>
                </c:pt>
                <c:pt idx="1">
                  <c:v>129.0</c:v>
                </c:pt>
                <c:pt idx="2">
                  <c:v>130.0</c:v>
                </c:pt>
                <c:pt idx="3">
                  <c:v>131.0</c:v>
                </c:pt>
                <c:pt idx="4">
                  <c:v>132.0</c:v>
                </c:pt>
                <c:pt idx="5">
                  <c:v>134.0</c:v>
                </c:pt>
                <c:pt idx="6">
                  <c:v>135.0</c:v>
                </c:pt>
                <c:pt idx="7">
                  <c:v>136.0</c:v>
                </c:pt>
                <c:pt idx="8">
                  <c:v>137.0</c:v>
                </c:pt>
                <c:pt idx="9">
                  <c:v>139.0</c:v>
                </c:pt>
                <c:pt idx="10">
                  <c:v>140.0</c:v>
                </c:pt>
              </c:numCache>
            </c:numRef>
          </c:xVal>
          <c:yVal>
            <c:numRef>
              <c:f>Betula_pubescens!$CM$96:$CM$125</c:f>
              <c:numCache>
                <c:formatCode>General</c:formatCode>
                <c:ptCount val="30"/>
                <c:pt idx="0">
                  <c:v>0.0</c:v>
                </c:pt>
                <c:pt idx="1">
                  <c:v>0.4</c:v>
                </c:pt>
                <c:pt idx="2">
                  <c:v>0.6</c:v>
                </c:pt>
                <c:pt idx="3">
                  <c:v>0.6</c:v>
                </c:pt>
                <c:pt idx="4">
                  <c:v>1.2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1.6</c:v>
                </c:pt>
                <c:pt idx="9">
                  <c:v>1.8</c:v>
                </c:pt>
                <c:pt idx="10">
                  <c:v>2.0</c:v>
                </c:pt>
              </c:numCache>
            </c:numRef>
          </c:yVal>
          <c:smooth val="0"/>
        </c:ser>
        <c:ser>
          <c:idx val="0"/>
          <c:order val="2"/>
          <c:tx>
            <c:v>2007</c:v>
          </c:tx>
          <c:spPr>
            <a:ln w="9525">
              <a:solidFill>
                <a:srgbClr val="0000FF"/>
              </a:solidFill>
            </a:ln>
          </c:spPr>
          <c:marker>
            <c:symbol val="triangle"/>
            <c:size val="4"/>
            <c:spPr>
              <a:noFill/>
              <a:ln>
                <a:solidFill>
                  <a:srgbClr val="0000FF"/>
                </a:solidFill>
              </a:ln>
            </c:spPr>
          </c:marker>
          <c:xVal>
            <c:numRef>
              <c:f>Betula_pubescens!$CG$96:$CG$109</c:f>
              <c:numCache>
                <c:formatCode>0</c:formatCode>
                <c:ptCount val="14"/>
                <c:pt idx="0">
                  <c:v>117.0</c:v>
                </c:pt>
                <c:pt idx="1">
                  <c:v>122.0</c:v>
                </c:pt>
                <c:pt idx="2">
                  <c:v>124.0</c:v>
                </c:pt>
                <c:pt idx="3">
                  <c:v>127.0</c:v>
                </c:pt>
                <c:pt idx="4">
                  <c:v>128.0</c:v>
                </c:pt>
                <c:pt idx="5">
                  <c:v>130.0</c:v>
                </c:pt>
                <c:pt idx="6">
                  <c:v>131.0</c:v>
                </c:pt>
                <c:pt idx="7">
                  <c:v>134.0</c:v>
                </c:pt>
                <c:pt idx="8">
                  <c:v>136.0</c:v>
                </c:pt>
                <c:pt idx="9">
                  <c:v>139.0</c:v>
                </c:pt>
                <c:pt idx="10">
                  <c:v>141.0</c:v>
                </c:pt>
                <c:pt idx="11">
                  <c:v>142.0</c:v>
                </c:pt>
                <c:pt idx="12">
                  <c:v>145.0</c:v>
                </c:pt>
                <c:pt idx="13">
                  <c:v>150.0</c:v>
                </c:pt>
              </c:numCache>
            </c:numRef>
          </c:xVal>
          <c:yVal>
            <c:numRef>
              <c:f>Betula_pubescens!$CI$96:$CI$109</c:f>
              <c:numCache>
                <c:formatCode>0.0</c:formatCode>
                <c:ptCount val="14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0.8</c:v>
                </c:pt>
                <c:pt idx="10">
                  <c:v>1.8</c:v>
                </c:pt>
                <c:pt idx="11">
                  <c:v>2.0</c:v>
                </c:pt>
                <c:pt idx="12">
                  <c:v>2.2</c:v>
                </c:pt>
                <c:pt idx="13">
                  <c:v>3.0</c:v>
                </c:pt>
              </c:numCache>
            </c:numRef>
          </c:yVal>
          <c:smooth val="0"/>
        </c:ser>
        <c:ser>
          <c:idx val="3"/>
          <c:order val="3"/>
          <c:tx>
            <c:v>2008</c:v>
          </c:tx>
          <c:spPr>
            <a:ln w="9525">
              <a:solidFill>
                <a:srgbClr val="0000FF"/>
              </a:solidFill>
            </a:ln>
          </c:spPr>
          <c:marker>
            <c:symbol val="square"/>
            <c:size val="4"/>
            <c:spPr>
              <a:noFill/>
              <a:ln>
                <a:solidFill>
                  <a:srgbClr val="0000FF"/>
                </a:solidFill>
              </a:ln>
            </c:spPr>
          </c:marker>
          <c:xVal>
            <c:numRef>
              <c:f>Betula_pubescens!$CC$96:$CC$125</c:f>
              <c:numCache>
                <c:formatCode>0</c:formatCode>
                <c:ptCount val="30"/>
                <c:pt idx="0">
                  <c:v>121.0</c:v>
                </c:pt>
                <c:pt idx="1">
                  <c:v>126.0</c:v>
                </c:pt>
                <c:pt idx="2">
                  <c:v>128.0</c:v>
                </c:pt>
                <c:pt idx="3">
                  <c:v>130.0</c:v>
                </c:pt>
                <c:pt idx="4">
                  <c:v>132.0</c:v>
                </c:pt>
                <c:pt idx="5">
                  <c:v>133.0</c:v>
                </c:pt>
                <c:pt idx="6">
                  <c:v>134.0</c:v>
                </c:pt>
                <c:pt idx="7">
                  <c:v>135.0</c:v>
                </c:pt>
                <c:pt idx="8">
                  <c:v>136.0</c:v>
                </c:pt>
                <c:pt idx="9">
                  <c:v>140.0</c:v>
                </c:pt>
                <c:pt idx="10">
                  <c:v>144.0</c:v>
                </c:pt>
                <c:pt idx="11">
                  <c:v>148.0</c:v>
                </c:pt>
                <c:pt idx="12">
                  <c:v>151.0</c:v>
                </c:pt>
                <c:pt idx="13">
                  <c:v>154.0</c:v>
                </c:pt>
                <c:pt idx="14">
                  <c:v>168.0</c:v>
                </c:pt>
                <c:pt idx="15">
                  <c:v>179.0</c:v>
                </c:pt>
                <c:pt idx="16">
                  <c:v>186.0</c:v>
                </c:pt>
              </c:numCache>
            </c:numRef>
          </c:xVal>
          <c:yVal>
            <c:numRef>
              <c:f>Betula_pubescens!$CE$96:$CE$125</c:f>
              <c:numCache>
                <c:formatCode>0</c:formatCode>
                <c:ptCount val="30"/>
                <c:pt idx="0">
                  <c:v>0.0</c:v>
                </c:pt>
                <c:pt idx="1">
                  <c:v>0.2</c:v>
                </c:pt>
                <c:pt idx="2">
                  <c:v>0.2</c:v>
                </c:pt>
                <c:pt idx="3">
                  <c:v>0.4</c:v>
                </c:pt>
                <c:pt idx="4">
                  <c:v>1.2</c:v>
                </c:pt>
                <c:pt idx="5">
                  <c:v>1.6</c:v>
                </c:pt>
                <c:pt idx="6">
                  <c:v>1.6</c:v>
                </c:pt>
                <c:pt idx="7">
                  <c:v>1.6</c:v>
                </c:pt>
                <c:pt idx="8">
                  <c:v>2.0</c:v>
                </c:pt>
                <c:pt idx="9">
                  <c:v>2.2</c:v>
                </c:pt>
                <c:pt idx="10">
                  <c:v>2.4</c:v>
                </c:pt>
                <c:pt idx="11">
                  <c:v>3.0</c:v>
                </c:pt>
              </c:numCache>
            </c:numRef>
          </c:yVal>
          <c:smooth val="0"/>
        </c:ser>
        <c:ser>
          <c:idx val="4"/>
          <c:order val="4"/>
          <c:tx>
            <c:v>2009</c:v>
          </c:tx>
          <c:spPr>
            <a:ln w="9525">
              <a:solidFill>
                <a:srgbClr val="0000FF"/>
              </a:solidFill>
            </a:ln>
          </c:spPr>
          <c:marker>
            <c:symbol val="diamond"/>
            <c:size val="4"/>
            <c:spPr>
              <a:noFill/>
              <a:ln>
                <a:solidFill>
                  <a:srgbClr val="0000FF"/>
                </a:solidFill>
              </a:ln>
            </c:spPr>
          </c:marker>
          <c:xVal>
            <c:numRef>
              <c:f>Betula_pubescens!$BY$96:$BY$125</c:f>
              <c:numCache>
                <c:formatCode>0</c:formatCode>
                <c:ptCount val="30"/>
                <c:pt idx="0">
                  <c:v>120.0</c:v>
                </c:pt>
                <c:pt idx="1">
                  <c:v>125.0</c:v>
                </c:pt>
                <c:pt idx="2">
                  <c:v>127.0</c:v>
                </c:pt>
                <c:pt idx="3">
                  <c:v>131.0</c:v>
                </c:pt>
                <c:pt idx="4">
                  <c:v>133.0</c:v>
                </c:pt>
                <c:pt idx="5">
                  <c:v>135.0</c:v>
                </c:pt>
                <c:pt idx="6">
                  <c:v>138.0</c:v>
                </c:pt>
                <c:pt idx="7">
                  <c:v>139.0</c:v>
                </c:pt>
                <c:pt idx="8">
                  <c:v>145.0</c:v>
                </c:pt>
                <c:pt idx="9">
                  <c:v>148.0</c:v>
                </c:pt>
                <c:pt idx="10">
                  <c:v>152.0</c:v>
                </c:pt>
                <c:pt idx="11">
                  <c:v>163.0</c:v>
                </c:pt>
                <c:pt idx="12">
                  <c:v>176.0</c:v>
                </c:pt>
                <c:pt idx="13">
                  <c:v>183.0</c:v>
                </c:pt>
                <c:pt idx="14">
                  <c:v>189.0</c:v>
                </c:pt>
              </c:numCache>
            </c:numRef>
          </c:xVal>
          <c:yVal>
            <c:numRef>
              <c:f>Betula_pubescens!$CA$96:$CA$125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0.2</c:v>
                </c:pt>
                <c:pt idx="5">
                  <c:v>0.4</c:v>
                </c:pt>
                <c:pt idx="6">
                  <c:v>1.0</c:v>
                </c:pt>
                <c:pt idx="7">
                  <c:v>1.4</c:v>
                </c:pt>
                <c:pt idx="8">
                  <c:v>2.0</c:v>
                </c:pt>
                <c:pt idx="9">
                  <c:v>2.0</c:v>
                </c:pt>
                <c:pt idx="10">
                  <c:v>2.0</c:v>
                </c:pt>
                <c:pt idx="11">
                  <c:v>2.0</c:v>
                </c:pt>
                <c:pt idx="12">
                  <c:v>2.0</c:v>
                </c:pt>
                <c:pt idx="13">
                  <c:v>3.0</c:v>
                </c:pt>
                <c:pt idx="14">
                  <c:v>3.0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44191768"/>
        <c:axId val="-2134472104"/>
      </c:scatterChart>
      <c:valAx>
        <c:axId val="-2144191768"/>
        <c:scaling>
          <c:orientation val="minMax"/>
          <c:min val="90.0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34472104"/>
        <c:crosses val="autoZero"/>
        <c:crossBetween val="midCat"/>
      </c:valAx>
      <c:valAx>
        <c:axId val="-21344721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Bedömd fas</a:t>
                </a:r>
              </a:p>
            </c:rich>
          </c:tx>
          <c:layout>
            <c:manualLayout>
              <c:xMode val="edge"/>
              <c:yMode val="edge"/>
              <c:x val="0.0124687539057618"/>
              <c:y val="0.30651516661683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44191768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9604216139661"/>
          <c:y val="0.320676766669999"/>
          <c:w val="0.144841530225388"/>
          <c:h val="0.48945424543451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997506234413971"/>
          <c:y val="0.0632183908045977"/>
          <c:w val="0.862842892768127"/>
          <c:h val="0.781609195402299"/>
        </c:manualLayout>
      </c:layout>
      <c:scatterChart>
        <c:scatterStyle val="lineMarker"/>
        <c:varyColors val="0"/>
        <c:ser>
          <c:idx val="2"/>
          <c:order val="0"/>
          <c:tx>
            <c:v>Årets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Betula_pubescens!$BO$126:$BO$155</c:f>
              <c:numCache>
                <c:formatCode>0</c:formatCode>
                <c:ptCount val="30"/>
                <c:pt idx="0">
                  <c:v>128.0</c:v>
                </c:pt>
                <c:pt idx="1">
                  <c:v>137.0</c:v>
                </c:pt>
                <c:pt idx="2">
                  <c:v>144.0</c:v>
                </c:pt>
                <c:pt idx="3">
                  <c:v>146.0</c:v>
                </c:pt>
                <c:pt idx="4">
                  <c:v>152.0</c:v>
                </c:pt>
                <c:pt idx="5">
                  <c:v>157.0</c:v>
                </c:pt>
                <c:pt idx="6">
                  <c:v>163.0</c:v>
                </c:pt>
                <c:pt idx="7">
                  <c:v>170.0</c:v>
                </c:pt>
                <c:pt idx="8">
                  <c:v>177.0</c:v>
                </c:pt>
                <c:pt idx="9">
                  <c:v>185.0</c:v>
                </c:pt>
                <c:pt idx="10">
                  <c:v>192.0</c:v>
                </c:pt>
                <c:pt idx="11">
                  <c:v>198.0</c:v>
                </c:pt>
                <c:pt idx="12">
                  <c:v>205.0</c:v>
                </c:pt>
                <c:pt idx="13">
                  <c:v>229.0</c:v>
                </c:pt>
                <c:pt idx="14">
                  <c:v>235.0</c:v>
                </c:pt>
                <c:pt idx="15">
                  <c:v>241.0</c:v>
                </c:pt>
                <c:pt idx="16">
                  <c:v>248.0</c:v>
                </c:pt>
                <c:pt idx="17">
                  <c:v>254.0</c:v>
                </c:pt>
                <c:pt idx="18">
                  <c:v>261.0</c:v>
                </c:pt>
                <c:pt idx="19">
                  <c:v>268.0</c:v>
                </c:pt>
                <c:pt idx="20">
                  <c:v>275.0</c:v>
                </c:pt>
                <c:pt idx="21">
                  <c:v>282.0</c:v>
                </c:pt>
                <c:pt idx="22">
                  <c:v>289.0</c:v>
                </c:pt>
                <c:pt idx="23">
                  <c:v>289.0</c:v>
                </c:pt>
                <c:pt idx="24">
                  <c:v>289.0</c:v>
                </c:pt>
                <c:pt idx="25">
                  <c:v>289.0</c:v>
                </c:pt>
                <c:pt idx="26">
                  <c:v>289.0</c:v>
                </c:pt>
                <c:pt idx="27">
                  <c:v>289.0</c:v>
                </c:pt>
                <c:pt idx="28">
                  <c:v>289.0</c:v>
                </c:pt>
                <c:pt idx="29">
                  <c:v>289.0</c:v>
                </c:pt>
              </c:numCache>
            </c:numRef>
          </c:xVal>
          <c:yVal>
            <c:numRef>
              <c:f>Betula_pubescens!$AZ$126:$AZ$155</c:f>
              <c:numCache>
                <c:formatCode>0.00</c:formatCode>
                <c:ptCount val="30"/>
                <c:pt idx="0">
                  <c:v>5.435428571428571</c:v>
                </c:pt>
                <c:pt idx="1">
                  <c:v>6.522000000000001</c:v>
                </c:pt>
                <c:pt idx="2">
                  <c:v>8.544571428571427</c:v>
                </c:pt>
                <c:pt idx="3">
                  <c:v>11.89885714285714</c:v>
                </c:pt>
                <c:pt idx="4">
                  <c:v>19.88228571428571</c:v>
                </c:pt>
                <c:pt idx="5">
                  <c:v>24.28542857142857</c:v>
                </c:pt>
                <c:pt idx="6">
                  <c:v>29.49028571428571</c:v>
                </c:pt>
                <c:pt idx="7">
                  <c:v>39.52971428571428</c:v>
                </c:pt>
                <c:pt idx="8">
                  <c:v>43.89542857142858</c:v>
                </c:pt>
                <c:pt idx="9">
                  <c:v>45.65623809523809</c:v>
                </c:pt>
                <c:pt idx="10">
                  <c:v>49.67328571428571</c:v>
                </c:pt>
                <c:pt idx="11">
                  <c:v>49.67328571428571</c:v>
                </c:pt>
                <c:pt idx="12">
                  <c:v>49.67328571428571</c:v>
                </c:pt>
                <c:pt idx="13">
                  <c:v>49.67328571428571</c:v>
                </c:pt>
                <c:pt idx="14">
                  <c:v>49.67328571428571</c:v>
                </c:pt>
                <c:pt idx="15">
                  <c:v>49.67328571428571</c:v>
                </c:pt>
                <c:pt idx="16">
                  <c:v>49.67328571428571</c:v>
                </c:pt>
                <c:pt idx="17">
                  <c:v>49.67328571428571</c:v>
                </c:pt>
                <c:pt idx="18">
                  <c:v>49.67328571428571</c:v>
                </c:pt>
                <c:pt idx="19">
                  <c:v>49.67328571428571</c:v>
                </c:pt>
                <c:pt idx="20">
                  <c:v>49.67328571428571</c:v>
                </c:pt>
                <c:pt idx="21">
                  <c:v>49.67328571428571</c:v>
                </c:pt>
                <c:pt idx="22">
                  <c:v>49.67328571428571</c:v>
                </c:pt>
                <c:pt idx="23">
                  <c:v>49.67328571428571</c:v>
                </c:pt>
                <c:pt idx="24">
                  <c:v>49.67328571428571</c:v>
                </c:pt>
                <c:pt idx="25">
                  <c:v>49.67328571428571</c:v>
                </c:pt>
                <c:pt idx="26">
                  <c:v>49.67328571428571</c:v>
                </c:pt>
                <c:pt idx="27">
                  <c:v>49.67328571428571</c:v>
                </c:pt>
                <c:pt idx="28">
                  <c:v>49.67328571428571</c:v>
                </c:pt>
                <c:pt idx="29">
                  <c:v>49.67328571428571</c:v>
                </c:pt>
              </c:numCache>
            </c:numRef>
          </c:yVal>
          <c:smooth val="0"/>
        </c:ser>
        <c:ser>
          <c:idx val="1"/>
          <c:order val="1"/>
          <c:tx>
            <c:v>2006</c:v>
          </c:tx>
          <c:spPr>
            <a:ln w="9525">
              <a:solidFill>
                <a:srgbClr val="00FFFF"/>
              </a:solidFill>
              <a:prstDash val="solid"/>
            </a:ln>
          </c:spPr>
          <c:marker>
            <c:symbol val="x"/>
            <c:size val="4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Betula_pubescens!$CK$126:$CK$155</c:f>
              <c:numCache>
                <c:formatCode>0</c:formatCode>
                <c:ptCount val="30"/>
                <c:pt idx="0">
                  <c:v>126.0</c:v>
                </c:pt>
                <c:pt idx="1">
                  <c:v>128.0</c:v>
                </c:pt>
                <c:pt idx="2">
                  <c:v>131.0</c:v>
                </c:pt>
                <c:pt idx="3">
                  <c:v>137.0</c:v>
                </c:pt>
                <c:pt idx="4">
                  <c:v>142.0</c:v>
                </c:pt>
                <c:pt idx="5">
                  <c:v>146.0</c:v>
                </c:pt>
                <c:pt idx="6">
                  <c:v>149.0</c:v>
                </c:pt>
                <c:pt idx="7">
                  <c:v>151.0</c:v>
                </c:pt>
                <c:pt idx="8">
                  <c:v>153.0</c:v>
                </c:pt>
                <c:pt idx="9">
                  <c:v>158.0</c:v>
                </c:pt>
                <c:pt idx="10">
                  <c:v>160.0</c:v>
                </c:pt>
                <c:pt idx="11">
                  <c:v>163.0</c:v>
                </c:pt>
                <c:pt idx="12">
                  <c:v>165.0</c:v>
                </c:pt>
                <c:pt idx="13">
                  <c:v>167.0</c:v>
                </c:pt>
                <c:pt idx="14">
                  <c:v>170.0</c:v>
                </c:pt>
                <c:pt idx="15">
                  <c:v>173.0</c:v>
                </c:pt>
              </c:numCache>
            </c:numRef>
          </c:xVal>
          <c:yVal>
            <c:numRef>
              <c:f>Betula_pubescens!$CL$126:$CL$155</c:f>
              <c:numCache>
                <c:formatCode>General</c:formatCode>
                <c:ptCount val="30"/>
                <c:pt idx="2">
                  <c:v>12.796</c:v>
                </c:pt>
                <c:pt idx="3">
                  <c:v>15.688</c:v>
                </c:pt>
                <c:pt idx="4">
                  <c:v>19.5</c:v>
                </c:pt>
                <c:pt idx="5">
                  <c:v>23.84</c:v>
                </c:pt>
                <c:pt idx="6">
                  <c:v>26.96</c:v>
                </c:pt>
                <c:pt idx="7">
                  <c:v>28.52</c:v>
                </c:pt>
                <c:pt idx="8">
                  <c:v>30.972</c:v>
                </c:pt>
                <c:pt idx="9">
                  <c:v>36.348</c:v>
                </c:pt>
                <c:pt idx="10">
                  <c:v>39.904</c:v>
                </c:pt>
                <c:pt idx="11">
                  <c:v>43.044</c:v>
                </c:pt>
                <c:pt idx="12">
                  <c:v>44.356</c:v>
                </c:pt>
                <c:pt idx="13">
                  <c:v>44.872</c:v>
                </c:pt>
                <c:pt idx="14">
                  <c:v>45.468</c:v>
                </c:pt>
                <c:pt idx="15">
                  <c:v>45.488</c:v>
                </c:pt>
              </c:numCache>
            </c:numRef>
          </c:yVal>
          <c:smooth val="0"/>
        </c:ser>
        <c:ser>
          <c:idx val="0"/>
          <c:order val="2"/>
          <c:tx>
            <c:v>2007</c:v>
          </c:tx>
          <c:spPr>
            <a:ln w="9525">
              <a:solidFill>
                <a:srgbClr val="00FFFF"/>
              </a:solidFill>
            </a:ln>
          </c:spPr>
          <c:marker>
            <c:symbol val="circle"/>
            <c:size val="4"/>
            <c:spPr>
              <a:noFill/>
              <a:ln>
                <a:solidFill>
                  <a:srgbClr val="00CCFF"/>
                </a:solidFill>
              </a:ln>
            </c:spPr>
          </c:marker>
          <c:xVal>
            <c:numRef>
              <c:f>Betula_pubescens!$CG$126:$CG$150</c:f>
              <c:numCache>
                <c:formatCode>0</c:formatCode>
                <c:ptCount val="25"/>
                <c:pt idx="0">
                  <c:v>123.0</c:v>
                </c:pt>
                <c:pt idx="1">
                  <c:v>127.0</c:v>
                </c:pt>
                <c:pt idx="2">
                  <c:v>130.0</c:v>
                </c:pt>
                <c:pt idx="3">
                  <c:v>134.0</c:v>
                </c:pt>
                <c:pt idx="4">
                  <c:v>136.0</c:v>
                </c:pt>
                <c:pt idx="5">
                  <c:v>138.0</c:v>
                </c:pt>
                <c:pt idx="6">
                  <c:v>141.0</c:v>
                </c:pt>
                <c:pt idx="7">
                  <c:v>143.0</c:v>
                </c:pt>
                <c:pt idx="8">
                  <c:v>145.0</c:v>
                </c:pt>
                <c:pt idx="9">
                  <c:v>148.0</c:v>
                </c:pt>
                <c:pt idx="10">
                  <c:v>151.0</c:v>
                </c:pt>
                <c:pt idx="11">
                  <c:v>155.0</c:v>
                </c:pt>
                <c:pt idx="12">
                  <c:v>159.0</c:v>
                </c:pt>
                <c:pt idx="13">
                  <c:v>162.0</c:v>
                </c:pt>
                <c:pt idx="14">
                  <c:v>169.0</c:v>
                </c:pt>
                <c:pt idx="15">
                  <c:v>176.0</c:v>
                </c:pt>
                <c:pt idx="16">
                  <c:v>242.0</c:v>
                </c:pt>
                <c:pt idx="17">
                  <c:v>247.0</c:v>
                </c:pt>
                <c:pt idx="18">
                  <c:v>254.0</c:v>
                </c:pt>
                <c:pt idx="19">
                  <c:v>261.0</c:v>
                </c:pt>
                <c:pt idx="20">
                  <c:v>267.0</c:v>
                </c:pt>
                <c:pt idx="21">
                  <c:v>274.0</c:v>
                </c:pt>
                <c:pt idx="22">
                  <c:v>281.0</c:v>
                </c:pt>
                <c:pt idx="23">
                  <c:v>288.0</c:v>
                </c:pt>
                <c:pt idx="24">
                  <c:v>295.0</c:v>
                </c:pt>
              </c:numCache>
            </c:numRef>
          </c:xVal>
          <c:yVal>
            <c:numRef>
              <c:f>Betula_pubescens!$CH$126:$CH$150</c:f>
              <c:numCache>
                <c:formatCode>General</c:formatCode>
                <c:ptCount val="25"/>
                <c:pt idx="0">
                  <c:v>7.132</c:v>
                </c:pt>
                <c:pt idx="1">
                  <c:v>7.859999999999999</c:v>
                </c:pt>
                <c:pt idx="2">
                  <c:v>8.736000000000001</c:v>
                </c:pt>
                <c:pt idx="3">
                  <c:v>9.952</c:v>
                </c:pt>
                <c:pt idx="4">
                  <c:v>10.496</c:v>
                </c:pt>
                <c:pt idx="5">
                  <c:v>11.312</c:v>
                </c:pt>
                <c:pt idx="6">
                  <c:v>13.612</c:v>
                </c:pt>
                <c:pt idx="7">
                  <c:v>16.684</c:v>
                </c:pt>
                <c:pt idx="8">
                  <c:v>19.744</c:v>
                </c:pt>
                <c:pt idx="9">
                  <c:v>25.356</c:v>
                </c:pt>
                <c:pt idx="10">
                  <c:v>31.716</c:v>
                </c:pt>
                <c:pt idx="11">
                  <c:v>39.004</c:v>
                </c:pt>
                <c:pt idx="12">
                  <c:v>42.432</c:v>
                </c:pt>
                <c:pt idx="13">
                  <c:v>43.236</c:v>
                </c:pt>
                <c:pt idx="14">
                  <c:v>43.956</c:v>
                </c:pt>
                <c:pt idx="15">
                  <c:v>43.972</c:v>
                </c:pt>
              </c:numCache>
            </c:numRef>
          </c:yVal>
          <c:smooth val="0"/>
        </c:ser>
        <c:ser>
          <c:idx val="3"/>
          <c:order val="3"/>
          <c:tx>
            <c:v>2008</c:v>
          </c:tx>
          <c:spPr>
            <a:ln w="9525">
              <a:solidFill>
                <a:srgbClr val="00FFFF"/>
              </a:solidFill>
            </a:ln>
          </c:spPr>
          <c:marker>
            <c:symbol val="square"/>
            <c:size val="4"/>
            <c:spPr>
              <a:noFill/>
              <a:ln>
                <a:solidFill>
                  <a:srgbClr val="00FFFF"/>
                </a:solidFill>
              </a:ln>
            </c:spPr>
          </c:marker>
          <c:xVal>
            <c:numRef>
              <c:f>Betula_pubescens!$CC$126:$CC$155</c:f>
              <c:numCache>
                <c:formatCode>0</c:formatCode>
                <c:ptCount val="30"/>
                <c:pt idx="0">
                  <c:v>123.0</c:v>
                </c:pt>
                <c:pt idx="1">
                  <c:v>129.0</c:v>
                </c:pt>
                <c:pt idx="2">
                  <c:v>133.0</c:v>
                </c:pt>
                <c:pt idx="3">
                  <c:v>137.0</c:v>
                </c:pt>
                <c:pt idx="4">
                  <c:v>144.0</c:v>
                </c:pt>
                <c:pt idx="5">
                  <c:v>147.0</c:v>
                </c:pt>
                <c:pt idx="6">
                  <c:v>150.0</c:v>
                </c:pt>
                <c:pt idx="7">
                  <c:v>154.0</c:v>
                </c:pt>
                <c:pt idx="8">
                  <c:v>157.0</c:v>
                </c:pt>
                <c:pt idx="9">
                  <c:v>163.0</c:v>
                </c:pt>
                <c:pt idx="10">
                  <c:v>170.0</c:v>
                </c:pt>
                <c:pt idx="11">
                  <c:v>178.0</c:v>
                </c:pt>
                <c:pt idx="12">
                  <c:v>239.0</c:v>
                </c:pt>
                <c:pt idx="13">
                  <c:v>246.0</c:v>
                </c:pt>
                <c:pt idx="14">
                  <c:v>252.0</c:v>
                </c:pt>
                <c:pt idx="15">
                  <c:v>259.0</c:v>
                </c:pt>
                <c:pt idx="16">
                  <c:v>266.0</c:v>
                </c:pt>
                <c:pt idx="17">
                  <c:v>273.0</c:v>
                </c:pt>
                <c:pt idx="18">
                  <c:v>282.0</c:v>
                </c:pt>
                <c:pt idx="19">
                  <c:v>288.0</c:v>
                </c:pt>
              </c:numCache>
            </c:numRef>
          </c:xVal>
          <c:yVal>
            <c:numRef>
              <c:f>Betula_pubescens!$CD$126:$CD$155</c:f>
              <c:numCache>
                <c:formatCode>0.0</c:formatCode>
                <c:ptCount val="30"/>
                <c:pt idx="0">
                  <c:v>5.888000000000001</c:v>
                </c:pt>
                <c:pt idx="1">
                  <c:v>7.0</c:v>
                </c:pt>
                <c:pt idx="2">
                  <c:v>9.324</c:v>
                </c:pt>
                <c:pt idx="3">
                  <c:v>9.76</c:v>
                </c:pt>
                <c:pt idx="4">
                  <c:v>11.519</c:v>
                </c:pt>
                <c:pt idx="5">
                  <c:v>14.916</c:v>
                </c:pt>
                <c:pt idx="6">
                  <c:v>19.6</c:v>
                </c:pt>
                <c:pt idx="7">
                  <c:v>31.56</c:v>
                </c:pt>
                <c:pt idx="8">
                  <c:v>38.924</c:v>
                </c:pt>
                <c:pt idx="9">
                  <c:v>43.16</c:v>
                </c:pt>
                <c:pt idx="10">
                  <c:v>46.316</c:v>
                </c:pt>
                <c:pt idx="11">
                  <c:v>47.508</c:v>
                </c:pt>
              </c:numCache>
            </c:numRef>
          </c:yVal>
          <c:smooth val="0"/>
        </c:ser>
        <c:ser>
          <c:idx val="4"/>
          <c:order val="4"/>
          <c:tx>
            <c:v>2009</c:v>
          </c:tx>
          <c:spPr>
            <a:ln w="9525">
              <a:solidFill>
                <a:srgbClr val="00FFFF"/>
              </a:solidFill>
            </a:ln>
          </c:spPr>
          <c:marker>
            <c:symbol val="diamond"/>
            <c:size val="4"/>
            <c:spPr>
              <a:noFill/>
              <a:ln>
                <a:solidFill>
                  <a:srgbClr val="00FFFF"/>
                </a:solidFill>
              </a:ln>
            </c:spPr>
          </c:marker>
          <c:xVal>
            <c:numRef>
              <c:f>Betula_pubescens!$BY$126:$BY$155</c:f>
              <c:numCache>
                <c:formatCode>0</c:formatCode>
                <c:ptCount val="30"/>
                <c:pt idx="0">
                  <c:v>120.0</c:v>
                </c:pt>
                <c:pt idx="1">
                  <c:v>127.0</c:v>
                </c:pt>
                <c:pt idx="2">
                  <c:v>134.0</c:v>
                </c:pt>
                <c:pt idx="3">
                  <c:v>138.0</c:v>
                </c:pt>
                <c:pt idx="4">
                  <c:v>142.0</c:v>
                </c:pt>
                <c:pt idx="5">
                  <c:v>148.0</c:v>
                </c:pt>
                <c:pt idx="6">
                  <c:v>152.0</c:v>
                </c:pt>
                <c:pt idx="7">
                  <c:v>159.0</c:v>
                </c:pt>
                <c:pt idx="8">
                  <c:v>162.0</c:v>
                </c:pt>
                <c:pt idx="9">
                  <c:v>169.0</c:v>
                </c:pt>
                <c:pt idx="10">
                  <c:v>173.0</c:v>
                </c:pt>
                <c:pt idx="11">
                  <c:v>184.0</c:v>
                </c:pt>
                <c:pt idx="12">
                  <c:v>190.0</c:v>
                </c:pt>
                <c:pt idx="13">
                  <c:v>231.0</c:v>
                </c:pt>
                <c:pt idx="14">
                  <c:v>238.0</c:v>
                </c:pt>
                <c:pt idx="15">
                  <c:v>245.0</c:v>
                </c:pt>
                <c:pt idx="16">
                  <c:v>252.0</c:v>
                </c:pt>
                <c:pt idx="17">
                  <c:v>259.0</c:v>
                </c:pt>
                <c:pt idx="18">
                  <c:v>266.0</c:v>
                </c:pt>
                <c:pt idx="19">
                  <c:v>273.0</c:v>
                </c:pt>
                <c:pt idx="20">
                  <c:v>279.0</c:v>
                </c:pt>
                <c:pt idx="21">
                  <c:v>287.0</c:v>
                </c:pt>
              </c:numCache>
            </c:numRef>
          </c:xVal>
          <c:yVal>
            <c:numRef>
              <c:f>Betula_pubescens!$BZ$126:$BZ$155</c:f>
              <c:numCache>
                <c:formatCode>0.0</c:formatCode>
                <c:ptCount val="30"/>
                <c:pt idx="0">
                  <c:v>5.174285714285714</c:v>
                </c:pt>
                <c:pt idx="1">
                  <c:v>6.677142857142857</c:v>
                </c:pt>
                <c:pt idx="2">
                  <c:v>9.98</c:v>
                </c:pt>
                <c:pt idx="3">
                  <c:v>14.77142857142857</c:v>
                </c:pt>
                <c:pt idx="4">
                  <c:v>20.59714285714286</c:v>
                </c:pt>
                <c:pt idx="5">
                  <c:v>31.44</c:v>
                </c:pt>
                <c:pt idx="6">
                  <c:v>42.23428571428572</c:v>
                </c:pt>
                <c:pt idx="7">
                  <c:v>45.69142857142857</c:v>
                </c:pt>
                <c:pt idx="8">
                  <c:v>48.08571428571428</c:v>
                </c:pt>
                <c:pt idx="9">
                  <c:v>49.91142857142857</c:v>
                </c:pt>
                <c:pt idx="10">
                  <c:v>51.47142857142857</c:v>
                </c:pt>
                <c:pt idx="11">
                  <c:v>52.64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21921112"/>
        <c:axId val="-2114463864"/>
      </c:scatterChart>
      <c:valAx>
        <c:axId val="-2121921112"/>
        <c:scaling>
          <c:orientation val="minMax"/>
          <c:min val="90.0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4463864"/>
        <c:crosses val="autoZero"/>
        <c:crossBetween val="midCat"/>
      </c:valAx>
      <c:valAx>
        <c:axId val="-21144638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Knopp/bladlängd, mm</a:t>
                </a:r>
              </a:p>
            </c:rich>
          </c:tx>
          <c:layout>
            <c:manualLayout>
              <c:xMode val="edge"/>
              <c:yMode val="edge"/>
              <c:x val="0.00251817481148198"/>
              <c:y val="0.17241413972190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21921112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952380952381"/>
          <c:y val="0.340425554019071"/>
          <c:w val="0.144841269841274"/>
          <c:h val="0.4851064144771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738154613466"/>
          <c:y val="0.0632183908045977"/>
          <c:w val="0.85785536159601"/>
          <c:h val="0.781609195402299"/>
        </c:manualLayout>
      </c:layout>
      <c:scatterChart>
        <c:scatterStyle val="lineMarker"/>
        <c:varyColors val="0"/>
        <c:ser>
          <c:idx val="2"/>
          <c:order val="0"/>
          <c:tx>
            <c:v>Årets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Betula_pubescens!$BO$126:$BO$155</c:f>
              <c:numCache>
                <c:formatCode>0</c:formatCode>
                <c:ptCount val="30"/>
                <c:pt idx="0">
                  <c:v>128.0</c:v>
                </c:pt>
                <c:pt idx="1">
                  <c:v>137.0</c:v>
                </c:pt>
                <c:pt idx="2">
                  <c:v>144.0</c:v>
                </c:pt>
                <c:pt idx="3">
                  <c:v>146.0</c:v>
                </c:pt>
                <c:pt idx="4">
                  <c:v>152.0</c:v>
                </c:pt>
                <c:pt idx="5">
                  <c:v>157.0</c:v>
                </c:pt>
                <c:pt idx="6">
                  <c:v>163.0</c:v>
                </c:pt>
                <c:pt idx="7">
                  <c:v>170.0</c:v>
                </c:pt>
                <c:pt idx="8">
                  <c:v>177.0</c:v>
                </c:pt>
                <c:pt idx="9">
                  <c:v>185.0</c:v>
                </c:pt>
                <c:pt idx="10">
                  <c:v>192.0</c:v>
                </c:pt>
                <c:pt idx="11">
                  <c:v>198.0</c:v>
                </c:pt>
                <c:pt idx="12">
                  <c:v>205.0</c:v>
                </c:pt>
                <c:pt idx="13">
                  <c:v>229.0</c:v>
                </c:pt>
                <c:pt idx="14">
                  <c:v>235.0</c:v>
                </c:pt>
                <c:pt idx="15">
                  <c:v>241.0</c:v>
                </c:pt>
                <c:pt idx="16">
                  <c:v>248.0</c:v>
                </c:pt>
                <c:pt idx="17">
                  <c:v>254.0</c:v>
                </c:pt>
                <c:pt idx="18">
                  <c:v>261.0</c:v>
                </c:pt>
                <c:pt idx="19">
                  <c:v>268.0</c:v>
                </c:pt>
                <c:pt idx="20">
                  <c:v>275.0</c:v>
                </c:pt>
                <c:pt idx="21">
                  <c:v>282.0</c:v>
                </c:pt>
                <c:pt idx="22">
                  <c:v>289.0</c:v>
                </c:pt>
                <c:pt idx="23">
                  <c:v>289.0</c:v>
                </c:pt>
                <c:pt idx="24">
                  <c:v>289.0</c:v>
                </c:pt>
                <c:pt idx="25">
                  <c:v>289.0</c:v>
                </c:pt>
                <c:pt idx="26">
                  <c:v>289.0</c:v>
                </c:pt>
                <c:pt idx="27">
                  <c:v>289.0</c:v>
                </c:pt>
                <c:pt idx="28">
                  <c:v>289.0</c:v>
                </c:pt>
                <c:pt idx="29">
                  <c:v>289.0</c:v>
                </c:pt>
              </c:numCache>
            </c:numRef>
          </c:xVal>
          <c:yVal>
            <c:numRef>
              <c:f>Betula_pubescens!$BA$126:$BA$155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0.8</c:v>
                </c:pt>
                <c:pt idx="4">
                  <c:v>1.6</c:v>
                </c:pt>
                <c:pt idx="5">
                  <c:v>2.0</c:v>
                </c:pt>
                <c:pt idx="6">
                  <c:v>2.0</c:v>
                </c:pt>
                <c:pt idx="7">
                  <c:v>2.0</c:v>
                </c:pt>
                <c:pt idx="8">
                  <c:v>2.0</c:v>
                </c:pt>
                <c:pt idx="9">
                  <c:v>2.0</c:v>
                </c:pt>
                <c:pt idx="10">
                  <c:v>3.0</c:v>
                </c:pt>
                <c:pt idx="11">
                  <c:v>3.0</c:v>
                </c:pt>
                <c:pt idx="12">
                  <c:v>3.0</c:v>
                </c:pt>
                <c:pt idx="13">
                  <c:v>4.0</c:v>
                </c:pt>
                <c:pt idx="14">
                  <c:v>4.0</c:v>
                </c:pt>
                <c:pt idx="15">
                  <c:v>4.0</c:v>
                </c:pt>
                <c:pt idx="16">
                  <c:v>4.8</c:v>
                </c:pt>
                <c:pt idx="17">
                  <c:v>5.0</c:v>
                </c:pt>
                <c:pt idx="18">
                  <c:v>5.8</c:v>
                </c:pt>
                <c:pt idx="19">
                  <c:v>6.8</c:v>
                </c:pt>
                <c:pt idx="20">
                  <c:v>7.0</c:v>
                </c:pt>
                <c:pt idx="21">
                  <c:v>7.6</c:v>
                </c:pt>
                <c:pt idx="22">
                  <c:v>8.0</c:v>
                </c:pt>
                <c:pt idx="23">
                  <c:v>8.0</c:v>
                </c:pt>
                <c:pt idx="24">
                  <c:v>8.0</c:v>
                </c:pt>
                <c:pt idx="25">
                  <c:v>8.0</c:v>
                </c:pt>
                <c:pt idx="26">
                  <c:v>8.0</c:v>
                </c:pt>
                <c:pt idx="27">
                  <c:v>8.0</c:v>
                </c:pt>
                <c:pt idx="28">
                  <c:v>8.0</c:v>
                </c:pt>
                <c:pt idx="29">
                  <c:v>8.0</c:v>
                </c:pt>
              </c:numCache>
            </c:numRef>
          </c:yVal>
          <c:smooth val="0"/>
        </c:ser>
        <c:ser>
          <c:idx val="1"/>
          <c:order val="1"/>
          <c:tx>
            <c:v>2006</c:v>
          </c:tx>
          <c:spPr>
            <a:ln w="9525">
              <a:solidFill>
                <a:srgbClr val="00CCFF"/>
              </a:solidFill>
              <a:prstDash val="solid"/>
            </a:ln>
          </c:spPr>
          <c:marker>
            <c:symbol val="x"/>
            <c:size val="4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Betula_pubescens!$CK$126:$CK$155</c:f>
              <c:numCache>
                <c:formatCode>0</c:formatCode>
                <c:ptCount val="30"/>
                <c:pt idx="0">
                  <c:v>126.0</c:v>
                </c:pt>
                <c:pt idx="1">
                  <c:v>128.0</c:v>
                </c:pt>
                <c:pt idx="2">
                  <c:v>131.0</c:v>
                </c:pt>
                <c:pt idx="3">
                  <c:v>137.0</c:v>
                </c:pt>
                <c:pt idx="4">
                  <c:v>142.0</c:v>
                </c:pt>
                <c:pt idx="5">
                  <c:v>146.0</c:v>
                </c:pt>
                <c:pt idx="6">
                  <c:v>149.0</c:v>
                </c:pt>
                <c:pt idx="7">
                  <c:v>151.0</c:v>
                </c:pt>
                <c:pt idx="8">
                  <c:v>153.0</c:v>
                </c:pt>
                <c:pt idx="9">
                  <c:v>158.0</c:v>
                </c:pt>
                <c:pt idx="10">
                  <c:v>160.0</c:v>
                </c:pt>
                <c:pt idx="11">
                  <c:v>163.0</c:v>
                </c:pt>
                <c:pt idx="12">
                  <c:v>165.0</c:v>
                </c:pt>
                <c:pt idx="13">
                  <c:v>167.0</c:v>
                </c:pt>
                <c:pt idx="14">
                  <c:v>170.0</c:v>
                </c:pt>
                <c:pt idx="15">
                  <c:v>173.0</c:v>
                </c:pt>
              </c:numCache>
            </c:numRef>
          </c:xVal>
          <c:yVal>
            <c:numRef>
              <c:f>Betula_pubescens!$CM$126:$CM$155</c:f>
              <c:numCache>
                <c:formatCode>General</c:formatCode>
                <c:ptCount val="30"/>
                <c:pt idx="0">
                  <c:v>0.0</c:v>
                </c:pt>
                <c:pt idx="1">
                  <c:v>0.2</c:v>
                </c:pt>
                <c:pt idx="2">
                  <c:v>1.2</c:v>
                </c:pt>
                <c:pt idx="3">
                  <c:v>1.2</c:v>
                </c:pt>
                <c:pt idx="4">
                  <c:v>1.2</c:v>
                </c:pt>
                <c:pt idx="5">
                  <c:v>1.4</c:v>
                </c:pt>
                <c:pt idx="6">
                  <c:v>1.8</c:v>
                </c:pt>
                <c:pt idx="7">
                  <c:v>1.8</c:v>
                </c:pt>
                <c:pt idx="8">
                  <c:v>2.0</c:v>
                </c:pt>
                <c:pt idx="9">
                  <c:v>2.0</c:v>
                </c:pt>
                <c:pt idx="10">
                  <c:v>2.0</c:v>
                </c:pt>
                <c:pt idx="11">
                  <c:v>2.0</c:v>
                </c:pt>
                <c:pt idx="12">
                  <c:v>2.0</c:v>
                </c:pt>
                <c:pt idx="13">
                  <c:v>2.2</c:v>
                </c:pt>
                <c:pt idx="14">
                  <c:v>3.0</c:v>
                </c:pt>
              </c:numCache>
            </c:numRef>
          </c:yVal>
          <c:smooth val="0"/>
        </c:ser>
        <c:ser>
          <c:idx val="0"/>
          <c:order val="2"/>
          <c:tx>
            <c:v>2007</c:v>
          </c:tx>
          <c:spPr>
            <a:ln w="9525">
              <a:solidFill>
                <a:srgbClr val="00CCFF"/>
              </a:solidFill>
            </a:ln>
          </c:spPr>
          <c:marker>
            <c:symbol val="circle"/>
            <c:size val="4"/>
            <c:spPr>
              <a:noFill/>
              <a:ln>
                <a:solidFill>
                  <a:srgbClr val="00CCFF"/>
                </a:solidFill>
              </a:ln>
            </c:spPr>
          </c:marker>
          <c:xVal>
            <c:numRef>
              <c:f>Betula_pubescens!$CG$126:$CG$150</c:f>
              <c:numCache>
                <c:formatCode>0</c:formatCode>
                <c:ptCount val="25"/>
                <c:pt idx="0">
                  <c:v>123.0</c:v>
                </c:pt>
                <c:pt idx="1">
                  <c:v>127.0</c:v>
                </c:pt>
                <c:pt idx="2">
                  <c:v>130.0</c:v>
                </c:pt>
                <c:pt idx="3">
                  <c:v>134.0</c:v>
                </c:pt>
                <c:pt idx="4">
                  <c:v>136.0</c:v>
                </c:pt>
                <c:pt idx="5">
                  <c:v>138.0</c:v>
                </c:pt>
                <c:pt idx="6">
                  <c:v>141.0</c:v>
                </c:pt>
                <c:pt idx="7">
                  <c:v>143.0</c:v>
                </c:pt>
                <c:pt idx="8">
                  <c:v>145.0</c:v>
                </c:pt>
                <c:pt idx="9">
                  <c:v>148.0</c:v>
                </c:pt>
                <c:pt idx="10">
                  <c:v>151.0</c:v>
                </c:pt>
                <c:pt idx="11">
                  <c:v>155.0</c:v>
                </c:pt>
                <c:pt idx="12">
                  <c:v>159.0</c:v>
                </c:pt>
                <c:pt idx="13">
                  <c:v>162.0</c:v>
                </c:pt>
                <c:pt idx="14">
                  <c:v>169.0</c:v>
                </c:pt>
                <c:pt idx="15">
                  <c:v>176.0</c:v>
                </c:pt>
                <c:pt idx="16">
                  <c:v>242.0</c:v>
                </c:pt>
                <c:pt idx="17">
                  <c:v>247.0</c:v>
                </c:pt>
                <c:pt idx="18">
                  <c:v>254.0</c:v>
                </c:pt>
                <c:pt idx="19">
                  <c:v>261.0</c:v>
                </c:pt>
                <c:pt idx="20">
                  <c:v>267.0</c:v>
                </c:pt>
                <c:pt idx="21">
                  <c:v>274.0</c:v>
                </c:pt>
                <c:pt idx="22">
                  <c:v>281.0</c:v>
                </c:pt>
                <c:pt idx="23">
                  <c:v>288.0</c:v>
                </c:pt>
                <c:pt idx="24">
                  <c:v>295.0</c:v>
                </c:pt>
              </c:numCache>
            </c:numRef>
          </c:xVal>
          <c:yVal>
            <c:numRef>
              <c:f>Betula_pubescens!$CI$126:$CI$150</c:f>
              <c:numCache>
                <c:formatCode>0.0</c:formatCode>
                <c:ptCount val="25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0.4</c:v>
                </c:pt>
                <c:pt idx="6">
                  <c:v>1.0</c:v>
                </c:pt>
                <c:pt idx="7">
                  <c:v>1.0</c:v>
                </c:pt>
                <c:pt idx="8">
                  <c:v>1.6</c:v>
                </c:pt>
                <c:pt idx="9">
                  <c:v>2.0</c:v>
                </c:pt>
                <c:pt idx="10">
                  <c:v>2.0</c:v>
                </c:pt>
                <c:pt idx="11">
                  <c:v>2.0</c:v>
                </c:pt>
                <c:pt idx="12">
                  <c:v>2.0</c:v>
                </c:pt>
                <c:pt idx="13">
                  <c:v>2.0</c:v>
                </c:pt>
                <c:pt idx="14">
                  <c:v>3.0</c:v>
                </c:pt>
                <c:pt idx="15">
                  <c:v>3.0</c:v>
                </c:pt>
                <c:pt idx="16">
                  <c:v>4.0</c:v>
                </c:pt>
                <c:pt idx="17">
                  <c:v>4.0</c:v>
                </c:pt>
                <c:pt idx="18">
                  <c:v>4.0</c:v>
                </c:pt>
                <c:pt idx="19">
                  <c:v>4.4</c:v>
                </c:pt>
                <c:pt idx="20">
                  <c:v>5.2</c:v>
                </c:pt>
                <c:pt idx="21">
                  <c:v>6.4</c:v>
                </c:pt>
                <c:pt idx="22">
                  <c:v>7.0</c:v>
                </c:pt>
                <c:pt idx="23">
                  <c:v>7.8</c:v>
                </c:pt>
                <c:pt idx="24">
                  <c:v>8.0</c:v>
                </c:pt>
              </c:numCache>
            </c:numRef>
          </c:yVal>
          <c:smooth val="0"/>
        </c:ser>
        <c:ser>
          <c:idx val="3"/>
          <c:order val="3"/>
          <c:tx>
            <c:v>2008</c:v>
          </c:tx>
          <c:spPr>
            <a:ln w="9525">
              <a:solidFill>
                <a:srgbClr val="00FFFF"/>
              </a:solidFill>
            </a:ln>
          </c:spPr>
          <c:marker>
            <c:symbol val="square"/>
            <c:size val="4"/>
            <c:spPr>
              <a:noFill/>
              <a:ln>
                <a:solidFill>
                  <a:srgbClr val="00FFFF"/>
                </a:solidFill>
              </a:ln>
            </c:spPr>
          </c:marker>
          <c:xVal>
            <c:numRef>
              <c:f>Betula_pubescens!$CC$126:$CC$155</c:f>
              <c:numCache>
                <c:formatCode>0</c:formatCode>
                <c:ptCount val="30"/>
                <c:pt idx="0">
                  <c:v>123.0</c:v>
                </c:pt>
                <c:pt idx="1">
                  <c:v>129.0</c:v>
                </c:pt>
                <c:pt idx="2">
                  <c:v>133.0</c:v>
                </c:pt>
                <c:pt idx="3">
                  <c:v>137.0</c:v>
                </c:pt>
                <c:pt idx="4">
                  <c:v>144.0</c:v>
                </c:pt>
                <c:pt idx="5">
                  <c:v>147.0</c:v>
                </c:pt>
                <c:pt idx="6">
                  <c:v>150.0</c:v>
                </c:pt>
                <c:pt idx="7">
                  <c:v>154.0</c:v>
                </c:pt>
                <c:pt idx="8">
                  <c:v>157.0</c:v>
                </c:pt>
                <c:pt idx="9">
                  <c:v>163.0</c:v>
                </c:pt>
                <c:pt idx="10">
                  <c:v>170.0</c:v>
                </c:pt>
                <c:pt idx="11">
                  <c:v>178.0</c:v>
                </c:pt>
                <c:pt idx="12">
                  <c:v>239.0</c:v>
                </c:pt>
                <c:pt idx="13">
                  <c:v>246.0</c:v>
                </c:pt>
                <c:pt idx="14">
                  <c:v>252.0</c:v>
                </c:pt>
                <c:pt idx="15">
                  <c:v>259.0</c:v>
                </c:pt>
                <c:pt idx="16">
                  <c:v>266.0</c:v>
                </c:pt>
                <c:pt idx="17">
                  <c:v>273.0</c:v>
                </c:pt>
                <c:pt idx="18">
                  <c:v>282.0</c:v>
                </c:pt>
                <c:pt idx="19">
                  <c:v>288.0</c:v>
                </c:pt>
              </c:numCache>
            </c:numRef>
          </c:xVal>
          <c:yVal>
            <c:numRef>
              <c:f>Betula_pubescens!$CE$126:$CE$155</c:f>
              <c:numCache>
                <c:formatCode>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0.4</c:v>
                </c:pt>
                <c:pt idx="5">
                  <c:v>1.0</c:v>
                </c:pt>
                <c:pt idx="6">
                  <c:v>1.0</c:v>
                </c:pt>
                <c:pt idx="7">
                  <c:v>2.0</c:v>
                </c:pt>
                <c:pt idx="8">
                  <c:v>2.0</c:v>
                </c:pt>
                <c:pt idx="9">
                  <c:v>2.0</c:v>
                </c:pt>
                <c:pt idx="10">
                  <c:v>2.0</c:v>
                </c:pt>
                <c:pt idx="11">
                  <c:v>3.0</c:v>
                </c:pt>
                <c:pt idx="12">
                  <c:v>3.8</c:v>
                </c:pt>
                <c:pt idx="13">
                  <c:v>4.0</c:v>
                </c:pt>
                <c:pt idx="14">
                  <c:v>4.0</c:v>
                </c:pt>
                <c:pt idx="15">
                  <c:v>4.0</c:v>
                </c:pt>
                <c:pt idx="16">
                  <c:v>5.2</c:v>
                </c:pt>
                <c:pt idx="17">
                  <c:v>6.6</c:v>
                </c:pt>
                <c:pt idx="18">
                  <c:v>7.0</c:v>
                </c:pt>
                <c:pt idx="19">
                  <c:v>8.0</c:v>
                </c:pt>
              </c:numCache>
            </c:numRef>
          </c:yVal>
          <c:smooth val="0"/>
        </c:ser>
        <c:ser>
          <c:idx val="4"/>
          <c:order val="4"/>
          <c:tx>
            <c:v>2009</c:v>
          </c:tx>
          <c:spPr>
            <a:ln w="12700">
              <a:solidFill>
                <a:srgbClr val="00FFFF"/>
              </a:solidFill>
            </a:ln>
          </c:spPr>
          <c:marker>
            <c:symbol val="diamond"/>
            <c:size val="4"/>
            <c:spPr>
              <a:noFill/>
              <a:ln>
                <a:solidFill>
                  <a:srgbClr val="00FFFF"/>
                </a:solidFill>
              </a:ln>
            </c:spPr>
          </c:marker>
          <c:xVal>
            <c:numRef>
              <c:f>Betula_pubescens!$BY$126:$BY$155</c:f>
              <c:numCache>
                <c:formatCode>0</c:formatCode>
                <c:ptCount val="30"/>
                <c:pt idx="0">
                  <c:v>120.0</c:v>
                </c:pt>
                <c:pt idx="1">
                  <c:v>127.0</c:v>
                </c:pt>
                <c:pt idx="2">
                  <c:v>134.0</c:v>
                </c:pt>
                <c:pt idx="3">
                  <c:v>138.0</c:v>
                </c:pt>
                <c:pt idx="4">
                  <c:v>142.0</c:v>
                </c:pt>
                <c:pt idx="5">
                  <c:v>148.0</c:v>
                </c:pt>
                <c:pt idx="6">
                  <c:v>152.0</c:v>
                </c:pt>
                <c:pt idx="7">
                  <c:v>159.0</c:v>
                </c:pt>
                <c:pt idx="8">
                  <c:v>162.0</c:v>
                </c:pt>
                <c:pt idx="9">
                  <c:v>169.0</c:v>
                </c:pt>
                <c:pt idx="10">
                  <c:v>173.0</c:v>
                </c:pt>
                <c:pt idx="11">
                  <c:v>184.0</c:v>
                </c:pt>
                <c:pt idx="12">
                  <c:v>190.0</c:v>
                </c:pt>
                <c:pt idx="13">
                  <c:v>231.0</c:v>
                </c:pt>
                <c:pt idx="14">
                  <c:v>238.0</c:v>
                </c:pt>
                <c:pt idx="15">
                  <c:v>245.0</c:v>
                </c:pt>
                <c:pt idx="16">
                  <c:v>252.0</c:v>
                </c:pt>
                <c:pt idx="17">
                  <c:v>259.0</c:v>
                </c:pt>
                <c:pt idx="18">
                  <c:v>266.0</c:v>
                </c:pt>
                <c:pt idx="19">
                  <c:v>273.0</c:v>
                </c:pt>
                <c:pt idx="20">
                  <c:v>279.0</c:v>
                </c:pt>
                <c:pt idx="21">
                  <c:v>287.0</c:v>
                </c:pt>
              </c:numCache>
            </c:numRef>
          </c:xVal>
          <c:yVal>
            <c:numRef>
              <c:f>Betula_pubescens!$CA$126:$CA$155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1.0</c:v>
                </c:pt>
                <c:pt idx="4">
                  <c:v>1.0</c:v>
                </c:pt>
                <c:pt idx="5">
                  <c:v>2.0</c:v>
                </c:pt>
                <c:pt idx="6">
                  <c:v>2.0</c:v>
                </c:pt>
                <c:pt idx="7">
                  <c:v>2.0</c:v>
                </c:pt>
                <c:pt idx="8">
                  <c:v>2.0</c:v>
                </c:pt>
                <c:pt idx="9">
                  <c:v>2.0</c:v>
                </c:pt>
                <c:pt idx="10">
                  <c:v>2.0</c:v>
                </c:pt>
                <c:pt idx="11">
                  <c:v>2.0</c:v>
                </c:pt>
                <c:pt idx="12">
                  <c:v>3.0</c:v>
                </c:pt>
                <c:pt idx="13">
                  <c:v>4.0</c:v>
                </c:pt>
                <c:pt idx="14">
                  <c:v>4.0</c:v>
                </c:pt>
                <c:pt idx="15">
                  <c:v>4.0</c:v>
                </c:pt>
                <c:pt idx="16">
                  <c:v>4.6</c:v>
                </c:pt>
                <c:pt idx="17">
                  <c:v>5.0</c:v>
                </c:pt>
                <c:pt idx="18">
                  <c:v>6.4</c:v>
                </c:pt>
                <c:pt idx="19">
                  <c:v>7.0</c:v>
                </c:pt>
                <c:pt idx="20">
                  <c:v>7.0</c:v>
                </c:pt>
                <c:pt idx="21">
                  <c:v>8.0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22037640"/>
        <c:axId val="-2121460808"/>
      </c:scatterChart>
      <c:valAx>
        <c:axId val="-2122037640"/>
        <c:scaling>
          <c:orientation val="minMax"/>
          <c:min val="90.0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21460808"/>
        <c:crosses val="autoZero"/>
        <c:crossBetween val="midCat"/>
      </c:valAx>
      <c:valAx>
        <c:axId val="-21214608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Bedömd fas</a:t>
                </a:r>
              </a:p>
            </c:rich>
          </c:tx>
          <c:layout>
            <c:manualLayout>
              <c:xMode val="edge"/>
              <c:yMode val="edge"/>
              <c:x val="0.00251817481148198"/>
              <c:y val="0.29885156760469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22037640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1507936507936"/>
          <c:y val="0.333333361948045"/>
          <c:w val="0.144841269841274"/>
          <c:h val="0.4894515188097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2169576059848"/>
          <c:y val="0.0862073803844537"/>
          <c:w val="0.845386533665836"/>
          <c:h val="0.655176090921847"/>
        </c:manualLayout>
      </c:layout>
      <c:scatterChart>
        <c:scatterStyle val="lineMarker"/>
        <c:varyColors val="0"/>
        <c:ser>
          <c:idx val="5"/>
          <c:order val="0"/>
          <c:tx>
            <c:v>Vindeln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Betula_pendula!$B$126:$B$155</c:f>
              <c:numCache>
                <c:formatCode>m/d/yy</c:formatCode>
                <c:ptCount val="30"/>
              </c:numCache>
            </c:numRef>
          </c:xVal>
          <c:yVal>
            <c:numRef>
              <c:f>Betula_pendula!$AZ$126:$AZ$155</c:f>
              <c:numCache>
                <c:formatCode>0.00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0"/>
          <c:order val="1"/>
          <c:tx>
            <c:v>Umeå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Betula_pendula!$B$96:$B$125</c:f>
              <c:numCache>
                <c:formatCode>m/d/yy</c:formatCode>
                <c:ptCount val="30"/>
              </c:numCache>
            </c:numRef>
          </c:xVal>
          <c:yVal>
            <c:numRef>
              <c:f>Betula_pendula!$AZ$96:$AZ$125</c:f>
              <c:numCache>
                <c:formatCode>0.00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</c:numCache>
            </c:numRef>
          </c:yVal>
          <c:smooth val="0"/>
        </c:ser>
        <c:ser>
          <c:idx val="4"/>
          <c:order val="2"/>
          <c:tx>
            <c:v>Siljansfors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triangle"/>
            <c:size val="4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Betula_pendula!$B$37:$B$65</c:f>
              <c:numCache>
                <c:formatCode>m/d/yy</c:formatCode>
                <c:ptCount val="29"/>
                <c:pt idx="0">
                  <c:v>41037.0</c:v>
                </c:pt>
                <c:pt idx="1">
                  <c:v>41041.0</c:v>
                </c:pt>
                <c:pt idx="2">
                  <c:v>41046.0</c:v>
                </c:pt>
                <c:pt idx="3">
                  <c:v>41050.0</c:v>
                </c:pt>
                <c:pt idx="4">
                  <c:v>41054.0</c:v>
                </c:pt>
                <c:pt idx="5">
                  <c:v>41058.0</c:v>
                </c:pt>
                <c:pt idx="6">
                  <c:v>41061.0</c:v>
                </c:pt>
                <c:pt idx="7">
                  <c:v>41067.0</c:v>
                </c:pt>
                <c:pt idx="8">
                  <c:v>41074.0</c:v>
                </c:pt>
                <c:pt idx="9">
                  <c:v>41081.0</c:v>
                </c:pt>
                <c:pt idx="10">
                  <c:v>41089.0</c:v>
                </c:pt>
                <c:pt idx="11">
                  <c:v>41141.0</c:v>
                </c:pt>
                <c:pt idx="12">
                  <c:v>41158.0</c:v>
                </c:pt>
                <c:pt idx="13">
                  <c:v>41170.0</c:v>
                </c:pt>
                <c:pt idx="14">
                  <c:v>41177.0</c:v>
                </c:pt>
                <c:pt idx="15">
                  <c:v>41180.0</c:v>
                </c:pt>
                <c:pt idx="16">
                  <c:v>41190.0</c:v>
                </c:pt>
                <c:pt idx="17">
                  <c:v>41197.0</c:v>
                </c:pt>
                <c:pt idx="18">
                  <c:v>41204.0</c:v>
                </c:pt>
              </c:numCache>
            </c:numRef>
          </c:xVal>
          <c:yVal>
            <c:numRef>
              <c:f>Betula_pendula!$AZ$36:$AZ$65</c:f>
              <c:numCache>
                <c:formatCode>0.00</c:formatCode>
                <c:ptCount val="30"/>
                <c:pt idx="0">
                  <c:v>5.465714285714285</c:v>
                </c:pt>
                <c:pt idx="1">
                  <c:v>7.594285714285713</c:v>
                </c:pt>
                <c:pt idx="2">
                  <c:v>9.834285714285714</c:v>
                </c:pt>
                <c:pt idx="3">
                  <c:v>13.67428571428572</c:v>
                </c:pt>
                <c:pt idx="4">
                  <c:v>18.75238095238096</c:v>
                </c:pt>
                <c:pt idx="5">
                  <c:v>30.83142857142857</c:v>
                </c:pt>
                <c:pt idx="6">
                  <c:v>39.53714285714286</c:v>
                </c:pt>
                <c:pt idx="7">
                  <c:v>41.41428571428571</c:v>
                </c:pt>
                <c:pt idx="8">
                  <c:v>41.58</c:v>
                </c:pt>
                <c:pt idx="9">
                  <c:v>42.48285714285715</c:v>
                </c:pt>
                <c:pt idx="10">
                  <c:v>43.16571428571429</c:v>
                </c:pt>
                <c:pt idx="11">
                  <c:v>43.16285714285714</c:v>
                </c:pt>
                <c:pt idx="12">
                  <c:v>43.16285714285714</c:v>
                </c:pt>
                <c:pt idx="13">
                  <c:v>43.16285714285714</c:v>
                </c:pt>
                <c:pt idx="14">
                  <c:v>43.16285714285714</c:v>
                </c:pt>
                <c:pt idx="15">
                  <c:v>43.16285714285714</c:v>
                </c:pt>
                <c:pt idx="16">
                  <c:v>43.16285714285714</c:v>
                </c:pt>
                <c:pt idx="17">
                  <c:v>43.16285714285714</c:v>
                </c:pt>
                <c:pt idx="18">
                  <c:v>43.16285714285714</c:v>
                </c:pt>
                <c:pt idx="19">
                  <c:v>43.16285714285714</c:v>
                </c:pt>
                <c:pt idx="20">
                  <c:v>43.16285714285714</c:v>
                </c:pt>
                <c:pt idx="21">
                  <c:v>43.16285714285714</c:v>
                </c:pt>
                <c:pt idx="22">
                  <c:v>43.16285714285714</c:v>
                </c:pt>
                <c:pt idx="23">
                  <c:v>43.16285714285714</c:v>
                </c:pt>
                <c:pt idx="24">
                  <c:v>43.16285714285714</c:v>
                </c:pt>
                <c:pt idx="25">
                  <c:v>43.16285714285714</c:v>
                </c:pt>
                <c:pt idx="26">
                  <c:v>43.16285714285714</c:v>
                </c:pt>
                <c:pt idx="27">
                  <c:v>43.16285714285714</c:v>
                </c:pt>
                <c:pt idx="28">
                  <c:v>43.16285714285714</c:v>
                </c:pt>
              </c:numCache>
            </c:numRef>
          </c:yVal>
          <c:smooth val="0"/>
        </c:ser>
        <c:ser>
          <c:idx val="2"/>
          <c:order val="3"/>
          <c:tx>
            <c:v>Asa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Betula_pendula!$B$6:$B$35</c:f>
              <c:numCache>
                <c:formatCode>m/d/yy</c:formatCode>
                <c:ptCount val="30"/>
                <c:pt idx="0">
                  <c:v>41032.0</c:v>
                </c:pt>
                <c:pt idx="1">
                  <c:v>41040.0</c:v>
                </c:pt>
                <c:pt idx="2">
                  <c:v>41047.0</c:v>
                </c:pt>
                <c:pt idx="3">
                  <c:v>41053.0</c:v>
                </c:pt>
                <c:pt idx="4">
                  <c:v>41059.0</c:v>
                </c:pt>
                <c:pt idx="5">
                  <c:v>41068.0</c:v>
                </c:pt>
                <c:pt idx="6">
                  <c:v>41130.0</c:v>
                </c:pt>
                <c:pt idx="7">
                  <c:v>41127.0</c:v>
                </c:pt>
                <c:pt idx="8">
                  <c:v>41145.0</c:v>
                </c:pt>
                <c:pt idx="9">
                  <c:v>41152.0</c:v>
                </c:pt>
                <c:pt idx="10">
                  <c:v>41159.0</c:v>
                </c:pt>
                <c:pt idx="11">
                  <c:v>41166.0</c:v>
                </c:pt>
                <c:pt idx="12">
                  <c:v>41172.0</c:v>
                </c:pt>
                <c:pt idx="13">
                  <c:v>41180.0</c:v>
                </c:pt>
                <c:pt idx="14">
                  <c:v>41186.0</c:v>
                </c:pt>
                <c:pt idx="15">
                  <c:v>41193.0</c:v>
                </c:pt>
                <c:pt idx="16">
                  <c:v>41201.0</c:v>
                </c:pt>
                <c:pt idx="17">
                  <c:v>41208.0</c:v>
                </c:pt>
                <c:pt idx="18">
                  <c:v>41213.0</c:v>
                </c:pt>
                <c:pt idx="19">
                  <c:v>41222.0</c:v>
                </c:pt>
              </c:numCache>
            </c:numRef>
          </c:xVal>
          <c:yVal>
            <c:numRef>
              <c:f>Betula_pendula!$AZ$6:$AZ$35</c:f>
              <c:numCache>
                <c:formatCode>0.00</c:formatCode>
                <c:ptCount val="30"/>
                <c:pt idx="0">
                  <c:v>13.292</c:v>
                </c:pt>
                <c:pt idx="1">
                  <c:v>19.112</c:v>
                </c:pt>
                <c:pt idx="2">
                  <c:v>26.252</c:v>
                </c:pt>
                <c:pt idx="3">
                  <c:v>33.432</c:v>
                </c:pt>
                <c:pt idx="4">
                  <c:v>37.228</c:v>
                </c:pt>
                <c:pt idx="5">
                  <c:v>37.232</c:v>
                </c:pt>
                <c:pt idx="6">
                  <c:v>37.232</c:v>
                </c:pt>
                <c:pt idx="7">
                  <c:v>37.232</c:v>
                </c:pt>
                <c:pt idx="8">
                  <c:v>37.232</c:v>
                </c:pt>
                <c:pt idx="9">
                  <c:v>37.232</c:v>
                </c:pt>
                <c:pt idx="10">
                  <c:v>37.232</c:v>
                </c:pt>
                <c:pt idx="11">
                  <c:v>37.232</c:v>
                </c:pt>
                <c:pt idx="12">
                  <c:v>37.232</c:v>
                </c:pt>
                <c:pt idx="13">
                  <c:v>37.232</c:v>
                </c:pt>
                <c:pt idx="14">
                  <c:v>37.232</c:v>
                </c:pt>
                <c:pt idx="15">
                  <c:v>37.232</c:v>
                </c:pt>
                <c:pt idx="16">
                  <c:v>37.232</c:v>
                </c:pt>
                <c:pt idx="17">
                  <c:v>37.232</c:v>
                </c:pt>
                <c:pt idx="18">
                  <c:v>37.232</c:v>
                </c:pt>
                <c:pt idx="19">
                  <c:v>37.232</c:v>
                </c:pt>
                <c:pt idx="20">
                  <c:v>37.232</c:v>
                </c:pt>
                <c:pt idx="21">
                  <c:v>37.232</c:v>
                </c:pt>
                <c:pt idx="22">
                  <c:v>37.232</c:v>
                </c:pt>
                <c:pt idx="23">
                  <c:v>37.232</c:v>
                </c:pt>
                <c:pt idx="24">
                  <c:v>37.232</c:v>
                </c:pt>
                <c:pt idx="25">
                  <c:v>37.232</c:v>
                </c:pt>
                <c:pt idx="26">
                  <c:v>37.232</c:v>
                </c:pt>
                <c:pt idx="27">
                  <c:v>37.232</c:v>
                </c:pt>
                <c:pt idx="28">
                  <c:v>37.232</c:v>
                </c:pt>
              </c:numCache>
            </c:numRef>
          </c:yVal>
          <c:smooth val="0"/>
        </c:ser>
        <c:ser>
          <c:idx val="1"/>
          <c:order val="4"/>
          <c:tx>
            <c:v>Tönnersjöheden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Betula_pendula!$B$66:$B$95</c:f>
              <c:numCache>
                <c:formatCode>m/d/yy</c:formatCode>
                <c:ptCount val="30"/>
                <c:pt idx="0">
                  <c:v>41022.0</c:v>
                </c:pt>
                <c:pt idx="1">
                  <c:v>41026.0</c:v>
                </c:pt>
                <c:pt idx="2">
                  <c:v>41031.0</c:v>
                </c:pt>
                <c:pt idx="3">
                  <c:v>41036.0</c:v>
                </c:pt>
                <c:pt idx="4">
                  <c:v>41039.0</c:v>
                </c:pt>
                <c:pt idx="5">
                  <c:v>41044.0</c:v>
                </c:pt>
                <c:pt idx="6">
                  <c:v>41053.0</c:v>
                </c:pt>
                <c:pt idx="7">
                  <c:v>41059.0</c:v>
                </c:pt>
                <c:pt idx="8">
                  <c:v>41073.0</c:v>
                </c:pt>
                <c:pt idx="9">
                  <c:v>41092.0</c:v>
                </c:pt>
              </c:numCache>
            </c:numRef>
          </c:xVal>
          <c:yVal>
            <c:numRef>
              <c:f>Betula_pendula!$AZ$66:$AZ$95</c:f>
              <c:numCache>
                <c:formatCode>0.00</c:formatCode>
                <c:ptCount val="30"/>
                <c:pt idx="0">
                  <c:v>6.682857142857142</c:v>
                </c:pt>
                <c:pt idx="1">
                  <c:v>8.58</c:v>
                </c:pt>
                <c:pt idx="2">
                  <c:v>13.50571428571429</c:v>
                </c:pt>
                <c:pt idx="3">
                  <c:v>23.29571428571429</c:v>
                </c:pt>
                <c:pt idx="4">
                  <c:v>28.36119047619047</c:v>
                </c:pt>
                <c:pt idx="5">
                  <c:v>34.84119047619048</c:v>
                </c:pt>
                <c:pt idx="6">
                  <c:v>34.84119047619048</c:v>
                </c:pt>
                <c:pt idx="7">
                  <c:v>34.84119047619048</c:v>
                </c:pt>
                <c:pt idx="8">
                  <c:v>34.84119047619048</c:v>
                </c:pt>
                <c:pt idx="9">
                  <c:v>34.84119047619048</c:v>
                </c:pt>
                <c:pt idx="10">
                  <c:v>34.84119047619048</c:v>
                </c:pt>
                <c:pt idx="11">
                  <c:v>34.84119047619048</c:v>
                </c:pt>
                <c:pt idx="12">
                  <c:v>34.84119047619048</c:v>
                </c:pt>
                <c:pt idx="13">
                  <c:v>34.84119047619048</c:v>
                </c:pt>
                <c:pt idx="14">
                  <c:v>34.84119047619048</c:v>
                </c:pt>
                <c:pt idx="15">
                  <c:v>34.84119047619048</c:v>
                </c:pt>
                <c:pt idx="16">
                  <c:v>34.84119047619048</c:v>
                </c:pt>
                <c:pt idx="17">
                  <c:v>34.84119047619048</c:v>
                </c:pt>
                <c:pt idx="18">
                  <c:v>34.84119047619048</c:v>
                </c:pt>
                <c:pt idx="19">
                  <c:v>34.84119047619048</c:v>
                </c:pt>
                <c:pt idx="20">
                  <c:v>34.84119047619048</c:v>
                </c:pt>
                <c:pt idx="21">
                  <c:v>34.84119047619048</c:v>
                </c:pt>
                <c:pt idx="22">
                  <c:v>34.84119047619048</c:v>
                </c:pt>
                <c:pt idx="23">
                  <c:v>34.84119047619048</c:v>
                </c:pt>
                <c:pt idx="24">
                  <c:v>34.84119047619048</c:v>
                </c:pt>
                <c:pt idx="25">
                  <c:v>34.84119047619048</c:v>
                </c:pt>
                <c:pt idx="26">
                  <c:v>34.84119047619048</c:v>
                </c:pt>
                <c:pt idx="27">
                  <c:v>34.84119047619048</c:v>
                </c:pt>
                <c:pt idx="28">
                  <c:v>34.84119047619048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8265384"/>
        <c:axId val="-2118261512"/>
      </c:scatterChart>
      <c:valAx>
        <c:axId val="-2118265384"/>
        <c:scaling>
          <c:orientation val="minMax"/>
          <c:min val="41000.0"/>
        </c:scaling>
        <c:delete val="0"/>
        <c:axPos val="b"/>
        <c:numFmt formatCode="d\/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8261512"/>
        <c:crosses val="autoZero"/>
        <c:crossBetween val="midCat"/>
        <c:majorUnit val="7.0"/>
      </c:valAx>
      <c:valAx>
        <c:axId val="-21182615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Knopp/bladlängd, mm</a:t>
                </a:r>
              </a:p>
            </c:rich>
          </c:tx>
          <c:layout>
            <c:manualLayout>
              <c:xMode val="edge"/>
              <c:yMode val="edge"/>
              <c:x val="0.0183037674765363"/>
              <c:y val="0.11684021389849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8265384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72503242542153"/>
          <c:y val="0.322429906542056"/>
          <c:w val="0.239299610894946"/>
          <c:h val="0.38785046728973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 orientation="landscape" horizontalDpi="0" verticalDpi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9841868818371"/>
          <c:y val="0.0862073803844537"/>
          <c:w val="0.836412687083462"/>
          <c:h val="0.632187456152659"/>
        </c:manualLayout>
      </c:layout>
      <c:scatterChart>
        <c:scatterStyle val="lineMarker"/>
        <c:varyColors val="0"/>
        <c:ser>
          <c:idx val="2"/>
          <c:order val="0"/>
          <c:tx>
            <c:v>Asa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Betula_pendula!$B$6:$B$35</c:f>
              <c:numCache>
                <c:formatCode>m/d/yy</c:formatCode>
                <c:ptCount val="30"/>
                <c:pt idx="0">
                  <c:v>41032.0</c:v>
                </c:pt>
                <c:pt idx="1">
                  <c:v>41040.0</c:v>
                </c:pt>
                <c:pt idx="2">
                  <c:v>41047.0</c:v>
                </c:pt>
                <c:pt idx="3">
                  <c:v>41053.0</c:v>
                </c:pt>
                <c:pt idx="4">
                  <c:v>41059.0</c:v>
                </c:pt>
                <c:pt idx="5">
                  <c:v>41068.0</c:v>
                </c:pt>
                <c:pt idx="6">
                  <c:v>41130.0</c:v>
                </c:pt>
                <c:pt idx="7">
                  <c:v>41127.0</c:v>
                </c:pt>
                <c:pt idx="8">
                  <c:v>41145.0</c:v>
                </c:pt>
                <c:pt idx="9">
                  <c:v>41152.0</c:v>
                </c:pt>
                <c:pt idx="10">
                  <c:v>41159.0</c:v>
                </c:pt>
                <c:pt idx="11">
                  <c:v>41166.0</c:v>
                </c:pt>
                <c:pt idx="12">
                  <c:v>41172.0</c:v>
                </c:pt>
                <c:pt idx="13">
                  <c:v>41180.0</c:v>
                </c:pt>
                <c:pt idx="14">
                  <c:v>41186.0</c:v>
                </c:pt>
                <c:pt idx="15">
                  <c:v>41193.0</c:v>
                </c:pt>
                <c:pt idx="16">
                  <c:v>41201.0</c:v>
                </c:pt>
                <c:pt idx="17">
                  <c:v>41208.0</c:v>
                </c:pt>
                <c:pt idx="18">
                  <c:v>41213.0</c:v>
                </c:pt>
                <c:pt idx="19">
                  <c:v>41222.0</c:v>
                </c:pt>
              </c:numCache>
            </c:numRef>
          </c:xVal>
          <c:yVal>
            <c:numRef>
              <c:f>Betula_pendula!$BA$6:$BA$35</c:f>
              <c:numCache>
                <c:formatCode>0.0</c:formatCode>
                <c:ptCount val="30"/>
                <c:pt idx="0">
                  <c:v>1.4</c:v>
                </c:pt>
                <c:pt idx="1">
                  <c:v>1.8</c:v>
                </c:pt>
                <c:pt idx="2">
                  <c:v>2.0</c:v>
                </c:pt>
                <c:pt idx="3">
                  <c:v>2.0</c:v>
                </c:pt>
                <c:pt idx="4">
                  <c:v>2.0</c:v>
                </c:pt>
                <c:pt idx="5">
                  <c:v>3.0</c:v>
                </c:pt>
                <c:pt idx="6">
                  <c:v>4.0</c:v>
                </c:pt>
                <c:pt idx="7">
                  <c:v>4.0</c:v>
                </c:pt>
                <c:pt idx="8">
                  <c:v>4.0</c:v>
                </c:pt>
                <c:pt idx="9">
                  <c:v>4.0</c:v>
                </c:pt>
                <c:pt idx="10">
                  <c:v>4.8</c:v>
                </c:pt>
                <c:pt idx="11">
                  <c:v>5.0</c:v>
                </c:pt>
                <c:pt idx="12">
                  <c:v>5.6</c:v>
                </c:pt>
                <c:pt idx="13">
                  <c:v>6.0</c:v>
                </c:pt>
                <c:pt idx="14">
                  <c:v>6.0</c:v>
                </c:pt>
                <c:pt idx="15">
                  <c:v>7.0</c:v>
                </c:pt>
                <c:pt idx="16">
                  <c:v>7.0</c:v>
                </c:pt>
                <c:pt idx="17">
                  <c:v>7.4</c:v>
                </c:pt>
                <c:pt idx="18">
                  <c:v>7.6</c:v>
                </c:pt>
                <c:pt idx="19">
                  <c:v>8.0</c:v>
                </c:pt>
                <c:pt idx="20">
                  <c:v>8.0</c:v>
                </c:pt>
                <c:pt idx="21">
                  <c:v>8.0</c:v>
                </c:pt>
                <c:pt idx="22">
                  <c:v>8.0</c:v>
                </c:pt>
                <c:pt idx="23">
                  <c:v>8.0</c:v>
                </c:pt>
                <c:pt idx="24">
                  <c:v>8.0</c:v>
                </c:pt>
                <c:pt idx="25">
                  <c:v>8.0</c:v>
                </c:pt>
                <c:pt idx="26">
                  <c:v>8.0</c:v>
                </c:pt>
                <c:pt idx="27">
                  <c:v>8.0</c:v>
                </c:pt>
                <c:pt idx="28">
                  <c:v>8.0</c:v>
                </c:pt>
                <c:pt idx="29">
                  <c:v>8.0</c:v>
                </c:pt>
              </c:numCache>
            </c:numRef>
          </c:yVal>
          <c:smooth val="0"/>
        </c:ser>
        <c:ser>
          <c:idx val="4"/>
          <c:order val="1"/>
          <c:tx>
            <c:v>Siljansfors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triangle"/>
            <c:size val="4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Betula_pendula!$B$37:$B$65</c:f>
              <c:numCache>
                <c:formatCode>m/d/yy</c:formatCode>
                <c:ptCount val="29"/>
                <c:pt idx="0">
                  <c:v>41037.0</c:v>
                </c:pt>
                <c:pt idx="1">
                  <c:v>41041.0</c:v>
                </c:pt>
                <c:pt idx="2">
                  <c:v>41046.0</c:v>
                </c:pt>
                <c:pt idx="3">
                  <c:v>41050.0</c:v>
                </c:pt>
                <c:pt idx="4">
                  <c:v>41054.0</c:v>
                </c:pt>
                <c:pt idx="5">
                  <c:v>41058.0</c:v>
                </c:pt>
                <c:pt idx="6">
                  <c:v>41061.0</c:v>
                </c:pt>
                <c:pt idx="7">
                  <c:v>41067.0</c:v>
                </c:pt>
                <c:pt idx="8">
                  <c:v>41074.0</c:v>
                </c:pt>
                <c:pt idx="9">
                  <c:v>41081.0</c:v>
                </c:pt>
                <c:pt idx="10">
                  <c:v>41089.0</c:v>
                </c:pt>
                <c:pt idx="11">
                  <c:v>41141.0</c:v>
                </c:pt>
                <c:pt idx="12">
                  <c:v>41158.0</c:v>
                </c:pt>
                <c:pt idx="13">
                  <c:v>41170.0</c:v>
                </c:pt>
                <c:pt idx="14">
                  <c:v>41177.0</c:v>
                </c:pt>
                <c:pt idx="15">
                  <c:v>41180.0</c:v>
                </c:pt>
                <c:pt idx="16">
                  <c:v>41190.0</c:v>
                </c:pt>
                <c:pt idx="17">
                  <c:v>41197.0</c:v>
                </c:pt>
                <c:pt idx="18">
                  <c:v>41204.0</c:v>
                </c:pt>
              </c:numCache>
            </c:numRef>
          </c:xVal>
          <c:yVal>
            <c:numRef>
              <c:f>Betula_pendula!$BA$36:$BA$65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1.0</c:v>
                </c:pt>
                <c:pt idx="4">
                  <c:v>1.0</c:v>
                </c:pt>
                <c:pt idx="5">
                  <c:v>2.0</c:v>
                </c:pt>
                <c:pt idx="6">
                  <c:v>2.0</c:v>
                </c:pt>
                <c:pt idx="7">
                  <c:v>2.0</c:v>
                </c:pt>
                <c:pt idx="8">
                  <c:v>2.0</c:v>
                </c:pt>
                <c:pt idx="9">
                  <c:v>2.0</c:v>
                </c:pt>
                <c:pt idx="10">
                  <c:v>2.2</c:v>
                </c:pt>
                <c:pt idx="11">
                  <c:v>3.0</c:v>
                </c:pt>
                <c:pt idx="12">
                  <c:v>4.0</c:v>
                </c:pt>
                <c:pt idx="13">
                  <c:v>4.6</c:v>
                </c:pt>
                <c:pt idx="14">
                  <c:v>4.8</c:v>
                </c:pt>
                <c:pt idx="15">
                  <c:v>6.2</c:v>
                </c:pt>
                <c:pt idx="16">
                  <c:v>6.4</c:v>
                </c:pt>
                <c:pt idx="17">
                  <c:v>6.8</c:v>
                </c:pt>
                <c:pt idx="18">
                  <c:v>7.8</c:v>
                </c:pt>
                <c:pt idx="19">
                  <c:v>8.0</c:v>
                </c:pt>
                <c:pt idx="20">
                  <c:v>8.0</c:v>
                </c:pt>
                <c:pt idx="21">
                  <c:v>8.0</c:v>
                </c:pt>
                <c:pt idx="22">
                  <c:v>8.0</c:v>
                </c:pt>
                <c:pt idx="23">
                  <c:v>8.0</c:v>
                </c:pt>
                <c:pt idx="24">
                  <c:v>8.0</c:v>
                </c:pt>
                <c:pt idx="25">
                  <c:v>8.0</c:v>
                </c:pt>
                <c:pt idx="26">
                  <c:v>8.0</c:v>
                </c:pt>
                <c:pt idx="27">
                  <c:v>8.0</c:v>
                </c:pt>
                <c:pt idx="28">
                  <c:v>8.0</c:v>
                </c:pt>
                <c:pt idx="29">
                  <c:v>8.0</c:v>
                </c:pt>
              </c:numCache>
            </c:numRef>
          </c:yVal>
          <c:smooth val="0"/>
        </c:ser>
        <c:ser>
          <c:idx val="0"/>
          <c:order val="2"/>
          <c:tx>
            <c:v>Umeå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Betula_pendula!$B$96:$B$125</c:f>
              <c:numCache>
                <c:formatCode>m/d/yy</c:formatCode>
                <c:ptCount val="30"/>
              </c:numCache>
            </c:numRef>
          </c:xVal>
          <c:yVal>
            <c:numRef>
              <c:f>Betula_pendula!$BA$96:$BA$125</c:f>
              <c:numCache>
                <c:formatCode>0.0</c:formatCode>
                <c:ptCount val="30"/>
                <c:pt idx="0">
                  <c:v>3.0</c:v>
                </c:pt>
                <c:pt idx="1">
                  <c:v>3.0</c:v>
                </c:pt>
                <c:pt idx="2">
                  <c:v>3.0</c:v>
                </c:pt>
                <c:pt idx="3">
                  <c:v>3.0</c:v>
                </c:pt>
                <c:pt idx="4">
                  <c:v>3.0</c:v>
                </c:pt>
                <c:pt idx="5">
                  <c:v>3.0</c:v>
                </c:pt>
                <c:pt idx="6">
                  <c:v>3.0</c:v>
                </c:pt>
                <c:pt idx="7">
                  <c:v>3.0</c:v>
                </c:pt>
                <c:pt idx="8">
                  <c:v>3.0</c:v>
                </c:pt>
                <c:pt idx="9">
                  <c:v>3.0</c:v>
                </c:pt>
                <c:pt idx="10">
                  <c:v>3.0</c:v>
                </c:pt>
                <c:pt idx="11">
                  <c:v>3.0</c:v>
                </c:pt>
                <c:pt idx="12">
                  <c:v>3.0</c:v>
                </c:pt>
                <c:pt idx="13">
                  <c:v>3.0</c:v>
                </c:pt>
                <c:pt idx="14">
                  <c:v>3.0</c:v>
                </c:pt>
                <c:pt idx="15">
                  <c:v>3.0</c:v>
                </c:pt>
                <c:pt idx="16">
                  <c:v>3.0</c:v>
                </c:pt>
                <c:pt idx="17">
                  <c:v>3.0</c:v>
                </c:pt>
                <c:pt idx="18">
                  <c:v>3.0</c:v>
                </c:pt>
                <c:pt idx="19">
                  <c:v>3.0</c:v>
                </c:pt>
                <c:pt idx="20">
                  <c:v>3.0</c:v>
                </c:pt>
                <c:pt idx="21">
                  <c:v>3.0</c:v>
                </c:pt>
                <c:pt idx="22">
                  <c:v>3.0</c:v>
                </c:pt>
                <c:pt idx="23">
                  <c:v>3.0</c:v>
                </c:pt>
                <c:pt idx="24">
                  <c:v>3.0</c:v>
                </c:pt>
                <c:pt idx="25">
                  <c:v>3.0</c:v>
                </c:pt>
                <c:pt idx="26">
                  <c:v>3.0</c:v>
                </c:pt>
                <c:pt idx="27">
                  <c:v>3.0</c:v>
                </c:pt>
                <c:pt idx="28">
                  <c:v>3.0</c:v>
                </c:pt>
                <c:pt idx="29">
                  <c:v>3.0</c:v>
                </c:pt>
              </c:numCache>
            </c:numRef>
          </c:yVal>
          <c:smooth val="0"/>
        </c:ser>
        <c:ser>
          <c:idx val="5"/>
          <c:order val="3"/>
          <c:tx>
            <c:v>Vindeln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Betula_pendula!$B$126:$B$155</c:f>
              <c:numCache>
                <c:formatCode>m/d/yy</c:formatCode>
                <c:ptCount val="30"/>
              </c:numCache>
            </c:numRef>
          </c:xVal>
          <c:yVal>
            <c:numRef>
              <c:f>Betula_pendula!$BA$126:$BA$155</c:f>
              <c:numCache>
                <c:formatCode>0.0</c:formatCode>
                <c:ptCount val="30"/>
                <c:pt idx="0">
                  <c:v>3.0</c:v>
                </c:pt>
                <c:pt idx="1">
                  <c:v>3.0</c:v>
                </c:pt>
                <c:pt idx="2">
                  <c:v>3.0</c:v>
                </c:pt>
                <c:pt idx="3">
                  <c:v>3.0</c:v>
                </c:pt>
                <c:pt idx="4">
                  <c:v>3.0</c:v>
                </c:pt>
                <c:pt idx="5">
                  <c:v>3.0</c:v>
                </c:pt>
                <c:pt idx="6">
                  <c:v>3.0</c:v>
                </c:pt>
                <c:pt idx="7">
                  <c:v>3.0</c:v>
                </c:pt>
                <c:pt idx="8">
                  <c:v>3.0</c:v>
                </c:pt>
                <c:pt idx="9">
                  <c:v>3.0</c:v>
                </c:pt>
                <c:pt idx="10">
                  <c:v>3.0</c:v>
                </c:pt>
                <c:pt idx="11">
                  <c:v>3.0</c:v>
                </c:pt>
                <c:pt idx="12">
                  <c:v>3.0</c:v>
                </c:pt>
                <c:pt idx="13">
                  <c:v>3.0</c:v>
                </c:pt>
                <c:pt idx="14">
                  <c:v>3.0</c:v>
                </c:pt>
                <c:pt idx="15">
                  <c:v>3.0</c:v>
                </c:pt>
                <c:pt idx="16">
                  <c:v>3.0</c:v>
                </c:pt>
                <c:pt idx="17">
                  <c:v>3.0</c:v>
                </c:pt>
                <c:pt idx="18">
                  <c:v>3.0</c:v>
                </c:pt>
                <c:pt idx="19">
                  <c:v>3.0</c:v>
                </c:pt>
                <c:pt idx="20">
                  <c:v>3.0</c:v>
                </c:pt>
                <c:pt idx="21">
                  <c:v>3.0</c:v>
                </c:pt>
                <c:pt idx="22">
                  <c:v>3.0</c:v>
                </c:pt>
                <c:pt idx="23">
                  <c:v>3.0</c:v>
                </c:pt>
                <c:pt idx="24">
                  <c:v>3.0</c:v>
                </c:pt>
                <c:pt idx="25">
                  <c:v>3.0</c:v>
                </c:pt>
                <c:pt idx="26">
                  <c:v>3.0</c:v>
                </c:pt>
                <c:pt idx="27">
                  <c:v>3.0</c:v>
                </c:pt>
                <c:pt idx="28">
                  <c:v>3.0</c:v>
                </c:pt>
                <c:pt idx="29">
                  <c:v>3.0</c:v>
                </c:pt>
              </c:numCache>
            </c:numRef>
          </c:yVal>
          <c:smooth val="0"/>
        </c:ser>
        <c:ser>
          <c:idx val="1"/>
          <c:order val="4"/>
          <c:tx>
            <c:v>Tönnersjöheden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Betula_pendula!$B$66:$B$95</c:f>
              <c:numCache>
                <c:formatCode>m/d/yy</c:formatCode>
                <c:ptCount val="30"/>
                <c:pt idx="0">
                  <c:v>41022.0</c:v>
                </c:pt>
                <c:pt idx="1">
                  <c:v>41026.0</c:v>
                </c:pt>
                <c:pt idx="2">
                  <c:v>41031.0</c:v>
                </c:pt>
                <c:pt idx="3">
                  <c:v>41036.0</c:v>
                </c:pt>
                <c:pt idx="4">
                  <c:v>41039.0</c:v>
                </c:pt>
                <c:pt idx="5">
                  <c:v>41044.0</c:v>
                </c:pt>
                <c:pt idx="6">
                  <c:v>41053.0</c:v>
                </c:pt>
                <c:pt idx="7">
                  <c:v>41059.0</c:v>
                </c:pt>
                <c:pt idx="8">
                  <c:v>41073.0</c:v>
                </c:pt>
                <c:pt idx="9">
                  <c:v>41092.0</c:v>
                </c:pt>
              </c:numCache>
            </c:numRef>
          </c:xVal>
          <c:yVal>
            <c:numRef>
              <c:f>Betula_pendula!$BA$66:$BA$95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0.8</c:v>
                </c:pt>
                <c:pt idx="3">
                  <c:v>1.8</c:v>
                </c:pt>
                <c:pt idx="4">
                  <c:v>2.0</c:v>
                </c:pt>
                <c:pt idx="5">
                  <c:v>2.0</c:v>
                </c:pt>
                <c:pt idx="6">
                  <c:v>3.0</c:v>
                </c:pt>
                <c:pt idx="7">
                  <c:v>3.0</c:v>
                </c:pt>
                <c:pt idx="8">
                  <c:v>3.0</c:v>
                </c:pt>
                <c:pt idx="9">
                  <c:v>3.0</c:v>
                </c:pt>
                <c:pt idx="10">
                  <c:v>3.0</c:v>
                </c:pt>
                <c:pt idx="11">
                  <c:v>3.0</c:v>
                </c:pt>
                <c:pt idx="12">
                  <c:v>3.0</c:v>
                </c:pt>
                <c:pt idx="13">
                  <c:v>3.0</c:v>
                </c:pt>
                <c:pt idx="14">
                  <c:v>3.0</c:v>
                </c:pt>
                <c:pt idx="15">
                  <c:v>3.0</c:v>
                </c:pt>
                <c:pt idx="16">
                  <c:v>3.0</c:v>
                </c:pt>
                <c:pt idx="17">
                  <c:v>3.0</c:v>
                </c:pt>
                <c:pt idx="18">
                  <c:v>3.0</c:v>
                </c:pt>
                <c:pt idx="19">
                  <c:v>3.0</c:v>
                </c:pt>
                <c:pt idx="20">
                  <c:v>3.0</c:v>
                </c:pt>
                <c:pt idx="21">
                  <c:v>3.0</c:v>
                </c:pt>
                <c:pt idx="22">
                  <c:v>3.0</c:v>
                </c:pt>
                <c:pt idx="23">
                  <c:v>3.0</c:v>
                </c:pt>
                <c:pt idx="24">
                  <c:v>3.0</c:v>
                </c:pt>
                <c:pt idx="25">
                  <c:v>3.0</c:v>
                </c:pt>
                <c:pt idx="26">
                  <c:v>3.0</c:v>
                </c:pt>
                <c:pt idx="27">
                  <c:v>3.0</c:v>
                </c:pt>
                <c:pt idx="28">
                  <c:v>3.0</c:v>
                </c:pt>
                <c:pt idx="29">
                  <c:v>3.0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21200152"/>
        <c:axId val="-2120593752"/>
      </c:scatterChart>
      <c:valAx>
        <c:axId val="-2121200152"/>
        <c:scaling>
          <c:orientation val="minMax"/>
          <c:min val="41000.0"/>
        </c:scaling>
        <c:delete val="0"/>
        <c:axPos val="b"/>
        <c:numFmt formatCode="d\/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20593752"/>
        <c:crosses val="autoZero"/>
        <c:crossBetween val="midCat"/>
        <c:majorUnit val="7.0"/>
      </c:valAx>
      <c:valAx>
        <c:axId val="-21205937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Bedömd fas</a:t>
                </a:r>
              </a:p>
            </c:rich>
          </c:tx>
          <c:layout>
            <c:manualLayout>
              <c:xMode val="edge"/>
              <c:yMode val="edge"/>
              <c:x val="0.0263851512231857"/>
              <c:y val="0.22413900949297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21200152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7450980392157"/>
          <c:y val="0.0632183908045977"/>
          <c:w val="0.835784313725508"/>
          <c:h val="0.781609195402299"/>
        </c:manualLayout>
      </c:layout>
      <c:scatterChart>
        <c:scatterStyle val="lineMarker"/>
        <c:varyColors val="0"/>
        <c:ser>
          <c:idx val="2"/>
          <c:order val="0"/>
          <c:tx>
            <c:v>Årets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Betula_pendula!$BO$6:$BO$35</c:f>
              <c:numCache>
                <c:formatCode>0</c:formatCode>
                <c:ptCount val="30"/>
                <c:pt idx="0">
                  <c:v>124.0</c:v>
                </c:pt>
                <c:pt idx="1">
                  <c:v>132.0</c:v>
                </c:pt>
                <c:pt idx="2">
                  <c:v>139.0</c:v>
                </c:pt>
                <c:pt idx="3">
                  <c:v>145.0</c:v>
                </c:pt>
                <c:pt idx="4">
                  <c:v>151.0</c:v>
                </c:pt>
                <c:pt idx="5">
                  <c:v>160.0</c:v>
                </c:pt>
                <c:pt idx="6">
                  <c:v>222.0</c:v>
                </c:pt>
                <c:pt idx="7">
                  <c:v>219.0</c:v>
                </c:pt>
                <c:pt idx="8">
                  <c:v>237.0</c:v>
                </c:pt>
                <c:pt idx="9">
                  <c:v>244.0</c:v>
                </c:pt>
                <c:pt idx="10">
                  <c:v>251.0</c:v>
                </c:pt>
                <c:pt idx="11">
                  <c:v>258.0</c:v>
                </c:pt>
                <c:pt idx="12">
                  <c:v>264.0</c:v>
                </c:pt>
                <c:pt idx="13">
                  <c:v>272.0</c:v>
                </c:pt>
                <c:pt idx="14">
                  <c:v>278.0</c:v>
                </c:pt>
                <c:pt idx="15">
                  <c:v>285.0</c:v>
                </c:pt>
                <c:pt idx="16">
                  <c:v>293.0</c:v>
                </c:pt>
                <c:pt idx="17">
                  <c:v>300.0</c:v>
                </c:pt>
                <c:pt idx="18">
                  <c:v>305.0</c:v>
                </c:pt>
                <c:pt idx="19">
                  <c:v>314.0</c:v>
                </c:pt>
                <c:pt idx="20">
                  <c:v>314.0</c:v>
                </c:pt>
                <c:pt idx="21">
                  <c:v>314.0</c:v>
                </c:pt>
                <c:pt idx="22">
                  <c:v>314.0</c:v>
                </c:pt>
                <c:pt idx="23">
                  <c:v>314.0</c:v>
                </c:pt>
                <c:pt idx="24">
                  <c:v>314.0</c:v>
                </c:pt>
                <c:pt idx="25">
                  <c:v>314.0</c:v>
                </c:pt>
                <c:pt idx="26">
                  <c:v>314.0</c:v>
                </c:pt>
                <c:pt idx="27">
                  <c:v>314.0</c:v>
                </c:pt>
                <c:pt idx="28">
                  <c:v>314.0</c:v>
                </c:pt>
                <c:pt idx="29">
                  <c:v>314.0</c:v>
                </c:pt>
              </c:numCache>
            </c:numRef>
          </c:xVal>
          <c:yVal>
            <c:numRef>
              <c:f>Betula_pendula!$AZ$6:$AZ$35</c:f>
              <c:numCache>
                <c:formatCode>0.00</c:formatCode>
                <c:ptCount val="30"/>
                <c:pt idx="0">
                  <c:v>13.292</c:v>
                </c:pt>
                <c:pt idx="1">
                  <c:v>19.112</c:v>
                </c:pt>
                <c:pt idx="2">
                  <c:v>26.252</c:v>
                </c:pt>
                <c:pt idx="3">
                  <c:v>33.432</c:v>
                </c:pt>
                <c:pt idx="4">
                  <c:v>37.228</c:v>
                </c:pt>
                <c:pt idx="5">
                  <c:v>37.232</c:v>
                </c:pt>
                <c:pt idx="6">
                  <c:v>37.232</c:v>
                </c:pt>
                <c:pt idx="7">
                  <c:v>37.232</c:v>
                </c:pt>
                <c:pt idx="8">
                  <c:v>37.232</c:v>
                </c:pt>
                <c:pt idx="9">
                  <c:v>37.232</c:v>
                </c:pt>
                <c:pt idx="10">
                  <c:v>37.232</c:v>
                </c:pt>
                <c:pt idx="11">
                  <c:v>37.232</c:v>
                </c:pt>
                <c:pt idx="12">
                  <c:v>37.232</c:v>
                </c:pt>
                <c:pt idx="13">
                  <c:v>37.232</c:v>
                </c:pt>
                <c:pt idx="14">
                  <c:v>37.232</c:v>
                </c:pt>
                <c:pt idx="15">
                  <c:v>37.232</c:v>
                </c:pt>
                <c:pt idx="16">
                  <c:v>37.232</c:v>
                </c:pt>
                <c:pt idx="17">
                  <c:v>37.232</c:v>
                </c:pt>
                <c:pt idx="18">
                  <c:v>37.232</c:v>
                </c:pt>
                <c:pt idx="19">
                  <c:v>37.232</c:v>
                </c:pt>
                <c:pt idx="20">
                  <c:v>37.232</c:v>
                </c:pt>
                <c:pt idx="21">
                  <c:v>37.232</c:v>
                </c:pt>
                <c:pt idx="22">
                  <c:v>37.232</c:v>
                </c:pt>
                <c:pt idx="23">
                  <c:v>37.232</c:v>
                </c:pt>
                <c:pt idx="24">
                  <c:v>37.232</c:v>
                </c:pt>
                <c:pt idx="25">
                  <c:v>37.232</c:v>
                </c:pt>
                <c:pt idx="26">
                  <c:v>37.232</c:v>
                </c:pt>
                <c:pt idx="27">
                  <c:v>37.232</c:v>
                </c:pt>
                <c:pt idx="28">
                  <c:v>37.232</c:v>
                </c:pt>
              </c:numCache>
            </c:numRef>
          </c:yVal>
          <c:smooth val="0"/>
        </c:ser>
        <c:ser>
          <c:idx val="1"/>
          <c:order val="1"/>
          <c:tx>
            <c:v>2006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x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Betula_pendula!$CK$6:$CK$35</c:f>
              <c:numCache>
                <c:formatCode>0</c:formatCode>
                <c:ptCount val="30"/>
                <c:pt idx="0">
                  <c:v>123.0</c:v>
                </c:pt>
                <c:pt idx="1">
                  <c:v>124.0</c:v>
                </c:pt>
                <c:pt idx="2">
                  <c:v>128.0</c:v>
                </c:pt>
                <c:pt idx="3">
                  <c:v>130.0</c:v>
                </c:pt>
                <c:pt idx="4">
                  <c:v>132.0</c:v>
                </c:pt>
                <c:pt idx="5">
                  <c:v>135.0</c:v>
                </c:pt>
                <c:pt idx="6">
                  <c:v>137.0</c:v>
                </c:pt>
                <c:pt idx="7">
                  <c:v>139.0</c:v>
                </c:pt>
                <c:pt idx="8">
                  <c:v>142.0</c:v>
                </c:pt>
                <c:pt idx="9">
                  <c:v>144.0</c:v>
                </c:pt>
                <c:pt idx="10">
                  <c:v>146.0</c:v>
                </c:pt>
                <c:pt idx="11">
                  <c:v>149.0</c:v>
                </c:pt>
                <c:pt idx="12">
                  <c:v>151.0</c:v>
                </c:pt>
                <c:pt idx="13">
                  <c:v>153.0</c:v>
                </c:pt>
                <c:pt idx="14">
                  <c:v>156.0</c:v>
                </c:pt>
                <c:pt idx="15">
                  <c:v>163.0</c:v>
                </c:pt>
                <c:pt idx="16">
                  <c:v>244.0</c:v>
                </c:pt>
                <c:pt idx="17">
                  <c:v>250.0</c:v>
                </c:pt>
                <c:pt idx="18">
                  <c:v>258.0</c:v>
                </c:pt>
                <c:pt idx="19">
                  <c:v>264.0</c:v>
                </c:pt>
                <c:pt idx="20">
                  <c:v>272.0</c:v>
                </c:pt>
                <c:pt idx="21">
                  <c:v>279.0</c:v>
                </c:pt>
                <c:pt idx="22">
                  <c:v>286.0</c:v>
                </c:pt>
                <c:pt idx="23">
                  <c:v>293.0</c:v>
                </c:pt>
                <c:pt idx="24">
                  <c:v>300.0</c:v>
                </c:pt>
                <c:pt idx="25">
                  <c:v>306.0</c:v>
                </c:pt>
                <c:pt idx="26">
                  <c:v>314.0</c:v>
                </c:pt>
              </c:numCache>
            </c:numRef>
          </c:xVal>
          <c:yVal>
            <c:numRef>
              <c:f>Betula_pendula!$CL$6:$CL$35</c:f>
              <c:numCache>
                <c:formatCode>0.0</c:formatCode>
                <c:ptCount val="30"/>
                <c:pt idx="0">
                  <c:v>6.836</c:v>
                </c:pt>
                <c:pt idx="1">
                  <c:v>7.26</c:v>
                </c:pt>
                <c:pt idx="2">
                  <c:v>11.768</c:v>
                </c:pt>
                <c:pt idx="3">
                  <c:v>15.716</c:v>
                </c:pt>
                <c:pt idx="4">
                  <c:v>20.168</c:v>
                </c:pt>
                <c:pt idx="5">
                  <c:v>23.488</c:v>
                </c:pt>
                <c:pt idx="6">
                  <c:v>27.16</c:v>
                </c:pt>
                <c:pt idx="7">
                  <c:v>27.52933333333334</c:v>
                </c:pt>
                <c:pt idx="8">
                  <c:v>31.69333333333334</c:v>
                </c:pt>
                <c:pt idx="9">
                  <c:v>35.212</c:v>
                </c:pt>
                <c:pt idx="10">
                  <c:v>36.84</c:v>
                </c:pt>
                <c:pt idx="11">
                  <c:v>39.996</c:v>
                </c:pt>
                <c:pt idx="12">
                  <c:v>41.75066666666667</c:v>
                </c:pt>
                <c:pt idx="13">
                  <c:v>43.30666666666666</c:v>
                </c:pt>
                <c:pt idx="14">
                  <c:v>45.24733333333334</c:v>
                </c:pt>
                <c:pt idx="15">
                  <c:v>46.988</c:v>
                </c:pt>
              </c:numCache>
            </c:numRef>
          </c:yVal>
          <c:smooth val="0"/>
        </c:ser>
        <c:ser>
          <c:idx val="0"/>
          <c:order val="2"/>
          <c:tx>
            <c:v>2007</c:v>
          </c:tx>
          <c:spPr>
            <a:ln w="9525">
              <a:solidFill>
                <a:srgbClr val="FF0000"/>
              </a:solidFill>
            </a:ln>
          </c:spPr>
          <c:marker>
            <c:symbol val="square"/>
            <c:size val="4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Betula_pendula!$CG$6:$CG$27</c:f>
              <c:numCache>
                <c:formatCode>0</c:formatCode>
                <c:ptCount val="22"/>
                <c:pt idx="0">
                  <c:v>100.0</c:v>
                </c:pt>
                <c:pt idx="1">
                  <c:v>107.0</c:v>
                </c:pt>
                <c:pt idx="2">
                  <c:v>110.0</c:v>
                </c:pt>
                <c:pt idx="3">
                  <c:v>115.0</c:v>
                </c:pt>
                <c:pt idx="4">
                  <c:v>117.0</c:v>
                </c:pt>
                <c:pt idx="5">
                  <c:v>122.0</c:v>
                </c:pt>
                <c:pt idx="6">
                  <c:v>124.0</c:v>
                </c:pt>
                <c:pt idx="7">
                  <c:v>128.0</c:v>
                </c:pt>
                <c:pt idx="8">
                  <c:v>131.0</c:v>
                </c:pt>
                <c:pt idx="9">
                  <c:v>135.0</c:v>
                </c:pt>
                <c:pt idx="10">
                  <c:v>138.0</c:v>
                </c:pt>
                <c:pt idx="11">
                  <c:v>236.0</c:v>
                </c:pt>
                <c:pt idx="12">
                  <c:v>243.0</c:v>
                </c:pt>
                <c:pt idx="13">
                  <c:v>250.0</c:v>
                </c:pt>
                <c:pt idx="14">
                  <c:v>257.0</c:v>
                </c:pt>
                <c:pt idx="15">
                  <c:v>264.0</c:v>
                </c:pt>
                <c:pt idx="16">
                  <c:v>271.0</c:v>
                </c:pt>
                <c:pt idx="17">
                  <c:v>277.0</c:v>
                </c:pt>
                <c:pt idx="18">
                  <c:v>285.0</c:v>
                </c:pt>
                <c:pt idx="19">
                  <c:v>292.0</c:v>
                </c:pt>
                <c:pt idx="20">
                  <c:v>299.0</c:v>
                </c:pt>
                <c:pt idx="21">
                  <c:v>304.0</c:v>
                </c:pt>
              </c:numCache>
            </c:numRef>
          </c:xVal>
          <c:yVal>
            <c:numRef>
              <c:f>Betula_pendula!$CH$6:$CH$27</c:f>
              <c:numCache>
                <c:formatCode>General</c:formatCode>
                <c:ptCount val="22"/>
                <c:pt idx="0">
                  <c:v>5.272</c:v>
                </c:pt>
                <c:pt idx="1">
                  <c:v>5.624</c:v>
                </c:pt>
                <c:pt idx="2">
                  <c:v>5.564</c:v>
                </c:pt>
                <c:pt idx="3">
                  <c:v>7.883999999999999</c:v>
                </c:pt>
                <c:pt idx="4">
                  <c:v>8.664</c:v>
                </c:pt>
                <c:pt idx="5">
                  <c:v>12.188</c:v>
                </c:pt>
                <c:pt idx="6">
                  <c:v>13.544</c:v>
                </c:pt>
                <c:pt idx="7">
                  <c:v>17.56</c:v>
                </c:pt>
                <c:pt idx="8">
                  <c:v>18.764</c:v>
                </c:pt>
                <c:pt idx="9">
                  <c:v>21.556</c:v>
                </c:pt>
                <c:pt idx="10">
                  <c:v>23.688</c:v>
                </c:pt>
              </c:numCache>
            </c:numRef>
          </c:yVal>
          <c:smooth val="0"/>
        </c:ser>
        <c:ser>
          <c:idx val="3"/>
          <c:order val="3"/>
          <c:tx>
            <c:v>2008</c:v>
          </c:tx>
          <c:spPr>
            <a:ln w="9525">
              <a:solidFill>
                <a:srgbClr val="FF0000"/>
              </a:solidFill>
            </a:ln>
          </c:spPr>
          <c:marker>
            <c:symbol val="triangle"/>
            <c:size val="4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Betula_pendula!$CC$6:$CC$35</c:f>
              <c:numCache>
                <c:formatCode>0</c:formatCode>
                <c:ptCount val="30"/>
                <c:pt idx="0">
                  <c:v>102.0</c:v>
                </c:pt>
                <c:pt idx="1">
                  <c:v>109.0</c:v>
                </c:pt>
                <c:pt idx="2">
                  <c:v>116.0</c:v>
                </c:pt>
                <c:pt idx="3">
                  <c:v>123.0</c:v>
                </c:pt>
                <c:pt idx="4">
                  <c:v>130.0</c:v>
                </c:pt>
                <c:pt idx="5">
                  <c:v>137.0</c:v>
                </c:pt>
                <c:pt idx="6">
                  <c:v>144.0</c:v>
                </c:pt>
                <c:pt idx="7">
                  <c:v>151.0</c:v>
                </c:pt>
                <c:pt idx="8">
                  <c:v>171.0</c:v>
                </c:pt>
                <c:pt idx="9">
                  <c:v>179.0</c:v>
                </c:pt>
                <c:pt idx="10">
                  <c:v>189.0</c:v>
                </c:pt>
                <c:pt idx="11">
                  <c:v>235.0</c:v>
                </c:pt>
                <c:pt idx="12">
                  <c:v>242.0</c:v>
                </c:pt>
                <c:pt idx="13">
                  <c:v>249.0</c:v>
                </c:pt>
                <c:pt idx="14">
                  <c:v>259.0</c:v>
                </c:pt>
                <c:pt idx="15">
                  <c:v>263.0</c:v>
                </c:pt>
                <c:pt idx="16">
                  <c:v>270.0</c:v>
                </c:pt>
                <c:pt idx="17">
                  <c:v>277.0</c:v>
                </c:pt>
                <c:pt idx="18">
                  <c:v>284.0</c:v>
                </c:pt>
                <c:pt idx="19">
                  <c:v>290.0</c:v>
                </c:pt>
                <c:pt idx="20">
                  <c:v>297.0</c:v>
                </c:pt>
                <c:pt idx="21">
                  <c:v>305.0</c:v>
                </c:pt>
              </c:numCache>
            </c:numRef>
          </c:xVal>
          <c:yVal>
            <c:numRef>
              <c:f>Betula_pendula!$CD$6:$CD$35</c:f>
              <c:numCache>
                <c:formatCode>0.0</c:formatCode>
                <c:ptCount val="30"/>
                <c:pt idx="0">
                  <c:v>5.023999999999999</c:v>
                </c:pt>
                <c:pt idx="1">
                  <c:v>5.407999999999999</c:v>
                </c:pt>
                <c:pt idx="2">
                  <c:v>5.48</c:v>
                </c:pt>
                <c:pt idx="3">
                  <c:v>7.032</c:v>
                </c:pt>
                <c:pt idx="4">
                  <c:v>9.968</c:v>
                </c:pt>
                <c:pt idx="5">
                  <c:v>15.196</c:v>
                </c:pt>
                <c:pt idx="6">
                  <c:v>26.28</c:v>
                </c:pt>
                <c:pt idx="7">
                  <c:v>30.76270061728395</c:v>
                </c:pt>
                <c:pt idx="8">
                  <c:v>43.57041666666667</c:v>
                </c:pt>
              </c:numCache>
            </c:numRef>
          </c:yVal>
          <c:smooth val="0"/>
        </c:ser>
        <c:ser>
          <c:idx val="4"/>
          <c:order val="4"/>
          <c:tx>
            <c:v>2009</c:v>
          </c:tx>
          <c:spPr>
            <a:ln w="9525">
              <a:solidFill>
                <a:srgbClr val="FF0000"/>
              </a:solidFill>
            </a:ln>
          </c:spPr>
          <c:marker>
            <c:symbol val="diamond"/>
            <c:size val="4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Betula_pendula!$BY$6:$BY$35</c:f>
              <c:numCache>
                <c:formatCode>0</c:formatCode>
                <c:ptCount val="30"/>
                <c:pt idx="0">
                  <c:v>107.0</c:v>
                </c:pt>
                <c:pt idx="1">
                  <c:v>114.0</c:v>
                </c:pt>
                <c:pt idx="2">
                  <c:v>120.0</c:v>
                </c:pt>
                <c:pt idx="3">
                  <c:v>128.0</c:v>
                </c:pt>
                <c:pt idx="4">
                  <c:v>135.0</c:v>
                </c:pt>
                <c:pt idx="5">
                  <c:v>140.0</c:v>
                </c:pt>
                <c:pt idx="6">
                  <c:v>149.0</c:v>
                </c:pt>
                <c:pt idx="7">
                  <c:v>155.0</c:v>
                </c:pt>
                <c:pt idx="8">
                  <c:v>163.0</c:v>
                </c:pt>
                <c:pt idx="9">
                  <c:v>169.0</c:v>
                </c:pt>
                <c:pt idx="10">
                  <c:v>176.0</c:v>
                </c:pt>
                <c:pt idx="11">
                  <c:v>184.0</c:v>
                </c:pt>
                <c:pt idx="12">
                  <c:v>190.0</c:v>
                </c:pt>
                <c:pt idx="13">
                  <c:v>198.0</c:v>
                </c:pt>
                <c:pt idx="14">
                  <c:v>222.0</c:v>
                </c:pt>
                <c:pt idx="15">
                  <c:v>233.0</c:v>
                </c:pt>
                <c:pt idx="16">
                  <c:v>238.0</c:v>
                </c:pt>
                <c:pt idx="17">
                  <c:v>247.0</c:v>
                </c:pt>
                <c:pt idx="18">
                  <c:v>253.0</c:v>
                </c:pt>
                <c:pt idx="19">
                  <c:v>259.0</c:v>
                </c:pt>
                <c:pt idx="20">
                  <c:v>268.0</c:v>
                </c:pt>
                <c:pt idx="21">
                  <c:v>275.0</c:v>
                </c:pt>
                <c:pt idx="22">
                  <c:v>282.0</c:v>
                </c:pt>
                <c:pt idx="23">
                  <c:v>289.0</c:v>
                </c:pt>
                <c:pt idx="24">
                  <c:v>296.0</c:v>
                </c:pt>
                <c:pt idx="25">
                  <c:v>302.0</c:v>
                </c:pt>
              </c:numCache>
            </c:numRef>
          </c:xVal>
          <c:yVal>
            <c:numRef>
              <c:f>Betula_pendula!$BZ$6:$BZ$35</c:f>
              <c:numCache>
                <c:formatCode>0.0</c:formatCode>
                <c:ptCount val="30"/>
                <c:pt idx="0">
                  <c:v>4.94</c:v>
                </c:pt>
                <c:pt idx="1">
                  <c:v>5.505714285714285</c:v>
                </c:pt>
                <c:pt idx="2">
                  <c:v>10.96857142857143</c:v>
                </c:pt>
                <c:pt idx="3">
                  <c:v>16.44857142857143</c:v>
                </c:pt>
                <c:pt idx="4">
                  <c:v>22.29142857142857</c:v>
                </c:pt>
                <c:pt idx="5">
                  <c:v>28.98</c:v>
                </c:pt>
                <c:pt idx="6">
                  <c:v>41.736</c:v>
                </c:pt>
                <c:pt idx="7">
                  <c:v>43.16571428571428</c:v>
                </c:pt>
                <c:pt idx="8">
                  <c:v>43.416</c:v>
                </c:pt>
                <c:pt idx="9">
                  <c:v>41.91828571428571</c:v>
                </c:pt>
                <c:pt idx="10">
                  <c:v>45.79404761904762</c:v>
                </c:pt>
                <c:pt idx="11">
                  <c:v>45.88190476190476</c:v>
                </c:pt>
                <c:pt idx="12">
                  <c:v>46.39004285714286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8253464"/>
        <c:axId val="-2132557080"/>
      </c:scatterChart>
      <c:valAx>
        <c:axId val="-2118253464"/>
        <c:scaling>
          <c:orientation val="minMax"/>
          <c:min val="90.0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32557080"/>
        <c:crosses val="autoZero"/>
        <c:crossBetween val="midCat"/>
      </c:valAx>
      <c:valAx>
        <c:axId val="-21325570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Knopp/bladlängd, mm</a:t>
                </a:r>
              </a:p>
            </c:rich>
          </c:tx>
          <c:layout>
            <c:manualLayout>
              <c:xMode val="edge"/>
              <c:yMode val="edge"/>
              <c:x val="0.0124687264969074"/>
              <c:y val="0.17241491965403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8253464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7524382087927"/>
          <c:y val="0.232067530470152"/>
          <c:w val="0.155945422195636"/>
          <c:h val="0.57383971170801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689486552567"/>
          <c:y val="0.0632183908045977"/>
          <c:w val="0.860635696821552"/>
          <c:h val="0.781609195402299"/>
        </c:manualLayout>
      </c:layout>
      <c:scatterChart>
        <c:scatterStyle val="lineMarker"/>
        <c:varyColors val="0"/>
        <c:ser>
          <c:idx val="2"/>
          <c:order val="0"/>
          <c:tx>
            <c:v>Årets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Betula_pendula!$BO$6:$BO$35</c:f>
              <c:numCache>
                <c:formatCode>0</c:formatCode>
                <c:ptCount val="30"/>
                <c:pt idx="0">
                  <c:v>124.0</c:v>
                </c:pt>
                <c:pt idx="1">
                  <c:v>132.0</c:v>
                </c:pt>
                <c:pt idx="2">
                  <c:v>139.0</c:v>
                </c:pt>
                <c:pt idx="3">
                  <c:v>145.0</c:v>
                </c:pt>
                <c:pt idx="4">
                  <c:v>151.0</c:v>
                </c:pt>
                <c:pt idx="5">
                  <c:v>160.0</c:v>
                </c:pt>
                <c:pt idx="6">
                  <c:v>222.0</c:v>
                </c:pt>
                <c:pt idx="7">
                  <c:v>219.0</c:v>
                </c:pt>
                <c:pt idx="8">
                  <c:v>237.0</c:v>
                </c:pt>
                <c:pt idx="9">
                  <c:v>244.0</c:v>
                </c:pt>
                <c:pt idx="10">
                  <c:v>251.0</c:v>
                </c:pt>
                <c:pt idx="11">
                  <c:v>258.0</c:v>
                </c:pt>
                <c:pt idx="12">
                  <c:v>264.0</c:v>
                </c:pt>
                <c:pt idx="13">
                  <c:v>272.0</c:v>
                </c:pt>
                <c:pt idx="14">
                  <c:v>278.0</c:v>
                </c:pt>
                <c:pt idx="15">
                  <c:v>285.0</c:v>
                </c:pt>
                <c:pt idx="16">
                  <c:v>293.0</c:v>
                </c:pt>
                <c:pt idx="17">
                  <c:v>300.0</c:v>
                </c:pt>
                <c:pt idx="18">
                  <c:v>305.0</c:v>
                </c:pt>
                <c:pt idx="19">
                  <c:v>314.0</c:v>
                </c:pt>
                <c:pt idx="20">
                  <c:v>314.0</c:v>
                </c:pt>
                <c:pt idx="21">
                  <c:v>314.0</c:v>
                </c:pt>
                <c:pt idx="22">
                  <c:v>314.0</c:v>
                </c:pt>
                <c:pt idx="23">
                  <c:v>314.0</c:v>
                </c:pt>
                <c:pt idx="24">
                  <c:v>314.0</c:v>
                </c:pt>
                <c:pt idx="25">
                  <c:v>314.0</c:v>
                </c:pt>
                <c:pt idx="26">
                  <c:v>314.0</c:v>
                </c:pt>
                <c:pt idx="27">
                  <c:v>314.0</c:v>
                </c:pt>
                <c:pt idx="28">
                  <c:v>314.0</c:v>
                </c:pt>
                <c:pt idx="29">
                  <c:v>314.0</c:v>
                </c:pt>
              </c:numCache>
            </c:numRef>
          </c:xVal>
          <c:yVal>
            <c:numRef>
              <c:f>Betula_pendula!$BA$6:$BA$35</c:f>
              <c:numCache>
                <c:formatCode>0.0</c:formatCode>
                <c:ptCount val="30"/>
                <c:pt idx="0">
                  <c:v>1.4</c:v>
                </c:pt>
                <c:pt idx="1">
                  <c:v>1.8</c:v>
                </c:pt>
                <c:pt idx="2">
                  <c:v>2.0</c:v>
                </c:pt>
                <c:pt idx="3">
                  <c:v>2.0</c:v>
                </c:pt>
                <c:pt idx="4">
                  <c:v>2.0</c:v>
                </c:pt>
                <c:pt idx="5">
                  <c:v>3.0</c:v>
                </c:pt>
                <c:pt idx="6">
                  <c:v>4.0</c:v>
                </c:pt>
                <c:pt idx="7">
                  <c:v>4.0</c:v>
                </c:pt>
                <c:pt idx="8">
                  <c:v>4.0</c:v>
                </c:pt>
                <c:pt idx="9">
                  <c:v>4.0</c:v>
                </c:pt>
                <c:pt idx="10">
                  <c:v>4.8</c:v>
                </c:pt>
                <c:pt idx="11">
                  <c:v>5.0</c:v>
                </c:pt>
                <c:pt idx="12">
                  <c:v>5.6</c:v>
                </c:pt>
                <c:pt idx="13">
                  <c:v>6.0</c:v>
                </c:pt>
                <c:pt idx="14">
                  <c:v>6.0</c:v>
                </c:pt>
                <c:pt idx="15">
                  <c:v>7.0</c:v>
                </c:pt>
                <c:pt idx="16">
                  <c:v>7.0</c:v>
                </c:pt>
                <c:pt idx="17">
                  <c:v>7.4</c:v>
                </c:pt>
                <c:pt idx="18">
                  <c:v>7.6</c:v>
                </c:pt>
                <c:pt idx="19">
                  <c:v>8.0</c:v>
                </c:pt>
                <c:pt idx="20">
                  <c:v>8.0</c:v>
                </c:pt>
                <c:pt idx="21">
                  <c:v>8.0</c:v>
                </c:pt>
                <c:pt idx="22">
                  <c:v>8.0</c:v>
                </c:pt>
                <c:pt idx="23">
                  <c:v>8.0</c:v>
                </c:pt>
                <c:pt idx="24">
                  <c:v>8.0</c:v>
                </c:pt>
                <c:pt idx="25">
                  <c:v>8.0</c:v>
                </c:pt>
                <c:pt idx="26">
                  <c:v>8.0</c:v>
                </c:pt>
                <c:pt idx="27">
                  <c:v>8.0</c:v>
                </c:pt>
                <c:pt idx="28">
                  <c:v>8.0</c:v>
                </c:pt>
                <c:pt idx="29">
                  <c:v>8.0</c:v>
                </c:pt>
              </c:numCache>
            </c:numRef>
          </c:yVal>
          <c:smooth val="0"/>
        </c:ser>
        <c:ser>
          <c:idx val="1"/>
          <c:order val="1"/>
          <c:tx>
            <c:v>2006</c:v>
          </c:tx>
          <c:spPr>
            <a:ln w="9525">
              <a:solidFill>
                <a:srgbClr val="FF0000"/>
              </a:solidFill>
              <a:prstDash val="solid"/>
            </a:ln>
          </c:spPr>
          <c:marker>
            <c:symbol val="x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Betula_pendula!$CK$6:$CK$35</c:f>
              <c:numCache>
                <c:formatCode>0</c:formatCode>
                <c:ptCount val="30"/>
                <c:pt idx="0">
                  <c:v>123.0</c:v>
                </c:pt>
                <c:pt idx="1">
                  <c:v>124.0</c:v>
                </c:pt>
                <c:pt idx="2">
                  <c:v>128.0</c:v>
                </c:pt>
                <c:pt idx="3">
                  <c:v>130.0</c:v>
                </c:pt>
                <c:pt idx="4">
                  <c:v>132.0</c:v>
                </c:pt>
                <c:pt idx="5">
                  <c:v>135.0</c:v>
                </c:pt>
                <c:pt idx="6">
                  <c:v>137.0</c:v>
                </c:pt>
                <c:pt idx="7">
                  <c:v>139.0</c:v>
                </c:pt>
                <c:pt idx="8">
                  <c:v>142.0</c:v>
                </c:pt>
                <c:pt idx="9">
                  <c:v>144.0</c:v>
                </c:pt>
                <c:pt idx="10">
                  <c:v>146.0</c:v>
                </c:pt>
                <c:pt idx="11">
                  <c:v>149.0</c:v>
                </c:pt>
                <c:pt idx="12">
                  <c:v>151.0</c:v>
                </c:pt>
                <c:pt idx="13">
                  <c:v>153.0</c:v>
                </c:pt>
                <c:pt idx="14">
                  <c:v>156.0</c:v>
                </c:pt>
                <c:pt idx="15">
                  <c:v>163.0</c:v>
                </c:pt>
                <c:pt idx="16">
                  <c:v>244.0</c:v>
                </c:pt>
                <c:pt idx="17">
                  <c:v>250.0</c:v>
                </c:pt>
                <c:pt idx="18">
                  <c:v>258.0</c:v>
                </c:pt>
                <c:pt idx="19">
                  <c:v>264.0</c:v>
                </c:pt>
                <c:pt idx="20">
                  <c:v>272.0</c:v>
                </c:pt>
                <c:pt idx="21">
                  <c:v>279.0</c:v>
                </c:pt>
                <c:pt idx="22">
                  <c:v>286.0</c:v>
                </c:pt>
                <c:pt idx="23">
                  <c:v>293.0</c:v>
                </c:pt>
                <c:pt idx="24">
                  <c:v>300.0</c:v>
                </c:pt>
                <c:pt idx="25">
                  <c:v>306.0</c:v>
                </c:pt>
                <c:pt idx="26">
                  <c:v>314.0</c:v>
                </c:pt>
              </c:numCache>
            </c:numRef>
          </c:xVal>
          <c:yVal>
            <c:numRef>
              <c:f>Betula_pendula!$CM$6:$CM$35</c:f>
              <c:numCache>
                <c:formatCode>General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0.4</c:v>
                </c:pt>
                <c:pt idx="3">
                  <c:v>1.0</c:v>
                </c:pt>
                <c:pt idx="4">
                  <c:v>2.0</c:v>
                </c:pt>
                <c:pt idx="5">
                  <c:v>2.0</c:v>
                </c:pt>
                <c:pt idx="6">
                  <c:v>2.0</c:v>
                </c:pt>
                <c:pt idx="7">
                  <c:v>2.0</c:v>
                </c:pt>
                <c:pt idx="8">
                  <c:v>3.0</c:v>
                </c:pt>
                <c:pt idx="9">
                  <c:v>3.0</c:v>
                </c:pt>
                <c:pt idx="10">
                  <c:v>3.0</c:v>
                </c:pt>
                <c:pt idx="11">
                  <c:v>3.0</c:v>
                </c:pt>
                <c:pt idx="12">
                  <c:v>3.0</c:v>
                </c:pt>
                <c:pt idx="13">
                  <c:v>3.0</c:v>
                </c:pt>
                <c:pt idx="14">
                  <c:v>3.0</c:v>
                </c:pt>
                <c:pt idx="15">
                  <c:v>3.0</c:v>
                </c:pt>
                <c:pt idx="16">
                  <c:v>4.0</c:v>
                </c:pt>
                <c:pt idx="17">
                  <c:v>4.0</c:v>
                </c:pt>
                <c:pt idx="18">
                  <c:v>4.2</c:v>
                </c:pt>
                <c:pt idx="19">
                  <c:v>4.2</c:v>
                </c:pt>
                <c:pt idx="20">
                  <c:v>4.6</c:v>
                </c:pt>
                <c:pt idx="21">
                  <c:v>5.2</c:v>
                </c:pt>
                <c:pt idx="22">
                  <c:v>5.6</c:v>
                </c:pt>
                <c:pt idx="23">
                  <c:v>7.2</c:v>
                </c:pt>
                <c:pt idx="24">
                  <c:v>7.6</c:v>
                </c:pt>
                <c:pt idx="25">
                  <c:v>7.6</c:v>
                </c:pt>
                <c:pt idx="26">
                  <c:v>8.0</c:v>
                </c:pt>
              </c:numCache>
            </c:numRef>
          </c:yVal>
          <c:smooth val="0"/>
        </c:ser>
        <c:ser>
          <c:idx val="0"/>
          <c:order val="2"/>
          <c:spPr>
            <a:ln w="9525">
              <a:solidFill>
                <a:srgbClr val="FF0000"/>
              </a:solidFill>
            </a:ln>
          </c:spPr>
          <c:marker>
            <c:symbol val="square"/>
            <c:size val="4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Betula_pendula!$CG$6:$CG$27</c:f>
              <c:numCache>
                <c:formatCode>0</c:formatCode>
                <c:ptCount val="22"/>
                <c:pt idx="0">
                  <c:v>100.0</c:v>
                </c:pt>
                <c:pt idx="1">
                  <c:v>107.0</c:v>
                </c:pt>
                <c:pt idx="2">
                  <c:v>110.0</c:v>
                </c:pt>
                <c:pt idx="3">
                  <c:v>115.0</c:v>
                </c:pt>
                <c:pt idx="4">
                  <c:v>117.0</c:v>
                </c:pt>
                <c:pt idx="5">
                  <c:v>122.0</c:v>
                </c:pt>
                <c:pt idx="6">
                  <c:v>124.0</c:v>
                </c:pt>
                <c:pt idx="7">
                  <c:v>128.0</c:v>
                </c:pt>
                <c:pt idx="8">
                  <c:v>131.0</c:v>
                </c:pt>
                <c:pt idx="9">
                  <c:v>135.0</c:v>
                </c:pt>
                <c:pt idx="10">
                  <c:v>138.0</c:v>
                </c:pt>
                <c:pt idx="11">
                  <c:v>236.0</c:v>
                </c:pt>
                <c:pt idx="12">
                  <c:v>243.0</c:v>
                </c:pt>
                <c:pt idx="13">
                  <c:v>250.0</c:v>
                </c:pt>
                <c:pt idx="14">
                  <c:v>257.0</c:v>
                </c:pt>
                <c:pt idx="15">
                  <c:v>264.0</c:v>
                </c:pt>
                <c:pt idx="16">
                  <c:v>271.0</c:v>
                </c:pt>
                <c:pt idx="17">
                  <c:v>277.0</c:v>
                </c:pt>
                <c:pt idx="18">
                  <c:v>285.0</c:v>
                </c:pt>
                <c:pt idx="19">
                  <c:v>292.0</c:v>
                </c:pt>
                <c:pt idx="20">
                  <c:v>299.0</c:v>
                </c:pt>
                <c:pt idx="21">
                  <c:v>304.0</c:v>
                </c:pt>
              </c:numCache>
            </c:numRef>
          </c:xVal>
          <c:yVal>
            <c:numRef>
              <c:f>Betula_pendula!$CI$6:$CI$27</c:f>
              <c:numCache>
                <c:formatCode>0.0</c:formatCode>
                <c:ptCount val="22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0.2</c:v>
                </c:pt>
                <c:pt idx="4">
                  <c:v>0.2</c:v>
                </c:pt>
                <c:pt idx="5">
                  <c:v>1.2</c:v>
                </c:pt>
                <c:pt idx="6">
                  <c:v>1.2</c:v>
                </c:pt>
                <c:pt idx="7">
                  <c:v>2.0</c:v>
                </c:pt>
                <c:pt idx="8">
                  <c:v>2.0</c:v>
                </c:pt>
                <c:pt idx="9">
                  <c:v>2.0</c:v>
                </c:pt>
                <c:pt idx="10">
                  <c:v>3.0</c:v>
                </c:pt>
                <c:pt idx="11">
                  <c:v>4.0</c:v>
                </c:pt>
                <c:pt idx="12">
                  <c:v>4.0</c:v>
                </c:pt>
                <c:pt idx="13">
                  <c:v>4.0</c:v>
                </c:pt>
                <c:pt idx="14">
                  <c:v>4.0</c:v>
                </c:pt>
                <c:pt idx="15">
                  <c:v>4.2</c:v>
                </c:pt>
                <c:pt idx="16">
                  <c:v>4.8</c:v>
                </c:pt>
                <c:pt idx="17">
                  <c:v>5.0</c:v>
                </c:pt>
                <c:pt idx="18">
                  <c:v>5.0</c:v>
                </c:pt>
                <c:pt idx="19">
                  <c:v>7.0</c:v>
                </c:pt>
                <c:pt idx="20">
                  <c:v>7.0</c:v>
                </c:pt>
                <c:pt idx="21">
                  <c:v>8.0</c:v>
                </c:pt>
              </c:numCache>
            </c:numRef>
          </c:yVal>
          <c:smooth val="0"/>
        </c:ser>
        <c:ser>
          <c:idx val="3"/>
          <c:order val="3"/>
          <c:tx>
            <c:v>2008</c:v>
          </c:tx>
          <c:spPr>
            <a:ln w="9525">
              <a:solidFill>
                <a:srgbClr val="FF0000"/>
              </a:solidFill>
            </a:ln>
          </c:spPr>
          <c:marker>
            <c:symbol val="triangle"/>
            <c:size val="4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Betula_pendula!$CC$6:$CC$35</c:f>
              <c:numCache>
                <c:formatCode>0</c:formatCode>
                <c:ptCount val="30"/>
                <c:pt idx="0">
                  <c:v>102.0</c:v>
                </c:pt>
                <c:pt idx="1">
                  <c:v>109.0</c:v>
                </c:pt>
                <c:pt idx="2">
                  <c:v>116.0</c:v>
                </c:pt>
                <c:pt idx="3">
                  <c:v>123.0</c:v>
                </c:pt>
                <c:pt idx="4">
                  <c:v>130.0</c:v>
                </c:pt>
                <c:pt idx="5">
                  <c:v>137.0</c:v>
                </c:pt>
                <c:pt idx="6">
                  <c:v>144.0</c:v>
                </c:pt>
                <c:pt idx="7">
                  <c:v>151.0</c:v>
                </c:pt>
                <c:pt idx="8">
                  <c:v>171.0</c:v>
                </c:pt>
                <c:pt idx="9">
                  <c:v>179.0</c:v>
                </c:pt>
                <c:pt idx="10">
                  <c:v>189.0</c:v>
                </c:pt>
                <c:pt idx="11">
                  <c:v>235.0</c:v>
                </c:pt>
                <c:pt idx="12">
                  <c:v>242.0</c:v>
                </c:pt>
                <c:pt idx="13">
                  <c:v>249.0</c:v>
                </c:pt>
                <c:pt idx="14">
                  <c:v>259.0</c:v>
                </c:pt>
                <c:pt idx="15">
                  <c:v>263.0</c:v>
                </c:pt>
                <c:pt idx="16">
                  <c:v>270.0</c:v>
                </c:pt>
                <c:pt idx="17">
                  <c:v>277.0</c:v>
                </c:pt>
                <c:pt idx="18">
                  <c:v>284.0</c:v>
                </c:pt>
                <c:pt idx="19">
                  <c:v>290.0</c:v>
                </c:pt>
                <c:pt idx="20">
                  <c:v>297.0</c:v>
                </c:pt>
                <c:pt idx="21">
                  <c:v>305.0</c:v>
                </c:pt>
              </c:numCache>
            </c:numRef>
          </c:xVal>
          <c:yVal>
            <c:numRef>
              <c:f>Betula_pendula!$CE$6:$CE$35</c:f>
              <c:numCache>
                <c:formatCode>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0.2</c:v>
                </c:pt>
                <c:pt idx="4">
                  <c:v>1.0</c:v>
                </c:pt>
                <c:pt idx="5">
                  <c:v>3.0</c:v>
                </c:pt>
                <c:pt idx="6">
                  <c:v>3.0</c:v>
                </c:pt>
                <c:pt idx="7">
                  <c:v>3.0</c:v>
                </c:pt>
                <c:pt idx="8">
                  <c:v>3.0</c:v>
                </c:pt>
                <c:pt idx="9">
                  <c:v>3.0</c:v>
                </c:pt>
                <c:pt idx="10">
                  <c:v>3.0</c:v>
                </c:pt>
                <c:pt idx="11">
                  <c:v>4.0</c:v>
                </c:pt>
                <c:pt idx="12">
                  <c:v>4.0</c:v>
                </c:pt>
                <c:pt idx="13">
                  <c:v>4.0</c:v>
                </c:pt>
                <c:pt idx="14">
                  <c:v>4.6</c:v>
                </c:pt>
                <c:pt idx="15">
                  <c:v>4.6</c:v>
                </c:pt>
                <c:pt idx="16">
                  <c:v>5.2</c:v>
                </c:pt>
                <c:pt idx="17">
                  <c:v>6.2</c:v>
                </c:pt>
                <c:pt idx="18">
                  <c:v>7.0</c:v>
                </c:pt>
                <c:pt idx="19">
                  <c:v>7.0</c:v>
                </c:pt>
                <c:pt idx="20">
                  <c:v>7.0</c:v>
                </c:pt>
                <c:pt idx="21">
                  <c:v>8.0</c:v>
                </c:pt>
              </c:numCache>
            </c:numRef>
          </c:yVal>
          <c:smooth val="0"/>
        </c:ser>
        <c:ser>
          <c:idx val="4"/>
          <c:order val="4"/>
          <c:tx>
            <c:v>2009</c:v>
          </c:tx>
          <c:spPr>
            <a:ln w="9525">
              <a:solidFill>
                <a:srgbClr val="FF0000"/>
              </a:solidFill>
            </a:ln>
          </c:spPr>
          <c:marker>
            <c:symbol val="diamond"/>
            <c:size val="4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Betula_pendula!$BY$6:$BY$35</c:f>
              <c:numCache>
                <c:formatCode>0</c:formatCode>
                <c:ptCount val="30"/>
                <c:pt idx="0">
                  <c:v>107.0</c:v>
                </c:pt>
                <c:pt idx="1">
                  <c:v>114.0</c:v>
                </c:pt>
                <c:pt idx="2">
                  <c:v>120.0</c:v>
                </c:pt>
                <c:pt idx="3">
                  <c:v>128.0</c:v>
                </c:pt>
                <c:pt idx="4">
                  <c:v>135.0</c:v>
                </c:pt>
                <c:pt idx="5">
                  <c:v>140.0</c:v>
                </c:pt>
                <c:pt idx="6">
                  <c:v>149.0</c:v>
                </c:pt>
                <c:pt idx="7">
                  <c:v>155.0</c:v>
                </c:pt>
                <c:pt idx="8">
                  <c:v>163.0</c:v>
                </c:pt>
                <c:pt idx="9">
                  <c:v>169.0</c:v>
                </c:pt>
                <c:pt idx="10">
                  <c:v>176.0</c:v>
                </c:pt>
                <c:pt idx="11">
                  <c:v>184.0</c:v>
                </c:pt>
                <c:pt idx="12">
                  <c:v>190.0</c:v>
                </c:pt>
                <c:pt idx="13">
                  <c:v>198.0</c:v>
                </c:pt>
                <c:pt idx="14">
                  <c:v>222.0</c:v>
                </c:pt>
                <c:pt idx="15">
                  <c:v>233.0</c:v>
                </c:pt>
                <c:pt idx="16">
                  <c:v>238.0</c:v>
                </c:pt>
                <c:pt idx="17">
                  <c:v>247.0</c:v>
                </c:pt>
                <c:pt idx="18">
                  <c:v>253.0</c:v>
                </c:pt>
                <c:pt idx="19">
                  <c:v>259.0</c:v>
                </c:pt>
                <c:pt idx="20">
                  <c:v>268.0</c:v>
                </c:pt>
                <c:pt idx="21">
                  <c:v>275.0</c:v>
                </c:pt>
                <c:pt idx="22">
                  <c:v>282.0</c:v>
                </c:pt>
                <c:pt idx="23">
                  <c:v>289.0</c:v>
                </c:pt>
                <c:pt idx="24">
                  <c:v>296.0</c:v>
                </c:pt>
                <c:pt idx="25">
                  <c:v>302.0</c:v>
                </c:pt>
              </c:numCache>
            </c:numRef>
          </c:xVal>
          <c:yVal>
            <c:numRef>
              <c:f>Betula_pendula!$CA$6:$CA$35</c:f>
              <c:numCache>
                <c:formatCode>0.0</c:formatCode>
                <c:ptCount val="30"/>
                <c:pt idx="0">
                  <c:v>0.0</c:v>
                </c:pt>
                <c:pt idx="1">
                  <c:v>0.2</c:v>
                </c:pt>
                <c:pt idx="2">
                  <c:v>1.0</c:v>
                </c:pt>
                <c:pt idx="3">
                  <c:v>1.2</c:v>
                </c:pt>
                <c:pt idx="4">
                  <c:v>2.0</c:v>
                </c:pt>
                <c:pt idx="5">
                  <c:v>2.0</c:v>
                </c:pt>
                <c:pt idx="6">
                  <c:v>3.0</c:v>
                </c:pt>
                <c:pt idx="7">
                  <c:v>3.0</c:v>
                </c:pt>
                <c:pt idx="8">
                  <c:v>3.0</c:v>
                </c:pt>
                <c:pt idx="9">
                  <c:v>3.0</c:v>
                </c:pt>
                <c:pt idx="10">
                  <c:v>3.0</c:v>
                </c:pt>
                <c:pt idx="11">
                  <c:v>3.0</c:v>
                </c:pt>
                <c:pt idx="12">
                  <c:v>3.0</c:v>
                </c:pt>
                <c:pt idx="13">
                  <c:v>3.0</c:v>
                </c:pt>
                <c:pt idx="14">
                  <c:v>3.2</c:v>
                </c:pt>
                <c:pt idx="15">
                  <c:v>4.0</c:v>
                </c:pt>
                <c:pt idx="16">
                  <c:v>4.0</c:v>
                </c:pt>
                <c:pt idx="17">
                  <c:v>4.0</c:v>
                </c:pt>
                <c:pt idx="18">
                  <c:v>4.0</c:v>
                </c:pt>
                <c:pt idx="19">
                  <c:v>4.0</c:v>
                </c:pt>
                <c:pt idx="20">
                  <c:v>4.6</c:v>
                </c:pt>
                <c:pt idx="21">
                  <c:v>6.2</c:v>
                </c:pt>
                <c:pt idx="22">
                  <c:v>6.2</c:v>
                </c:pt>
                <c:pt idx="23">
                  <c:v>6.6</c:v>
                </c:pt>
                <c:pt idx="24">
                  <c:v>6.6</c:v>
                </c:pt>
                <c:pt idx="25">
                  <c:v>7.0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7099912"/>
        <c:axId val="-2118230168"/>
      </c:scatterChart>
      <c:valAx>
        <c:axId val="-2117099912"/>
        <c:scaling>
          <c:orientation val="minMax"/>
          <c:min val="90.0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8230168"/>
        <c:crosses val="autoZero"/>
        <c:crossBetween val="midCat"/>
      </c:valAx>
      <c:valAx>
        <c:axId val="-2118230168"/>
        <c:scaling>
          <c:orientation val="minMax"/>
          <c:max val="9.0"/>
          <c:min val="0.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Bedömd fas</a:t>
                </a:r>
              </a:p>
            </c:rich>
          </c:tx>
          <c:layout>
            <c:manualLayout>
              <c:xMode val="edge"/>
              <c:yMode val="edge"/>
              <c:x val="0.0124687235107285"/>
              <c:y val="0.2988521213329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7099912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7665369649806"/>
          <c:y val="0.333333333333333"/>
          <c:w val="0.155642023346305"/>
          <c:h val="0.5232067510548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231920199501"/>
          <c:y val="0.0632183908045977"/>
          <c:w val="0.855361596009976"/>
          <c:h val="0.781609195402299"/>
        </c:manualLayout>
      </c:layout>
      <c:scatterChart>
        <c:scatterStyle val="lineMarker"/>
        <c:varyColors val="0"/>
        <c:ser>
          <c:idx val="2"/>
          <c:order val="0"/>
          <c:tx>
            <c:v>Årets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triangle"/>
            <c:size val="4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Betula_pendula!$BO$36:$BO$65</c:f>
              <c:numCache>
                <c:formatCode>0</c:formatCode>
                <c:ptCount val="30"/>
                <c:pt idx="0">
                  <c:v>87.0</c:v>
                </c:pt>
                <c:pt idx="1">
                  <c:v>129.0</c:v>
                </c:pt>
                <c:pt idx="2">
                  <c:v>133.0</c:v>
                </c:pt>
                <c:pt idx="3">
                  <c:v>138.0</c:v>
                </c:pt>
                <c:pt idx="4">
                  <c:v>142.0</c:v>
                </c:pt>
                <c:pt idx="5">
                  <c:v>146.0</c:v>
                </c:pt>
                <c:pt idx="6">
                  <c:v>150.0</c:v>
                </c:pt>
                <c:pt idx="7">
                  <c:v>153.0</c:v>
                </c:pt>
                <c:pt idx="8">
                  <c:v>159.0</c:v>
                </c:pt>
                <c:pt idx="9">
                  <c:v>166.0</c:v>
                </c:pt>
                <c:pt idx="10">
                  <c:v>173.0</c:v>
                </c:pt>
                <c:pt idx="11">
                  <c:v>181.0</c:v>
                </c:pt>
                <c:pt idx="12">
                  <c:v>233.0</c:v>
                </c:pt>
                <c:pt idx="13">
                  <c:v>250.0</c:v>
                </c:pt>
                <c:pt idx="14">
                  <c:v>262.0</c:v>
                </c:pt>
                <c:pt idx="15">
                  <c:v>269.0</c:v>
                </c:pt>
                <c:pt idx="16">
                  <c:v>272.0</c:v>
                </c:pt>
                <c:pt idx="17">
                  <c:v>282.0</c:v>
                </c:pt>
                <c:pt idx="18">
                  <c:v>289.0</c:v>
                </c:pt>
                <c:pt idx="19">
                  <c:v>296.0</c:v>
                </c:pt>
                <c:pt idx="20">
                  <c:v>296.0</c:v>
                </c:pt>
                <c:pt idx="21">
                  <c:v>296.0</c:v>
                </c:pt>
                <c:pt idx="22">
                  <c:v>296.0</c:v>
                </c:pt>
                <c:pt idx="23">
                  <c:v>296.0</c:v>
                </c:pt>
                <c:pt idx="24">
                  <c:v>296.0</c:v>
                </c:pt>
                <c:pt idx="25">
                  <c:v>296.0</c:v>
                </c:pt>
                <c:pt idx="26">
                  <c:v>296.0</c:v>
                </c:pt>
                <c:pt idx="27">
                  <c:v>296.0</c:v>
                </c:pt>
                <c:pt idx="28">
                  <c:v>296.0</c:v>
                </c:pt>
                <c:pt idx="29">
                  <c:v>296.0</c:v>
                </c:pt>
              </c:numCache>
            </c:numRef>
          </c:xVal>
          <c:yVal>
            <c:numRef>
              <c:f>Betula_pendula!$AZ$36:$AZ$65</c:f>
              <c:numCache>
                <c:formatCode>0.00</c:formatCode>
                <c:ptCount val="30"/>
                <c:pt idx="0">
                  <c:v>5.465714285714285</c:v>
                </c:pt>
                <c:pt idx="1">
                  <c:v>7.594285714285713</c:v>
                </c:pt>
                <c:pt idx="2">
                  <c:v>9.834285714285714</c:v>
                </c:pt>
                <c:pt idx="3">
                  <c:v>13.67428571428572</c:v>
                </c:pt>
                <c:pt idx="4">
                  <c:v>18.75238095238096</c:v>
                </c:pt>
                <c:pt idx="5">
                  <c:v>30.83142857142857</c:v>
                </c:pt>
                <c:pt idx="6">
                  <c:v>39.53714285714286</c:v>
                </c:pt>
                <c:pt idx="7">
                  <c:v>41.41428571428571</c:v>
                </c:pt>
                <c:pt idx="8">
                  <c:v>41.58</c:v>
                </c:pt>
                <c:pt idx="9">
                  <c:v>42.48285714285715</c:v>
                </c:pt>
                <c:pt idx="10">
                  <c:v>43.16571428571429</c:v>
                </c:pt>
                <c:pt idx="11">
                  <c:v>43.16285714285714</c:v>
                </c:pt>
                <c:pt idx="12">
                  <c:v>43.16285714285714</c:v>
                </c:pt>
                <c:pt idx="13">
                  <c:v>43.16285714285714</c:v>
                </c:pt>
                <c:pt idx="14">
                  <c:v>43.16285714285714</c:v>
                </c:pt>
                <c:pt idx="15">
                  <c:v>43.16285714285714</c:v>
                </c:pt>
                <c:pt idx="16">
                  <c:v>43.16285714285714</c:v>
                </c:pt>
                <c:pt idx="17">
                  <c:v>43.16285714285714</c:v>
                </c:pt>
                <c:pt idx="18">
                  <c:v>43.16285714285714</c:v>
                </c:pt>
                <c:pt idx="19">
                  <c:v>43.16285714285714</c:v>
                </c:pt>
                <c:pt idx="20">
                  <c:v>43.16285714285714</c:v>
                </c:pt>
                <c:pt idx="21">
                  <c:v>43.16285714285714</c:v>
                </c:pt>
                <c:pt idx="22">
                  <c:v>43.16285714285714</c:v>
                </c:pt>
                <c:pt idx="23">
                  <c:v>43.16285714285714</c:v>
                </c:pt>
                <c:pt idx="24">
                  <c:v>43.16285714285714</c:v>
                </c:pt>
                <c:pt idx="25">
                  <c:v>43.16285714285714</c:v>
                </c:pt>
                <c:pt idx="26">
                  <c:v>43.16285714285714</c:v>
                </c:pt>
                <c:pt idx="27">
                  <c:v>43.16285714285714</c:v>
                </c:pt>
                <c:pt idx="28">
                  <c:v>43.16285714285714</c:v>
                </c:pt>
              </c:numCache>
            </c:numRef>
          </c:yVal>
          <c:smooth val="0"/>
        </c:ser>
        <c:ser>
          <c:idx val="1"/>
          <c:order val="1"/>
          <c:tx>
            <c:v>2006</c:v>
          </c:tx>
          <c:spPr>
            <a:ln w="9525">
              <a:solidFill>
                <a:srgbClr val="008000"/>
              </a:solidFill>
              <a:prstDash val="solid"/>
            </a:ln>
          </c:spPr>
          <c:marker>
            <c:symbol val="x"/>
            <c:size val="4"/>
            <c:spPr>
              <a:noFill/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Betula_pendula!$CK$36:$CK$65</c:f>
              <c:numCache>
                <c:formatCode>0</c:formatCode>
                <c:ptCount val="30"/>
                <c:pt idx="0">
                  <c:v>130.0</c:v>
                </c:pt>
                <c:pt idx="1">
                  <c:v>132.0</c:v>
                </c:pt>
                <c:pt idx="2">
                  <c:v>135.0</c:v>
                </c:pt>
                <c:pt idx="3">
                  <c:v>139.0</c:v>
                </c:pt>
                <c:pt idx="4">
                  <c:v>142.0</c:v>
                </c:pt>
                <c:pt idx="5">
                  <c:v>144.0</c:v>
                </c:pt>
                <c:pt idx="6">
                  <c:v>149.0</c:v>
                </c:pt>
                <c:pt idx="7">
                  <c:v>153.0</c:v>
                </c:pt>
                <c:pt idx="8">
                  <c:v>156.0</c:v>
                </c:pt>
              </c:numCache>
            </c:numRef>
          </c:xVal>
          <c:yVal>
            <c:numRef>
              <c:f>Betula_pendula!$CL$36:$CL$65</c:f>
              <c:numCache>
                <c:formatCode>General</c:formatCode>
                <c:ptCount val="30"/>
                <c:pt idx="0">
                  <c:v>12.204</c:v>
                </c:pt>
                <c:pt idx="1">
                  <c:v>14.16</c:v>
                </c:pt>
                <c:pt idx="2">
                  <c:v>16.156</c:v>
                </c:pt>
                <c:pt idx="3">
                  <c:v>18.38</c:v>
                </c:pt>
                <c:pt idx="4">
                  <c:v>21.016</c:v>
                </c:pt>
                <c:pt idx="5">
                  <c:v>23.588</c:v>
                </c:pt>
                <c:pt idx="6">
                  <c:v>29.3</c:v>
                </c:pt>
                <c:pt idx="7">
                  <c:v>33.852</c:v>
                </c:pt>
                <c:pt idx="8">
                  <c:v>39.948</c:v>
                </c:pt>
              </c:numCache>
            </c:numRef>
          </c:yVal>
          <c:smooth val="0"/>
        </c:ser>
        <c:ser>
          <c:idx val="0"/>
          <c:order val="2"/>
          <c:tx>
            <c:v>2007</c:v>
          </c:tx>
          <c:spPr>
            <a:ln w="9525">
              <a:solidFill>
                <a:srgbClr val="00B050"/>
              </a:solidFill>
            </a:ln>
          </c:spPr>
          <c:marker>
            <c:symbol val="triangle"/>
            <c:size val="5"/>
            <c:spPr>
              <a:solidFill>
                <a:srgbClr val="FFFFFF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Betula_pendula!$CG$36:$CG$57</c:f>
              <c:numCache>
                <c:formatCode>0</c:formatCode>
                <c:ptCount val="22"/>
                <c:pt idx="0">
                  <c:v>117.0</c:v>
                </c:pt>
                <c:pt idx="1">
                  <c:v>120.0</c:v>
                </c:pt>
                <c:pt idx="2">
                  <c:v>124.0</c:v>
                </c:pt>
                <c:pt idx="3">
                  <c:v>128.0</c:v>
                </c:pt>
                <c:pt idx="4">
                  <c:v>131.0</c:v>
                </c:pt>
                <c:pt idx="5">
                  <c:v>135.0</c:v>
                </c:pt>
                <c:pt idx="6">
                  <c:v>138.0</c:v>
                </c:pt>
                <c:pt idx="7">
                  <c:v>141.0</c:v>
                </c:pt>
                <c:pt idx="8">
                  <c:v>145.0</c:v>
                </c:pt>
                <c:pt idx="9">
                  <c:v>148.0</c:v>
                </c:pt>
                <c:pt idx="10">
                  <c:v>152.0</c:v>
                </c:pt>
                <c:pt idx="11">
                  <c:v>155.0</c:v>
                </c:pt>
                <c:pt idx="12">
                  <c:v>159.0</c:v>
                </c:pt>
                <c:pt idx="13">
                  <c:v>163.0</c:v>
                </c:pt>
                <c:pt idx="14">
                  <c:v>166.0</c:v>
                </c:pt>
                <c:pt idx="15">
                  <c:v>172.0</c:v>
                </c:pt>
                <c:pt idx="16">
                  <c:v>246.0</c:v>
                </c:pt>
                <c:pt idx="17">
                  <c:v>253.0</c:v>
                </c:pt>
                <c:pt idx="18">
                  <c:v>260.0</c:v>
                </c:pt>
                <c:pt idx="19">
                  <c:v>264.0</c:v>
                </c:pt>
                <c:pt idx="20">
                  <c:v>278.0</c:v>
                </c:pt>
                <c:pt idx="21">
                  <c:v>281.0</c:v>
                </c:pt>
              </c:numCache>
            </c:numRef>
          </c:xVal>
          <c:yVal>
            <c:numRef>
              <c:f>Betula_pendula!$CH$36:$CH$57</c:f>
              <c:numCache>
                <c:formatCode>General</c:formatCode>
                <c:ptCount val="22"/>
                <c:pt idx="0">
                  <c:v>7.572</c:v>
                </c:pt>
                <c:pt idx="1">
                  <c:v>8.303999999999998</c:v>
                </c:pt>
                <c:pt idx="2">
                  <c:v>10.552</c:v>
                </c:pt>
                <c:pt idx="3">
                  <c:v>14.376</c:v>
                </c:pt>
                <c:pt idx="4">
                  <c:v>16.152</c:v>
                </c:pt>
                <c:pt idx="5">
                  <c:v>19.28</c:v>
                </c:pt>
                <c:pt idx="6">
                  <c:v>22.016</c:v>
                </c:pt>
                <c:pt idx="7">
                  <c:v>26.592</c:v>
                </c:pt>
                <c:pt idx="8">
                  <c:v>34.464</c:v>
                </c:pt>
                <c:pt idx="9">
                  <c:v>40.492</c:v>
                </c:pt>
                <c:pt idx="10">
                  <c:v>43.944</c:v>
                </c:pt>
                <c:pt idx="11">
                  <c:v>47.292</c:v>
                </c:pt>
                <c:pt idx="12">
                  <c:v>49.948</c:v>
                </c:pt>
                <c:pt idx="13">
                  <c:v>51.048</c:v>
                </c:pt>
                <c:pt idx="14">
                  <c:v>51.224</c:v>
                </c:pt>
                <c:pt idx="15">
                  <c:v>51.30800000000001</c:v>
                </c:pt>
              </c:numCache>
            </c:numRef>
          </c:yVal>
          <c:smooth val="0"/>
        </c:ser>
        <c:ser>
          <c:idx val="3"/>
          <c:order val="3"/>
          <c:tx>
            <c:v>2008</c:v>
          </c:tx>
          <c:spPr>
            <a:ln w="9525">
              <a:solidFill>
                <a:srgbClr val="009900"/>
              </a:solidFill>
            </a:ln>
          </c:spPr>
          <c:marker>
            <c:symbol val="square"/>
            <c:size val="4"/>
            <c:spPr>
              <a:noFill/>
              <a:ln>
                <a:solidFill>
                  <a:srgbClr val="009900"/>
                </a:solidFill>
              </a:ln>
            </c:spPr>
          </c:marker>
          <c:xVal>
            <c:numRef>
              <c:f>Betula_pendula!$CC$36:$CC$65</c:f>
              <c:numCache>
                <c:formatCode>0</c:formatCode>
                <c:ptCount val="30"/>
                <c:pt idx="0">
                  <c:v>112.0</c:v>
                </c:pt>
                <c:pt idx="1">
                  <c:v>115.0</c:v>
                </c:pt>
                <c:pt idx="2">
                  <c:v>119.0</c:v>
                </c:pt>
                <c:pt idx="3">
                  <c:v>123.0</c:v>
                </c:pt>
                <c:pt idx="4">
                  <c:v>127.0</c:v>
                </c:pt>
                <c:pt idx="5">
                  <c:v>130.0</c:v>
                </c:pt>
                <c:pt idx="6">
                  <c:v>134.0</c:v>
                </c:pt>
                <c:pt idx="7">
                  <c:v>137.0</c:v>
                </c:pt>
                <c:pt idx="8">
                  <c:v>141.0</c:v>
                </c:pt>
                <c:pt idx="9">
                  <c:v>144.0</c:v>
                </c:pt>
                <c:pt idx="10">
                  <c:v>148.0</c:v>
                </c:pt>
                <c:pt idx="11">
                  <c:v>150.0</c:v>
                </c:pt>
                <c:pt idx="12">
                  <c:v>154.0</c:v>
                </c:pt>
                <c:pt idx="13">
                  <c:v>157.0</c:v>
                </c:pt>
                <c:pt idx="14">
                  <c:v>161.0</c:v>
                </c:pt>
                <c:pt idx="15">
                  <c:v>165.0</c:v>
                </c:pt>
                <c:pt idx="16">
                  <c:v>169.0</c:v>
                </c:pt>
                <c:pt idx="17">
                  <c:v>177.0</c:v>
                </c:pt>
                <c:pt idx="18">
                  <c:v>246.0</c:v>
                </c:pt>
                <c:pt idx="19">
                  <c:v>252.0</c:v>
                </c:pt>
                <c:pt idx="20">
                  <c:v>263.0</c:v>
                </c:pt>
                <c:pt idx="21">
                  <c:v>270.0</c:v>
                </c:pt>
                <c:pt idx="22">
                  <c:v>274.0</c:v>
                </c:pt>
                <c:pt idx="23">
                  <c:v>280.0</c:v>
                </c:pt>
                <c:pt idx="24">
                  <c:v>287.0</c:v>
                </c:pt>
              </c:numCache>
            </c:numRef>
          </c:xVal>
          <c:yVal>
            <c:numRef>
              <c:f>Betula_pendula!$CD$36:$CD$65</c:f>
              <c:numCache>
                <c:formatCode>0.0</c:formatCode>
                <c:ptCount val="30"/>
                <c:pt idx="0">
                  <c:v>0.0</c:v>
                </c:pt>
                <c:pt idx="1">
                  <c:v>5.528</c:v>
                </c:pt>
                <c:pt idx="2">
                  <c:v>5.752000000000001</c:v>
                </c:pt>
                <c:pt idx="3">
                  <c:v>6.347999999999999</c:v>
                </c:pt>
                <c:pt idx="4">
                  <c:v>7.651999999999998</c:v>
                </c:pt>
                <c:pt idx="5">
                  <c:v>11.548</c:v>
                </c:pt>
                <c:pt idx="6">
                  <c:v>16.352</c:v>
                </c:pt>
                <c:pt idx="7">
                  <c:v>19.676</c:v>
                </c:pt>
                <c:pt idx="8">
                  <c:v>20.144</c:v>
                </c:pt>
                <c:pt idx="9">
                  <c:v>22.072</c:v>
                </c:pt>
                <c:pt idx="10">
                  <c:v>25.856</c:v>
                </c:pt>
                <c:pt idx="11">
                  <c:v>33.26</c:v>
                </c:pt>
                <c:pt idx="12">
                  <c:v>42.876</c:v>
                </c:pt>
                <c:pt idx="13">
                  <c:v>46.632</c:v>
                </c:pt>
                <c:pt idx="14">
                  <c:v>48.048</c:v>
                </c:pt>
                <c:pt idx="15">
                  <c:v>50.288</c:v>
                </c:pt>
                <c:pt idx="16">
                  <c:v>51.156</c:v>
                </c:pt>
                <c:pt idx="17">
                  <c:v>48.496</c:v>
                </c:pt>
              </c:numCache>
            </c:numRef>
          </c:yVal>
          <c:smooth val="0"/>
        </c:ser>
        <c:ser>
          <c:idx val="4"/>
          <c:order val="4"/>
          <c:tx>
            <c:v>2009</c:v>
          </c:tx>
          <c:spPr>
            <a:ln w="9525">
              <a:solidFill>
                <a:srgbClr val="008000"/>
              </a:solidFill>
            </a:ln>
          </c:spPr>
          <c:marker>
            <c:symbol val="diamond"/>
            <c:size val="4"/>
            <c:spPr>
              <a:noFill/>
              <a:ln>
                <a:solidFill>
                  <a:srgbClr val="008000"/>
                </a:solidFill>
              </a:ln>
            </c:spPr>
          </c:marker>
          <c:xVal>
            <c:numRef>
              <c:f>Betula_pendula!$BY$36:$BY$65</c:f>
              <c:numCache>
                <c:formatCode>0</c:formatCode>
                <c:ptCount val="30"/>
                <c:pt idx="0">
                  <c:v>91.0</c:v>
                </c:pt>
              </c:numCache>
            </c:numRef>
          </c:xVal>
          <c:yVal>
            <c:numRef>
              <c:f>Betula_pendula!$BZ$36:$BZ$65</c:f>
              <c:numCache>
                <c:formatCode>0.0</c:formatCode>
                <c:ptCount val="30"/>
                <c:pt idx="0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20697560"/>
        <c:axId val="-2121008664"/>
      </c:scatterChart>
      <c:valAx>
        <c:axId val="-2120697560"/>
        <c:scaling>
          <c:orientation val="minMax"/>
          <c:min val="90.0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21008664"/>
        <c:crosses val="autoZero"/>
        <c:crossBetween val="midCat"/>
      </c:valAx>
      <c:valAx>
        <c:axId val="-21210086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Knopp/bladlängd, mm</a:t>
                </a:r>
              </a:p>
            </c:rich>
          </c:tx>
          <c:layout>
            <c:manualLayout>
              <c:xMode val="edge"/>
              <c:yMode val="edge"/>
              <c:x val="0.00251817481148198"/>
              <c:y val="0.1878360417713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20697560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3571428571429"/>
          <c:y val="0.327659574468085"/>
          <c:w val="0.144841269841273"/>
          <c:h val="0.48510638297872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738154613466"/>
          <c:y val="0.0632183908045977"/>
          <c:w val="0.85785536159601"/>
          <c:h val="0.781609195402299"/>
        </c:manualLayout>
      </c:layout>
      <c:scatterChart>
        <c:scatterStyle val="lineMarker"/>
        <c:varyColors val="0"/>
        <c:ser>
          <c:idx val="2"/>
          <c:order val="0"/>
          <c:tx>
            <c:v>Årets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triangle"/>
            <c:size val="4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Betula_pendula!$BO$36:$BO$65</c:f>
              <c:numCache>
                <c:formatCode>0</c:formatCode>
                <c:ptCount val="30"/>
                <c:pt idx="0">
                  <c:v>87.0</c:v>
                </c:pt>
                <c:pt idx="1">
                  <c:v>129.0</c:v>
                </c:pt>
                <c:pt idx="2">
                  <c:v>133.0</c:v>
                </c:pt>
                <c:pt idx="3">
                  <c:v>138.0</c:v>
                </c:pt>
                <c:pt idx="4">
                  <c:v>142.0</c:v>
                </c:pt>
                <c:pt idx="5">
                  <c:v>146.0</c:v>
                </c:pt>
                <c:pt idx="6">
                  <c:v>150.0</c:v>
                </c:pt>
                <c:pt idx="7">
                  <c:v>153.0</c:v>
                </c:pt>
                <c:pt idx="8">
                  <c:v>159.0</c:v>
                </c:pt>
                <c:pt idx="9">
                  <c:v>166.0</c:v>
                </c:pt>
                <c:pt idx="10">
                  <c:v>173.0</c:v>
                </c:pt>
                <c:pt idx="11">
                  <c:v>181.0</c:v>
                </c:pt>
                <c:pt idx="12">
                  <c:v>233.0</c:v>
                </c:pt>
                <c:pt idx="13">
                  <c:v>250.0</c:v>
                </c:pt>
                <c:pt idx="14">
                  <c:v>262.0</c:v>
                </c:pt>
                <c:pt idx="15">
                  <c:v>269.0</c:v>
                </c:pt>
                <c:pt idx="16">
                  <c:v>272.0</c:v>
                </c:pt>
                <c:pt idx="17">
                  <c:v>282.0</c:v>
                </c:pt>
                <c:pt idx="18">
                  <c:v>289.0</c:v>
                </c:pt>
                <c:pt idx="19">
                  <c:v>296.0</c:v>
                </c:pt>
                <c:pt idx="20">
                  <c:v>296.0</c:v>
                </c:pt>
                <c:pt idx="21">
                  <c:v>296.0</c:v>
                </c:pt>
                <c:pt idx="22">
                  <c:v>296.0</c:v>
                </c:pt>
                <c:pt idx="23">
                  <c:v>296.0</c:v>
                </c:pt>
                <c:pt idx="24">
                  <c:v>296.0</c:v>
                </c:pt>
                <c:pt idx="25">
                  <c:v>296.0</c:v>
                </c:pt>
                <c:pt idx="26">
                  <c:v>296.0</c:v>
                </c:pt>
                <c:pt idx="27">
                  <c:v>296.0</c:v>
                </c:pt>
                <c:pt idx="28">
                  <c:v>296.0</c:v>
                </c:pt>
                <c:pt idx="29">
                  <c:v>296.0</c:v>
                </c:pt>
              </c:numCache>
            </c:numRef>
          </c:xVal>
          <c:yVal>
            <c:numRef>
              <c:f>Betula_pendula!$BA$36:$BA$65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1.0</c:v>
                </c:pt>
                <c:pt idx="4">
                  <c:v>1.0</c:v>
                </c:pt>
                <c:pt idx="5">
                  <c:v>2.0</c:v>
                </c:pt>
                <c:pt idx="6">
                  <c:v>2.0</c:v>
                </c:pt>
                <c:pt idx="7">
                  <c:v>2.0</c:v>
                </c:pt>
                <c:pt idx="8">
                  <c:v>2.0</c:v>
                </c:pt>
                <c:pt idx="9">
                  <c:v>2.0</c:v>
                </c:pt>
                <c:pt idx="10">
                  <c:v>2.2</c:v>
                </c:pt>
                <c:pt idx="11">
                  <c:v>3.0</c:v>
                </c:pt>
                <c:pt idx="12">
                  <c:v>4.0</c:v>
                </c:pt>
                <c:pt idx="13">
                  <c:v>4.6</c:v>
                </c:pt>
                <c:pt idx="14">
                  <c:v>4.8</c:v>
                </c:pt>
                <c:pt idx="15">
                  <c:v>6.2</c:v>
                </c:pt>
                <c:pt idx="16">
                  <c:v>6.4</c:v>
                </c:pt>
                <c:pt idx="17">
                  <c:v>6.8</c:v>
                </c:pt>
                <c:pt idx="18">
                  <c:v>7.8</c:v>
                </c:pt>
                <c:pt idx="19">
                  <c:v>8.0</c:v>
                </c:pt>
                <c:pt idx="20">
                  <c:v>8.0</c:v>
                </c:pt>
                <c:pt idx="21">
                  <c:v>8.0</c:v>
                </c:pt>
                <c:pt idx="22">
                  <c:v>8.0</c:v>
                </c:pt>
                <c:pt idx="23">
                  <c:v>8.0</c:v>
                </c:pt>
                <c:pt idx="24">
                  <c:v>8.0</c:v>
                </c:pt>
                <c:pt idx="25">
                  <c:v>8.0</c:v>
                </c:pt>
                <c:pt idx="26">
                  <c:v>8.0</c:v>
                </c:pt>
                <c:pt idx="27">
                  <c:v>8.0</c:v>
                </c:pt>
                <c:pt idx="28">
                  <c:v>8.0</c:v>
                </c:pt>
                <c:pt idx="29">
                  <c:v>8.0</c:v>
                </c:pt>
              </c:numCache>
            </c:numRef>
          </c:yVal>
          <c:smooth val="0"/>
        </c:ser>
        <c:ser>
          <c:idx val="1"/>
          <c:order val="1"/>
          <c:tx>
            <c:v>2006</c:v>
          </c:tx>
          <c:spPr>
            <a:ln w="9525">
              <a:solidFill>
                <a:srgbClr val="008000"/>
              </a:solidFill>
              <a:prstDash val="solid"/>
            </a:ln>
          </c:spPr>
          <c:marker>
            <c:symbol val="x"/>
            <c:size val="4"/>
            <c:spPr>
              <a:noFill/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Betula_pendula!$CK$36:$CK$65</c:f>
              <c:numCache>
                <c:formatCode>0</c:formatCode>
                <c:ptCount val="30"/>
                <c:pt idx="0">
                  <c:v>130.0</c:v>
                </c:pt>
                <c:pt idx="1">
                  <c:v>132.0</c:v>
                </c:pt>
                <c:pt idx="2">
                  <c:v>135.0</c:v>
                </c:pt>
                <c:pt idx="3">
                  <c:v>139.0</c:v>
                </c:pt>
                <c:pt idx="4">
                  <c:v>142.0</c:v>
                </c:pt>
                <c:pt idx="5">
                  <c:v>144.0</c:v>
                </c:pt>
                <c:pt idx="6">
                  <c:v>149.0</c:v>
                </c:pt>
                <c:pt idx="7">
                  <c:v>153.0</c:v>
                </c:pt>
                <c:pt idx="8">
                  <c:v>156.0</c:v>
                </c:pt>
              </c:numCache>
            </c:numRef>
          </c:xVal>
          <c:yVal>
            <c:numRef>
              <c:f>Betula_pendula!$CM$36:$CM$65</c:f>
              <c:numCache>
                <c:formatCode>General</c:formatCode>
                <c:ptCount val="30"/>
                <c:pt idx="0">
                  <c:v>0.6</c:v>
                </c:pt>
                <c:pt idx="1">
                  <c:v>1.0</c:v>
                </c:pt>
                <c:pt idx="2">
                  <c:v>1.0</c:v>
                </c:pt>
                <c:pt idx="3">
                  <c:v>1.6</c:v>
                </c:pt>
                <c:pt idx="4">
                  <c:v>2.0</c:v>
                </c:pt>
                <c:pt idx="5">
                  <c:v>2.0</c:v>
                </c:pt>
                <c:pt idx="6">
                  <c:v>2.0</c:v>
                </c:pt>
                <c:pt idx="7">
                  <c:v>2.0</c:v>
                </c:pt>
                <c:pt idx="8">
                  <c:v>2.6</c:v>
                </c:pt>
              </c:numCache>
            </c:numRef>
          </c:yVal>
          <c:smooth val="0"/>
        </c:ser>
        <c:ser>
          <c:idx val="0"/>
          <c:order val="2"/>
          <c:tx>
            <c:v>2007</c:v>
          </c:tx>
          <c:spPr>
            <a:ln w="9525">
              <a:solidFill>
                <a:srgbClr val="008000"/>
              </a:solidFill>
            </a:ln>
          </c:spPr>
          <c:marker>
            <c:symbol val="triangle"/>
            <c:size val="4"/>
            <c:spPr>
              <a:noFill/>
              <a:ln w="9525">
                <a:solidFill>
                  <a:srgbClr val="00B050"/>
                </a:solidFill>
              </a:ln>
            </c:spPr>
          </c:marker>
          <c:xVal>
            <c:numRef>
              <c:f>Betula_pendula!$CG$36:$CG$57</c:f>
              <c:numCache>
                <c:formatCode>0</c:formatCode>
                <c:ptCount val="22"/>
                <c:pt idx="0">
                  <c:v>117.0</c:v>
                </c:pt>
                <c:pt idx="1">
                  <c:v>120.0</c:v>
                </c:pt>
                <c:pt idx="2">
                  <c:v>124.0</c:v>
                </c:pt>
                <c:pt idx="3">
                  <c:v>128.0</c:v>
                </c:pt>
                <c:pt idx="4">
                  <c:v>131.0</c:v>
                </c:pt>
                <c:pt idx="5">
                  <c:v>135.0</c:v>
                </c:pt>
                <c:pt idx="6">
                  <c:v>138.0</c:v>
                </c:pt>
                <c:pt idx="7">
                  <c:v>141.0</c:v>
                </c:pt>
                <c:pt idx="8">
                  <c:v>145.0</c:v>
                </c:pt>
                <c:pt idx="9">
                  <c:v>148.0</c:v>
                </c:pt>
                <c:pt idx="10">
                  <c:v>152.0</c:v>
                </c:pt>
                <c:pt idx="11">
                  <c:v>155.0</c:v>
                </c:pt>
                <c:pt idx="12">
                  <c:v>159.0</c:v>
                </c:pt>
                <c:pt idx="13">
                  <c:v>163.0</c:v>
                </c:pt>
                <c:pt idx="14">
                  <c:v>166.0</c:v>
                </c:pt>
                <c:pt idx="15">
                  <c:v>172.0</c:v>
                </c:pt>
                <c:pt idx="16">
                  <c:v>246.0</c:v>
                </c:pt>
                <c:pt idx="17">
                  <c:v>253.0</c:v>
                </c:pt>
                <c:pt idx="18">
                  <c:v>260.0</c:v>
                </c:pt>
                <c:pt idx="19">
                  <c:v>264.0</c:v>
                </c:pt>
                <c:pt idx="20">
                  <c:v>278.0</c:v>
                </c:pt>
                <c:pt idx="21">
                  <c:v>281.0</c:v>
                </c:pt>
              </c:numCache>
            </c:numRef>
          </c:xVal>
          <c:yVal>
            <c:numRef>
              <c:f>Betula_pendula!$CI$36:$CI$57</c:f>
              <c:numCache>
                <c:formatCode>0.0</c:formatCode>
                <c:ptCount val="22"/>
                <c:pt idx="0">
                  <c:v>0.0</c:v>
                </c:pt>
                <c:pt idx="1">
                  <c:v>0.0</c:v>
                </c:pt>
                <c:pt idx="2">
                  <c:v>0.2</c:v>
                </c:pt>
                <c:pt idx="3">
                  <c:v>0.8</c:v>
                </c:pt>
                <c:pt idx="4">
                  <c:v>1.0</c:v>
                </c:pt>
                <c:pt idx="5">
                  <c:v>1.0</c:v>
                </c:pt>
                <c:pt idx="6">
                  <c:v>1.6</c:v>
                </c:pt>
                <c:pt idx="7">
                  <c:v>2.0</c:v>
                </c:pt>
                <c:pt idx="8">
                  <c:v>2.0</c:v>
                </c:pt>
                <c:pt idx="9">
                  <c:v>2.0</c:v>
                </c:pt>
                <c:pt idx="10">
                  <c:v>2.0</c:v>
                </c:pt>
                <c:pt idx="11">
                  <c:v>2.0</c:v>
                </c:pt>
                <c:pt idx="12">
                  <c:v>2.8</c:v>
                </c:pt>
                <c:pt idx="13">
                  <c:v>3.0</c:v>
                </c:pt>
                <c:pt idx="14">
                  <c:v>3.0</c:v>
                </c:pt>
                <c:pt idx="15">
                  <c:v>3.0</c:v>
                </c:pt>
                <c:pt idx="16">
                  <c:v>3.4</c:v>
                </c:pt>
                <c:pt idx="17">
                  <c:v>4.0</c:v>
                </c:pt>
                <c:pt idx="18">
                  <c:v>4.4</c:v>
                </c:pt>
                <c:pt idx="19">
                  <c:v>5.0</c:v>
                </c:pt>
                <c:pt idx="20">
                  <c:v>7.8</c:v>
                </c:pt>
                <c:pt idx="21">
                  <c:v>8.0</c:v>
                </c:pt>
              </c:numCache>
            </c:numRef>
          </c:yVal>
          <c:smooth val="0"/>
        </c:ser>
        <c:ser>
          <c:idx val="3"/>
          <c:order val="3"/>
          <c:tx>
            <c:v>2008</c:v>
          </c:tx>
          <c:spPr>
            <a:ln w="9525">
              <a:solidFill>
                <a:srgbClr val="009900"/>
              </a:solidFill>
            </a:ln>
          </c:spPr>
          <c:marker>
            <c:symbol val="square"/>
            <c:size val="4"/>
            <c:spPr>
              <a:noFill/>
              <a:ln>
                <a:solidFill>
                  <a:srgbClr val="009900"/>
                </a:solidFill>
              </a:ln>
            </c:spPr>
          </c:marker>
          <c:xVal>
            <c:numRef>
              <c:f>Betula_pendula!$CC$36:$CC$65</c:f>
              <c:numCache>
                <c:formatCode>0</c:formatCode>
                <c:ptCount val="30"/>
                <c:pt idx="0">
                  <c:v>112.0</c:v>
                </c:pt>
                <c:pt idx="1">
                  <c:v>115.0</c:v>
                </c:pt>
                <c:pt idx="2">
                  <c:v>119.0</c:v>
                </c:pt>
                <c:pt idx="3">
                  <c:v>123.0</c:v>
                </c:pt>
                <c:pt idx="4">
                  <c:v>127.0</c:v>
                </c:pt>
                <c:pt idx="5">
                  <c:v>130.0</c:v>
                </c:pt>
                <c:pt idx="6">
                  <c:v>134.0</c:v>
                </c:pt>
                <c:pt idx="7">
                  <c:v>137.0</c:v>
                </c:pt>
                <c:pt idx="8">
                  <c:v>141.0</c:v>
                </c:pt>
                <c:pt idx="9">
                  <c:v>144.0</c:v>
                </c:pt>
                <c:pt idx="10">
                  <c:v>148.0</c:v>
                </c:pt>
                <c:pt idx="11">
                  <c:v>150.0</c:v>
                </c:pt>
                <c:pt idx="12">
                  <c:v>154.0</c:v>
                </c:pt>
                <c:pt idx="13">
                  <c:v>157.0</c:v>
                </c:pt>
                <c:pt idx="14">
                  <c:v>161.0</c:v>
                </c:pt>
                <c:pt idx="15">
                  <c:v>165.0</c:v>
                </c:pt>
                <c:pt idx="16">
                  <c:v>169.0</c:v>
                </c:pt>
                <c:pt idx="17">
                  <c:v>177.0</c:v>
                </c:pt>
                <c:pt idx="18">
                  <c:v>246.0</c:v>
                </c:pt>
                <c:pt idx="19">
                  <c:v>252.0</c:v>
                </c:pt>
                <c:pt idx="20">
                  <c:v>263.0</c:v>
                </c:pt>
                <c:pt idx="21">
                  <c:v>270.0</c:v>
                </c:pt>
                <c:pt idx="22">
                  <c:v>274.0</c:v>
                </c:pt>
                <c:pt idx="23">
                  <c:v>280.0</c:v>
                </c:pt>
                <c:pt idx="24">
                  <c:v>287.0</c:v>
                </c:pt>
              </c:numCache>
            </c:numRef>
          </c:xVal>
          <c:yVal>
            <c:numRef>
              <c:f>Betula_pendula!$CE$36:$CE$65</c:f>
              <c:numCache>
                <c:formatCode>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0.4</c:v>
                </c:pt>
                <c:pt idx="6">
                  <c:v>1.0</c:v>
                </c:pt>
                <c:pt idx="7">
                  <c:v>1.4</c:v>
                </c:pt>
                <c:pt idx="8">
                  <c:v>1.4</c:v>
                </c:pt>
                <c:pt idx="9">
                  <c:v>1.8</c:v>
                </c:pt>
                <c:pt idx="10">
                  <c:v>1.8</c:v>
                </c:pt>
                <c:pt idx="11">
                  <c:v>2.0</c:v>
                </c:pt>
                <c:pt idx="12">
                  <c:v>2.0</c:v>
                </c:pt>
                <c:pt idx="13">
                  <c:v>2.0</c:v>
                </c:pt>
                <c:pt idx="14">
                  <c:v>3.0</c:v>
                </c:pt>
                <c:pt idx="15">
                  <c:v>3.0</c:v>
                </c:pt>
                <c:pt idx="16">
                  <c:v>3.0</c:v>
                </c:pt>
                <c:pt idx="17">
                  <c:v>3.0</c:v>
                </c:pt>
                <c:pt idx="18">
                  <c:v>3.4</c:v>
                </c:pt>
                <c:pt idx="19">
                  <c:v>4.0</c:v>
                </c:pt>
                <c:pt idx="20">
                  <c:v>5.0</c:v>
                </c:pt>
                <c:pt idx="21">
                  <c:v>6.0</c:v>
                </c:pt>
                <c:pt idx="22">
                  <c:v>6.8</c:v>
                </c:pt>
                <c:pt idx="23">
                  <c:v>7.4</c:v>
                </c:pt>
                <c:pt idx="24">
                  <c:v>8.0</c:v>
                </c:pt>
              </c:numCache>
            </c:numRef>
          </c:yVal>
          <c:smooth val="0"/>
        </c:ser>
        <c:ser>
          <c:idx val="4"/>
          <c:order val="4"/>
          <c:tx>
            <c:v>2009</c:v>
          </c:tx>
          <c:spPr>
            <a:ln w="9525">
              <a:solidFill>
                <a:srgbClr val="008000"/>
              </a:solidFill>
            </a:ln>
          </c:spPr>
          <c:marker>
            <c:symbol val="diamond"/>
            <c:size val="4"/>
            <c:spPr>
              <a:noFill/>
              <a:ln>
                <a:solidFill>
                  <a:srgbClr val="008000"/>
                </a:solidFill>
              </a:ln>
            </c:spPr>
          </c:marker>
          <c:xVal>
            <c:numRef>
              <c:f>Betula_pendula!$BY$36:$BY$65</c:f>
              <c:numCache>
                <c:formatCode>0</c:formatCode>
                <c:ptCount val="30"/>
                <c:pt idx="0">
                  <c:v>91.0</c:v>
                </c:pt>
              </c:numCache>
            </c:numRef>
          </c:xVal>
          <c:yVal>
            <c:numRef>
              <c:f>Betula_pendula!$CA$36:$CA$65</c:f>
              <c:numCache>
                <c:formatCode>0.0</c:formatCode>
                <c:ptCount val="30"/>
                <c:pt idx="0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40601080"/>
        <c:axId val="-2121605080"/>
      </c:scatterChart>
      <c:valAx>
        <c:axId val="-2140601080"/>
        <c:scaling>
          <c:orientation val="minMax"/>
          <c:min val="90.0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21605080"/>
        <c:crosses val="autoZero"/>
        <c:crossBetween val="midCat"/>
      </c:valAx>
      <c:valAx>
        <c:axId val="-21216050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Bedömd fas</a:t>
                </a:r>
              </a:p>
            </c:rich>
          </c:tx>
          <c:layout>
            <c:manualLayout>
              <c:xMode val="edge"/>
              <c:yMode val="edge"/>
              <c:x val="0.00251817481148198"/>
              <c:y val="0.2988521213329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40601080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5555555555556"/>
          <c:y val="0.329113924050637"/>
          <c:w val="0.144841269841273"/>
          <c:h val="0.48945147679325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897755610972636"/>
          <c:y val="0.0632183908045977"/>
          <c:w val="0.872817955112219"/>
          <c:h val="0.781609195402299"/>
        </c:manualLayout>
      </c:layout>
      <c:scatterChart>
        <c:scatterStyle val="lineMarker"/>
        <c:varyColors val="0"/>
        <c:ser>
          <c:idx val="2"/>
          <c:order val="0"/>
          <c:tx>
            <c:v>Årets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Betula_pendula!$BO$66:$BO$95</c:f>
              <c:numCache>
                <c:formatCode>0</c:formatCode>
                <c:ptCount val="30"/>
                <c:pt idx="0">
                  <c:v>114.0</c:v>
                </c:pt>
                <c:pt idx="1">
                  <c:v>118.0</c:v>
                </c:pt>
                <c:pt idx="2">
                  <c:v>123.0</c:v>
                </c:pt>
                <c:pt idx="3">
                  <c:v>128.0</c:v>
                </c:pt>
                <c:pt idx="4">
                  <c:v>131.0</c:v>
                </c:pt>
                <c:pt idx="5">
                  <c:v>136.0</c:v>
                </c:pt>
                <c:pt idx="6">
                  <c:v>145.0</c:v>
                </c:pt>
                <c:pt idx="7">
                  <c:v>151.0</c:v>
                </c:pt>
                <c:pt idx="8">
                  <c:v>165.0</c:v>
                </c:pt>
                <c:pt idx="9">
                  <c:v>184.0</c:v>
                </c:pt>
                <c:pt idx="10">
                  <c:v>184.0</c:v>
                </c:pt>
                <c:pt idx="11">
                  <c:v>184.0</c:v>
                </c:pt>
                <c:pt idx="12">
                  <c:v>184.0</c:v>
                </c:pt>
                <c:pt idx="13">
                  <c:v>184.0</c:v>
                </c:pt>
                <c:pt idx="14">
                  <c:v>184.0</c:v>
                </c:pt>
                <c:pt idx="15">
                  <c:v>184.0</c:v>
                </c:pt>
                <c:pt idx="16">
                  <c:v>184.0</c:v>
                </c:pt>
                <c:pt idx="17">
                  <c:v>184.0</c:v>
                </c:pt>
                <c:pt idx="18">
                  <c:v>184.0</c:v>
                </c:pt>
                <c:pt idx="19">
                  <c:v>184.0</c:v>
                </c:pt>
                <c:pt idx="20">
                  <c:v>184.0</c:v>
                </c:pt>
                <c:pt idx="21">
                  <c:v>184.0</c:v>
                </c:pt>
                <c:pt idx="22">
                  <c:v>184.0</c:v>
                </c:pt>
                <c:pt idx="23">
                  <c:v>184.0</c:v>
                </c:pt>
                <c:pt idx="24">
                  <c:v>184.0</c:v>
                </c:pt>
                <c:pt idx="25">
                  <c:v>184.0</c:v>
                </c:pt>
                <c:pt idx="26">
                  <c:v>184.0</c:v>
                </c:pt>
                <c:pt idx="27">
                  <c:v>184.0</c:v>
                </c:pt>
                <c:pt idx="28">
                  <c:v>184.0</c:v>
                </c:pt>
                <c:pt idx="29">
                  <c:v>184.0</c:v>
                </c:pt>
              </c:numCache>
            </c:numRef>
          </c:xVal>
          <c:yVal>
            <c:numRef>
              <c:f>Betula_pendula!$AZ$66:$AZ$95</c:f>
              <c:numCache>
                <c:formatCode>0.00</c:formatCode>
                <c:ptCount val="30"/>
                <c:pt idx="0">
                  <c:v>6.682857142857142</c:v>
                </c:pt>
                <c:pt idx="1">
                  <c:v>8.58</c:v>
                </c:pt>
                <c:pt idx="2">
                  <c:v>13.50571428571429</c:v>
                </c:pt>
                <c:pt idx="3">
                  <c:v>23.29571428571429</c:v>
                </c:pt>
                <c:pt idx="4">
                  <c:v>28.36119047619047</c:v>
                </c:pt>
                <c:pt idx="5">
                  <c:v>34.84119047619048</c:v>
                </c:pt>
                <c:pt idx="6">
                  <c:v>34.84119047619048</c:v>
                </c:pt>
                <c:pt idx="7">
                  <c:v>34.84119047619048</c:v>
                </c:pt>
                <c:pt idx="8">
                  <c:v>34.84119047619048</c:v>
                </c:pt>
                <c:pt idx="9">
                  <c:v>34.84119047619048</c:v>
                </c:pt>
                <c:pt idx="10">
                  <c:v>34.84119047619048</c:v>
                </c:pt>
                <c:pt idx="11">
                  <c:v>34.84119047619048</c:v>
                </c:pt>
                <c:pt idx="12">
                  <c:v>34.84119047619048</c:v>
                </c:pt>
                <c:pt idx="13">
                  <c:v>34.84119047619048</c:v>
                </c:pt>
                <c:pt idx="14">
                  <c:v>34.84119047619048</c:v>
                </c:pt>
                <c:pt idx="15">
                  <c:v>34.84119047619048</c:v>
                </c:pt>
                <c:pt idx="16">
                  <c:v>34.84119047619048</c:v>
                </c:pt>
                <c:pt idx="17">
                  <c:v>34.84119047619048</c:v>
                </c:pt>
                <c:pt idx="18">
                  <c:v>34.84119047619048</c:v>
                </c:pt>
                <c:pt idx="19">
                  <c:v>34.84119047619048</c:v>
                </c:pt>
                <c:pt idx="20">
                  <c:v>34.84119047619048</c:v>
                </c:pt>
                <c:pt idx="21">
                  <c:v>34.84119047619048</c:v>
                </c:pt>
                <c:pt idx="22">
                  <c:v>34.84119047619048</c:v>
                </c:pt>
                <c:pt idx="23">
                  <c:v>34.84119047619048</c:v>
                </c:pt>
                <c:pt idx="24">
                  <c:v>34.84119047619048</c:v>
                </c:pt>
                <c:pt idx="25">
                  <c:v>34.84119047619048</c:v>
                </c:pt>
                <c:pt idx="26">
                  <c:v>34.84119047619048</c:v>
                </c:pt>
                <c:pt idx="27">
                  <c:v>34.84119047619048</c:v>
                </c:pt>
                <c:pt idx="28">
                  <c:v>34.84119047619048</c:v>
                </c:pt>
              </c:numCache>
            </c:numRef>
          </c:yVal>
          <c:smooth val="0"/>
        </c:ser>
        <c:ser>
          <c:idx val="0"/>
          <c:order val="1"/>
          <c:tx>
            <c:v>2008</c:v>
          </c:tx>
          <c:spPr>
            <a:ln w="9525">
              <a:solidFill>
                <a:srgbClr val="FF9900"/>
              </a:solidFill>
            </a:ln>
          </c:spPr>
          <c:marker>
            <c:symbol val="square"/>
            <c:size val="4"/>
            <c:spPr>
              <a:noFill/>
              <a:ln>
                <a:solidFill>
                  <a:srgbClr val="FF9900"/>
                </a:solidFill>
              </a:ln>
            </c:spPr>
          </c:marker>
          <c:xVal>
            <c:numRef>
              <c:f>Betula_pendula!$CC$66:$CC$95</c:f>
              <c:numCache>
                <c:formatCode>0</c:formatCode>
                <c:ptCount val="30"/>
                <c:pt idx="0">
                  <c:v>116.0</c:v>
                </c:pt>
                <c:pt idx="1">
                  <c:v>121.0</c:v>
                </c:pt>
                <c:pt idx="2">
                  <c:v>127.0</c:v>
                </c:pt>
                <c:pt idx="3">
                  <c:v>132.0</c:v>
                </c:pt>
                <c:pt idx="4">
                  <c:v>136.0</c:v>
                </c:pt>
                <c:pt idx="5">
                  <c:v>147.0</c:v>
                </c:pt>
                <c:pt idx="6">
                  <c:v>154.0</c:v>
                </c:pt>
                <c:pt idx="7">
                  <c:v>161.0</c:v>
                </c:pt>
                <c:pt idx="8">
                  <c:v>168.0</c:v>
                </c:pt>
                <c:pt idx="9">
                  <c:v>175.0</c:v>
                </c:pt>
                <c:pt idx="10">
                  <c:v>192.0</c:v>
                </c:pt>
                <c:pt idx="11">
                  <c:v>216.0</c:v>
                </c:pt>
              </c:numCache>
            </c:numRef>
          </c:xVal>
          <c:yVal>
            <c:numRef>
              <c:f>Betula_pendula!$CD$66:$CD$95</c:f>
              <c:numCache>
                <c:formatCode>0.0</c:formatCode>
                <c:ptCount val="30"/>
                <c:pt idx="0">
                  <c:v>6.77142857142857</c:v>
                </c:pt>
                <c:pt idx="1">
                  <c:v>11.86857142857143</c:v>
                </c:pt>
                <c:pt idx="2">
                  <c:v>19.31428571428571</c:v>
                </c:pt>
                <c:pt idx="3">
                  <c:v>33.77428571428571</c:v>
                </c:pt>
                <c:pt idx="4">
                  <c:v>38.23142857142857</c:v>
                </c:pt>
                <c:pt idx="5">
                  <c:v>44.46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8216664"/>
        <c:axId val="-2118210968"/>
      </c:scatterChart>
      <c:valAx>
        <c:axId val="-2118216664"/>
        <c:scaling>
          <c:orientation val="minMax"/>
          <c:min val="90.0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8210968"/>
        <c:crosses val="autoZero"/>
        <c:crossBetween val="midCat"/>
      </c:valAx>
      <c:valAx>
        <c:axId val="-21182109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Knopp/bladlängd, mm</a:t>
                </a:r>
              </a:p>
            </c:rich>
          </c:tx>
          <c:layout>
            <c:manualLayout>
              <c:xMode val="edge"/>
              <c:yMode val="edge"/>
              <c:x val="0.00251817481148198"/>
              <c:y val="0.17241413972190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8216664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5634920634921"/>
          <c:y val="0.591489361702108"/>
          <c:w val="0.154761904761908"/>
          <c:h val="0.20851063829787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84788029925187"/>
          <c:y val="0.0632183908045977"/>
          <c:w val="0.877805486284334"/>
          <c:h val="0.781609195402299"/>
        </c:manualLayout>
      </c:layout>
      <c:scatterChart>
        <c:scatterStyle val="lineMarker"/>
        <c:varyColors val="0"/>
        <c:ser>
          <c:idx val="2"/>
          <c:order val="0"/>
          <c:tx>
            <c:v>Årets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Betula_pendula!$BO$66:$BO$95</c:f>
              <c:numCache>
                <c:formatCode>0</c:formatCode>
                <c:ptCount val="30"/>
                <c:pt idx="0">
                  <c:v>114.0</c:v>
                </c:pt>
                <c:pt idx="1">
                  <c:v>118.0</c:v>
                </c:pt>
                <c:pt idx="2">
                  <c:v>123.0</c:v>
                </c:pt>
                <c:pt idx="3">
                  <c:v>128.0</c:v>
                </c:pt>
                <c:pt idx="4">
                  <c:v>131.0</c:v>
                </c:pt>
                <c:pt idx="5">
                  <c:v>136.0</c:v>
                </c:pt>
                <c:pt idx="6">
                  <c:v>145.0</c:v>
                </c:pt>
                <c:pt idx="7">
                  <c:v>151.0</c:v>
                </c:pt>
                <c:pt idx="8">
                  <c:v>165.0</c:v>
                </c:pt>
                <c:pt idx="9">
                  <c:v>184.0</c:v>
                </c:pt>
                <c:pt idx="10">
                  <c:v>184.0</c:v>
                </c:pt>
                <c:pt idx="11">
                  <c:v>184.0</c:v>
                </c:pt>
                <c:pt idx="12">
                  <c:v>184.0</c:v>
                </c:pt>
                <c:pt idx="13">
                  <c:v>184.0</c:v>
                </c:pt>
                <c:pt idx="14">
                  <c:v>184.0</c:v>
                </c:pt>
                <c:pt idx="15">
                  <c:v>184.0</c:v>
                </c:pt>
                <c:pt idx="16">
                  <c:v>184.0</c:v>
                </c:pt>
                <c:pt idx="17">
                  <c:v>184.0</c:v>
                </c:pt>
                <c:pt idx="18">
                  <c:v>184.0</c:v>
                </c:pt>
                <c:pt idx="19">
                  <c:v>184.0</c:v>
                </c:pt>
                <c:pt idx="20">
                  <c:v>184.0</c:v>
                </c:pt>
                <c:pt idx="21">
                  <c:v>184.0</c:v>
                </c:pt>
                <c:pt idx="22">
                  <c:v>184.0</c:v>
                </c:pt>
                <c:pt idx="23">
                  <c:v>184.0</c:v>
                </c:pt>
                <c:pt idx="24">
                  <c:v>184.0</c:v>
                </c:pt>
                <c:pt idx="25">
                  <c:v>184.0</c:v>
                </c:pt>
                <c:pt idx="26">
                  <c:v>184.0</c:v>
                </c:pt>
                <c:pt idx="27">
                  <c:v>184.0</c:v>
                </c:pt>
                <c:pt idx="28">
                  <c:v>184.0</c:v>
                </c:pt>
                <c:pt idx="29">
                  <c:v>184.0</c:v>
                </c:pt>
              </c:numCache>
            </c:numRef>
          </c:xVal>
          <c:yVal>
            <c:numRef>
              <c:f>Betula_pendula!$BA$66:$BA$95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0.8</c:v>
                </c:pt>
                <c:pt idx="3">
                  <c:v>1.8</c:v>
                </c:pt>
                <c:pt idx="4">
                  <c:v>2.0</c:v>
                </c:pt>
                <c:pt idx="5">
                  <c:v>2.0</c:v>
                </c:pt>
                <c:pt idx="6">
                  <c:v>3.0</c:v>
                </c:pt>
                <c:pt idx="7">
                  <c:v>3.0</c:v>
                </c:pt>
                <c:pt idx="8">
                  <c:v>3.0</c:v>
                </c:pt>
                <c:pt idx="9">
                  <c:v>3.0</c:v>
                </c:pt>
                <c:pt idx="10">
                  <c:v>3.0</c:v>
                </c:pt>
                <c:pt idx="11">
                  <c:v>3.0</c:v>
                </c:pt>
                <c:pt idx="12">
                  <c:v>3.0</c:v>
                </c:pt>
                <c:pt idx="13">
                  <c:v>3.0</c:v>
                </c:pt>
                <c:pt idx="14">
                  <c:v>3.0</c:v>
                </c:pt>
                <c:pt idx="15">
                  <c:v>3.0</c:v>
                </c:pt>
                <c:pt idx="16">
                  <c:v>3.0</c:v>
                </c:pt>
                <c:pt idx="17">
                  <c:v>3.0</c:v>
                </c:pt>
                <c:pt idx="18">
                  <c:v>3.0</c:v>
                </c:pt>
                <c:pt idx="19">
                  <c:v>3.0</c:v>
                </c:pt>
                <c:pt idx="20">
                  <c:v>3.0</c:v>
                </c:pt>
                <c:pt idx="21">
                  <c:v>3.0</c:v>
                </c:pt>
                <c:pt idx="22">
                  <c:v>3.0</c:v>
                </c:pt>
                <c:pt idx="23">
                  <c:v>3.0</c:v>
                </c:pt>
                <c:pt idx="24">
                  <c:v>3.0</c:v>
                </c:pt>
                <c:pt idx="25">
                  <c:v>3.0</c:v>
                </c:pt>
                <c:pt idx="26">
                  <c:v>3.0</c:v>
                </c:pt>
                <c:pt idx="27">
                  <c:v>3.0</c:v>
                </c:pt>
                <c:pt idx="28">
                  <c:v>3.0</c:v>
                </c:pt>
                <c:pt idx="29">
                  <c:v>3.0</c:v>
                </c:pt>
              </c:numCache>
            </c:numRef>
          </c:yVal>
          <c:smooth val="0"/>
        </c:ser>
        <c:ser>
          <c:idx val="0"/>
          <c:order val="1"/>
          <c:tx>
            <c:v>2008</c:v>
          </c:tx>
          <c:spPr>
            <a:ln w="9525">
              <a:solidFill>
                <a:srgbClr val="FF9900"/>
              </a:solidFill>
            </a:ln>
          </c:spPr>
          <c:marker>
            <c:symbol val="square"/>
            <c:size val="4"/>
            <c:spPr>
              <a:noFill/>
              <a:ln>
                <a:solidFill>
                  <a:srgbClr val="FF9900"/>
                </a:solidFill>
              </a:ln>
            </c:spPr>
          </c:marker>
          <c:xVal>
            <c:numRef>
              <c:f>Betula_pendula!$CC$66:$CC$95</c:f>
              <c:numCache>
                <c:formatCode>0</c:formatCode>
                <c:ptCount val="30"/>
                <c:pt idx="0">
                  <c:v>116.0</c:v>
                </c:pt>
                <c:pt idx="1">
                  <c:v>121.0</c:v>
                </c:pt>
                <c:pt idx="2">
                  <c:v>127.0</c:v>
                </c:pt>
                <c:pt idx="3">
                  <c:v>132.0</c:v>
                </c:pt>
                <c:pt idx="4">
                  <c:v>136.0</c:v>
                </c:pt>
                <c:pt idx="5">
                  <c:v>147.0</c:v>
                </c:pt>
                <c:pt idx="6">
                  <c:v>154.0</c:v>
                </c:pt>
                <c:pt idx="7">
                  <c:v>161.0</c:v>
                </c:pt>
                <c:pt idx="8">
                  <c:v>168.0</c:v>
                </c:pt>
                <c:pt idx="9">
                  <c:v>175.0</c:v>
                </c:pt>
                <c:pt idx="10">
                  <c:v>192.0</c:v>
                </c:pt>
                <c:pt idx="11">
                  <c:v>216.0</c:v>
                </c:pt>
              </c:numCache>
            </c:numRef>
          </c:xVal>
          <c:yVal>
            <c:numRef>
              <c:f>Betula_pendula!$CE$66:$CE$95</c:f>
              <c:numCache>
                <c:formatCode>0</c:formatCode>
                <c:ptCount val="30"/>
                <c:pt idx="0">
                  <c:v>0.0</c:v>
                </c:pt>
                <c:pt idx="1">
                  <c:v>0.8</c:v>
                </c:pt>
                <c:pt idx="2">
                  <c:v>1.8</c:v>
                </c:pt>
                <c:pt idx="3">
                  <c:v>2.0</c:v>
                </c:pt>
                <c:pt idx="4">
                  <c:v>2.2</c:v>
                </c:pt>
                <c:pt idx="5">
                  <c:v>3.0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8159832"/>
        <c:axId val="-2118154200"/>
      </c:scatterChart>
      <c:valAx>
        <c:axId val="-2118159832"/>
        <c:scaling>
          <c:orientation val="minMax"/>
          <c:min val="90.0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8154200"/>
        <c:crosses val="autoZero"/>
        <c:crossBetween val="midCat"/>
      </c:valAx>
      <c:valAx>
        <c:axId val="-21181542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Bedömd fas</a:t>
                </a:r>
              </a:p>
            </c:rich>
          </c:tx>
          <c:layout>
            <c:manualLayout>
              <c:xMode val="edge"/>
              <c:yMode val="edge"/>
              <c:x val="0.00251817481148198"/>
              <c:y val="0.2988521213329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8159832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968253968254"/>
          <c:y val="0.594936708860744"/>
          <c:w val="0.154761904761908"/>
          <c:h val="0.2067510548523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206982543645"/>
          <c:y val="0.0632183908045977"/>
          <c:w val="0.845386533665836"/>
          <c:h val="0.781609195402299"/>
        </c:manualLayout>
      </c:layout>
      <c:scatterChart>
        <c:scatterStyle val="lineMarker"/>
        <c:varyColors val="0"/>
        <c:ser>
          <c:idx val="2"/>
          <c:order val="0"/>
          <c:tx>
            <c:v>Årets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Betula_pendula!$BO$96:$BO$125</c:f>
              <c:numCache>
                <c:formatCode>0</c:formatCode>
                <c:ptCount val="30"/>
                <c:pt idx="0">
                  <c:v>184.0</c:v>
                </c:pt>
                <c:pt idx="1">
                  <c:v>184.0</c:v>
                </c:pt>
                <c:pt idx="2">
                  <c:v>184.0</c:v>
                </c:pt>
                <c:pt idx="3">
                  <c:v>184.0</c:v>
                </c:pt>
                <c:pt idx="4">
                  <c:v>184.0</c:v>
                </c:pt>
                <c:pt idx="5">
                  <c:v>184.0</c:v>
                </c:pt>
                <c:pt idx="6">
                  <c:v>184.0</c:v>
                </c:pt>
                <c:pt idx="7">
                  <c:v>184.0</c:v>
                </c:pt>
                <c:pt idx="8">
                  <c:v>184.0</c:v>
                </c:pt>
                <c:pt idx="9">
                  <c:v>184.0</c:v>
                </c:pt>
                <c:pt idx="10">
                  <c:v>184.0</c:v>
                </c:pt>
                <c:pt idx="11">
                  <c:v>184.0</c:v>
                </c:pt>
                <c:pt idx="12">
                  <c:v>184.0</c:v>
                </c:pt>
                <c:pt idx="13">
                  <c:v>184.0</c:v>
                </c:pt>
                <c:pt idx="14">
                  <c:v>184.0</c:v>
                </c:pt>
                <c:pt idx="15">
                  <c:v>184.0</c:v>
                </c:pt>
                <c:pt idx="16">
                  <c:v>184.0</c:v>
                </c:pt>
                <c:pt idx="17">
                  <c:v>184.0</c:v>
                </c:pt>
                <c:pt idx="18">
                  <c:v>184.0</c:v>
                </c:pt>
                <c:pt idx="19">
                  <c:v>184.0</c:v>
                </c:pt>
                <c:pt idx="20">
                  <c:v>184.0</c:v>
                </c:pt>
                <c:pt idx="21">
                  <c:v>184.0</c:v>
                </c:pt>
                <c:pt idx="22">
                  <c:v>184.0</c:v>
                </c:pt>
                <c:pt idx="23">
                  <c:v>184.0</c:v>
                </c:pt>
                <c:pt idx="24">
                  <c:v>184.0</c:v>
                </c:pt>
                <c:pt idx="25">
                  <c:v>184.0</c:v>
                </c:pt>
                <c:pt idx="26">
                  <c:v>184.0</c:v>
                </c:pt>
                <c:pt idx="27">
                  <c:v>184.0</c:v>
                </c:pt>
                <c:pt idx="28">
                  <c:v>184.0</c:v>
                </c:pt>
                <c:pt idx="29">
                  <c:v>184.0</c:v>
                </c:pt>
              </c:numCache>
            </c:numRef>
          </c:xVal>
          <c:yVal>
            <c:numRef>
              <c:f>Betula_pendula!$AZ$96:$AZ$125</c:f>
              <c:numCache>
                <c:formatCode>0.00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</c:numCache>
            </c:numRef>
          </c:yVal>
          <c:smooth val="0"/>
        </c:ser>
        <c:ser>
          <c:idx val="1"/>
          <c:order val="1"/>
          <c:tx>
            <c:v>2006</c:v>
          </c:tx>
          <c:spPr>
            <a:ln w="9525">
              <a:solidFill>
                <a:srgbClr val="0000FF"/>
              </a:solidFill>
              <a:prstDash val="solid"/>
            </a:ln>
          </c:spPr>
          <c:marker>
            <c:symbol val="x"/>
            <c:size val="4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Betula_pendula!$CK$96:$CK$125</c:f>
              <c:numCache>
                <c:formatCode>0</c:formatCode>
                <c:ptCount val="30"/>
                <c:pt idx="0">
                  <c:v>128.0</c:v>
                </c:pt>
                <c:pt idx="1">
                  <c:v>129.0</c:v>
                </c:pt>
                <c:pt idx="2">
                  <c:v>130.0</c:v>
                </c:pt>
                <c:pt idx="3">
                  <c:v>131.0</c:v>
                </c:pt>
                <c:pt idx="4">
                  <c:v>132.0</c:v>
                </c:pt>
                <c:pt idx="5">
                  <c:v>134.0</c:v>
                </c:pt>
                <c:pt idx="6">
                  <c:v>135.0</c:v>
                </c:pt>
                <c:pt idx="7">
                  <c:v>136.0</c:v>
                </c:pt>
                <c:pt idx="8">
                  <c:v>137.0</c:v>
                </c:pt>
                <c:pt idx="9">
                  <c:v>139.0</c:v>
                </c:pt>
                <c:pt idx="10">
                  <c:v>140.0</c:v>
                </c:pt>
              </c:numCache>
            </c:numRef>
          </c:xVal>
          <c:yVal>
            <c:numRef>
              <c:f>Betula_pendula!$CL$96:$CL$125</c:f>
              <c:numCache>
                <c:formatCode>General</c:formatCode>
                <c:ptCount val="30"/>
                <c:pt idx="0">
                  <c:v>10.196</c:v>
                </c:pt>
                <c:pt idx="1">
                  <c:v>11.668</c:v>
                </c:pt>
                <c:pt idx="2">
                  <c:v>12.196</c:v>
                </c:pt>
                <c:pt idx="3">
                  <c:v>14.52</c:v>
                </c:pt>
                <c:pt idx="4">
                  <c:v>15.696</c:v>
                </c:pt>
                <c:pt idx="5">
                  <c:v>17.352</c:v>
                </c:pt>
                <c:pt idx="6">
                  <c:v>17.864</c:v>
                </c:pt>
                <c:pt idx="7">
                  <c:v>18.572</c:v>
                </c:pt>
                <c:pt idx="8">
                  <c:v>18.604</c:v>
                </c:pt>
                <c:pt idx="9">
                  <c:v>19.792</c:v>
                </c:pt>
                <c:pt idx="10">
                  <c:v>21.868</c:v>
                </c:pt>
              </c:numCache>
            </c:numRef>
          </c:yVal>
          <c:smooth val="0"/>
        </c:ser>
        <c:ser>
          <c:idx val="0"/>
          <c:order val="2"/>
          <c:tx>
            <c:v>2007</c:v>
          </c:tx>
          <c:spPr>
            <a:ln w="9525">
              <a:solidFill>
                <a:srgbClr val="0000FF"/>
              </a:solidFill>
            </a:ln>
          </c:spPr>
          <c:marker>
            <c:symbol val="triangle"/>
            <c:size val="4"/>
            <c:spPr>
              <a:noFill/>
              <a:ln>
                <a:solidFill>
                  <a:srgbClr val="0000FF"/>
                </a:solidFill>
              </a:ln>
            </c:spPr>
          </c:marker>
          <c:xVal>
            <c:numRef>
              <c:f>Betula_pendula!$CG$96:$CG$109</c:f>
              <c:numCache>
                <c:formatCode>0</c:formatCode>
                <c:ptCount val="14"/>
                <c:pt idx="0">
                  <c:v>117.0</c:v>
                </c:pt>
                <c:pt idx="1">
                  <c:v>122.0</c:v>
                </c:pt>
                <c:pt idx="2">
                  <c:v>124.0</c:v>
                </c:pt>
                <c:pt idx="3">
                  <c:v>127.0</c:v>
                </c:pt>
                <c:pt idx="4">
                  <c:v>128.0</c:v>
                </c:pt>
                <c:pt idx="5">
                  <c:v>130.0</c:v>
                </c:pt>
                <c:pt idx="6">
                  <c:v>131.0</c:v>
                </c:pt>
                <c:pt idx="7">
                  <c:v>134.0</c:v>
                </c:pt>
                <c:pt idx="8">
                  <c:v>136.0</c:v>
                </c:pt>
                <c:pt idx="9">
                  <c:v>139.0</c:v>
                </c:pt>
                <c:pt idx="10">
                  <c:v>141.0</c:v>
                </c:pt>
                <c:pt idx="11">
                  <c:v>142.0</c:v>
                </c:pt>
                <c:pt idx="12">
                  <c:v>145.0</c:v>
                </c:pt>
                <c:pt idx="13">
                  <c:v>150.0</c:v>
                </c:pt>
              </c:numCache>
            </c:numRef>
          </c:xVal>
          <c:yVal>
            <c:numRef>
              <c:f>Betula_pendula!$CH$96:$CH$109</c:f>
              <c:numCache>
                <c:formatCode>General</c:formatCode>
                <c:ptCount val="14"/>
                <c:pt idx="0">
                  <c:v>7.64</c:v>
                </c:pt>
                <c:pt idx="1">
                  <c:v>8.46</c:v>
                </c:pt>
                <c:pt idx="2">
                  <c:v>8.96</c:v>
                </c:pt>
                <c:pt idx="3">
                  <c:v>9.712</c:v>
                </c:pt>
                <c:pt idx="4">
                  <c:v>10.412</c:v>
                </c:pt>
                <c:pt idx="5">
                  <c:v>11.06</c:v>
                </c:pt>
                <c:pt idx="6">
                  <c:v>11.908</c:v>
                </c:pt>
                <c:pt idx="7">
                  <c:v>13.172</c:v>
                </c:pt>
                <c:pt idx="8">
                  <c:v>14.756</c:v>
                </c:pt>
                <c:pt idx="9">
                  <c:v>17.984</c:v>
                </c:pt>
                <c:pt idx="10">
                  <c:v>20.08</c:v>
                </c:pt>
                <c:pt idx="11">
                  <c:v>23.42</c:v>
                </c:pt>
                <c:pt idx="12">
                  <c:v>32.244</c:v>
                </c:pt>
                <c:pt idx="13">
                  <c:v>46.24</c:v>
                </c:pt>
              </c:numCache>
            </c:numRef>
          </c:yVal>
          <c:smooth val="0"/>
        </c:ser>
        <c:ser>
          <c:idx val="3"/>
          <c:order val="3"/>
          <c:tx>
            <c:v>2008</c:v>
          </c:tx>
          <c:spPr>
            <a:ln w="9525">
              <a:solidFill>
                <a:srgbClr val="0000FF"/>
              </a:solidFill>
            </a:ln>
          </c:spPr>
          <c:marker>
            <c:symbol val="square"/>
            <c:size val="4"/>
            <c:spPr>
              <a:noFill/>
              <a:ln>
                <a:solidFill>
                  <a:srgbClr val="0000FF"/>
                </a:solidFill>
              </a:ln>
            </c:spPr>
          </c:marker>
          <c:xVal>
            <c:numRef>
              <c:f>Betula_pendula!$CC$96:$CC$125</c:f>
              <c:numCache>
                <c:formatCode>0</c:formatCode>
                <c:ptCount val="30"/>
                <c:pt idx="0">
                  <c:v>121.0</c:v>
                </c:pt>
                <c:pt idx="1">
                  <c:v>126.0</c:v>
                </c:pt>
                <c:pt idx="2">
                  <c:v>128.0</c:v>
                </c:pt>
                <c:pt idx="3">
                  <c:v>130.0</c:v>
                </c:pt>
                <c:pt idx="4">
                  <c:v>132.0</c:v>
                </c:pt>
                <c:pt idx="5">
                  <c:v>133.0</c:v>
                </c:pt>
                <c:pt idx="6">
                  <c:v>134.0</c:v>
                </c:pt>
                <c:pt idx="7">
                  <c:v>135.0</c:v>
                </c:pt>
                <c:pt idx="8">
                  <c:v>136.0</c:v>
                </c:pt>
                <c:pt idx="9">
                  <c:v>140.0</c:v>
                </c:pt>
                <c:pt idx="10">
                  <c:v>144.0</c:v>
                </c:pt>
                <c:pt idx="11">
                  <c:v>148.0</c:v>
                </c:pt>
                <c:pt idx="12">
                  <c:v>151.0</c:v>
                </c:pt>
                <c:pt idx="13">
                  <c:v>154.0</c:v>
                </c:pt>
                <c:pt idx="14">
                  <c:v>168.0</c:v>
                </c:pt>
                <c:pt idx="15">
                  <c:v>179.0</c:v>
                </c:pt>
                <c:pt idx="16">
                  <c:v>186.0</c:v>
                </c:pt>
              </c:numCache>
            </c:numRef>
          </c:xVal>
          <c:yVal>
            <c:numRef>
              <c:f>Betula_pendula!$CD$96:$CD$125</c:f>
              <c:numCache>
                <c:formatCode>0.0</c:formatCode>
                <c:ptCount val="30"/>
                <c:pt idx="0">
                  <c:v>6.516</c:v>
                </c:pt>
                <c:pt idx="1">
                  <c:v>9.084</c:v>
                </c:pt>
                <c:pt idx="2">
                  <c:v>9.639999999999998</c:v>
                </c:pt>
                <c:pt idx="3">
                  <c:v>12.6</c:v>
                </c:pt>
                <c:pt idx="4">
                  <c:v>16.984</c:v>
                </c:pt>
                <c:pt idx="5">
                  <c:v>18.476</c:v>
                </c:pt>
                <c:pt idx="6">
                  <c:v>18.956</c:v>
                </c:pt>
                <c:pt idx="7">
                  <c:v>19.668</c:v>
                </c:pt>
                <c:pt idx="8">
                  <c:v>20.08</c:v>
                </c:pt>
                <c:pt idx="9">
                  <c:v>21.652</c:v>
                </c:pt>
                <c:pt idx="10">
                  <c:v>25.556</c:v>
                </c:pt>
                <c:pt idx="11">
                  <c:v>36.912</c:v>
                </c:pt>
                <c:pt idx="12">
                  <c:v>48.552</c:v>
                </c:pt>
                <c:pt idx="13">
                  <c:v>62.636</c:v>
                </c:pt>
                <c:pt idx="14">
                  <c:v>74.844</c:v>
                </c:pt>
                <c:pt idx="15">
                  <c:v>76.232</c:v>
                </c:pt>
                <c:pt idx="16">
                  <c:v>76.092</c:v>
                </c:pt>
              </c:numCache>
            </c:numRef>
          </c:yVal>
          <c:smooth val="0"/>
        </c:ser>
        <c:ser>
          <c:idx val="4"/>
          <c:order val="4"/>
          <c:tx>
            <c:v>2009</c:v>
          </c:tx>
          <c:spPr>
            <a:ln w="9525">
              <a:solidFill>
                <a:srgbClr val="0000FF"/>
              </a:solidFill>
            </a:ln>
          </c:spPr>
          <c:marker>
            <c:symbol val="diamond"/>
            <c:size val="4"/>
            <c:spPr>
              <a:noFill/>
              <a:ln>
                <a:solidFill>
                  <a:srgbClr val="0000FF"/>
                </a:solidFill>
              </a:ln>
            </c:spPr>
          </c:marker>
          <c:xVal>
            <c:numRef>
              <c:f>Betula_pendula!$BY$96:$BY$125</c:f>
              <c:numCache>
                <c:formatCode>0</c:formatCode>
                <c:ptCount val="30"/>
                <c:pt idx="0">
                  <c:v>91.0</c:v>
                </c:pt>
              </c:numCache>
            </c:numRef>
          </c:xVal>
          <c:yVal>
            <c:numRef>
              <c:f>Betula_pendula!$BZ$96:$BZ$125</c:f>
              <c:numCache>
                <c:formatCode>0.0</c:formatCode>
                <c:ptCount val="30"/>
                <c:pt idx="0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5794168"/>
        <c:axId val="-2117396888"/>
      </c:scatterChart>
      <c:valAx>
        <c:axId val="-2115794168"/>
        <c:scaling>
          <c:orientation val="minMax"/>
          <c:min val="90.0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7396888"/>
        <c:crosses val="autoZero"/>
        <c:crossBetween val="midCat"/>
      </c:valAx>
      <c:valAx>
        <c:axId val="-21173968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Knopp/bladlängd, mm</a:t>
                </a:r>
              </a:p>
            </c:rich>
          </c:tx>
          <c:layout>
            <c:manualLayout>
              <c:xMode val="edge"/>
              <c:yMode val="edge"/>
              <c:x val="0.0124687539057618"/>
              <c:y val="0.17241525660356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5794168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9603174603191"/>
          <c:y val="0.319148956892886"/>
          <c:w val="0.144841269841274"/>
          <c:h val="0.4851064144771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244389027431"/>
          <c:y val="0.0632183908045977"/>
          <c:w val="0.860349127182045"/>
          <c:h val="0.781609195402299"/>
        </c:manualLayout>
      </c:layout>
      <c:scatterChart>
        <c:scatterStyle val="lineMarker"/>
        <c:varyColors val="0"/>
        <c:ser>
          <c:idx val="2"/>
          <c:order val="0"/>
          <c:tx>
            <c:v>Årets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Betula_pendula!$BO$96:$BO$125</c:f>
              <c:numCache>
                <c:formatCode>0</c:formatCode>
                <c:ptCount val="30"/>
                <c:pt idx="0">
                  <c:v>184.0</c:v>
                </c:pt>
                <c:pt idx="1">
                  <c:v>184.0</c:v>
                </c:pt>
                <c:pt idx="2">
                  <c:v>184.0</c:v>
                </c:pt>
                <c:pt idx="3">
                  <c:v>184.0</c:v>
                </c:pt>
                <c:pt idx="4">
                  <c:v>184.0</c:v>
                </c:pt>
                <c:pt idx="5">
                  <c:v>184.0</c:v>
                </c:pt>
                <c:pt idx="6">
                  <c:v>184.0</c:v>
                </c:pt>
                <c:pt idx="7">
                  <c:v>184.0</c:v>
                </c:pt>
                <c:pt idx="8">
                  <c:v>184.0</c:v>
                </c:pt>
                <c:pt idx="9">
                  <c:v>184.0</c:v>
                </c:pt>
                <c:pt idx="10">
                  <c:v>184.0</c:v>
                </c:pt>
                <c:pt idx="11">
                  <c:v>184.0</c:v>
                </c:pt>
                <c:pt idx="12">
                  <c:v>184.0</c:v>
                </c:pt>
                <c:pt idx="13">
                  <c:v>184.0</c:v>
                </c:pt>
                <c:pt idx="14">
                  <c:v>184.0</c:v>
                </c:pt>
                <c:pt idx="15">
                  <c:v>184.0</c:v>
                </c:pt>
                <c:pt idx="16">
                  <c:v>184.0</c:v>
                </c:pt>
                <c:pt idx="17">
                  <c:v>184.0</c:v>
                </c:pt>
                <c:pt idx="18">
                  <c:v>184.0</c:v>
                </c:pt>
                <c:pt idx="19">
                  <c:v>184.0</c:v>
                </c:pt>
                <c:pt idx="20">
                  <c:v>184.0</c:v>
                </c:pt>
                <c:pt idx="21">
                  <c:v>184.0</c:v>
                </c:pt>
                <c:pt idx="22">
                  <c:v>184.0</c:v>
                </c:pt>
                <c:pt idx="23">
                  <c:v>184.0</c:v>
                </c:pt>
                <c:pt idx="24">
                  <c:v>184.0</c:v>
                </c:pt>
                <c:pt idx="25">
                  <c:v>184.0</c:v>
                </c:pt>
                <c:pt idx="26">
                  <c:v>184.0</c:v>
                </c:pt>
                <c:pt idx="27">
                  <c:v>184.0</c:v>
                </c:pt>
                <c:pt idx="28">
                  <c:v>184.0</c:v>
                </c:pt>
                <c:pt idx="29">
                  <c:v>184.0</c:v>
                </c:pt>
              </c:numCache>
            </c:numRef>
          </c:xVal>
          <c:yVal>
            <c:numRef>
              <c:f>Betula_pendula!$BA$96:$BA$125</c:f>
              <c:numCache>
                <c:formatCode>0.0</c:formatCode>
                <c:ptCount val="30"/>
                <c:pt idx="0">
                  <c:v>3.0</c:v>
                </c:pt>
                <c:pt idx="1">
                  <c:v>3.0</c:v>
                </c:pt>
                <c:pt idx="2">
                  <c:v>3.0</c:v>
                </c:pt>
                <c:pt idx="3">
                  <c:v>3.0</c:v>
                </c:pt>
                <c:pt idx="4">
                  <c:v>3.0</c:v>
                </c:pt>
                <c:pt idx="5">
                  <c:v>3.0</c:v>
                </c:pt>
                <c:pt idx="6">
                  <c:v>3.0</c:v>
                </c:pt>
                <c:pt idx="7">
                  <c:v>3.0</c:v>
                </c:pt>
                <c:pt idx="8">
                  <c:v>3.0</c:v>
                </c:pt>
                <c:pt idx="9">
                  <c:v>3.0</c:v>
                </c:pt>
                <c:pt idx="10">
                  <c:v>3.0</c:v>
                </c:pt>
                <c:pt idx="11">
                  <c:v>3.0</c:v>
                </c:pt>
                <c:pt idx="12">
                  <c:v>3.0</c:v>
                </c:pt>
                <c:pt idx="13">
                  <c:v>3.0</c:v>
                </c:pt>
                <c:pt idx="14">
                  <c:v>3.0</c:v>
                </c:pt>
                <c:pt idx="15">
                  <c:v>3.0</c:v>
                </c:pt>
                <c:pt idx="16">
                  <c:v>3.0</c:v>
                </c:pt>
                <c:pt idx="17">
                  <c:v>3.0</c:v>
                </c:pt>
                <c:pt idx="18">
                  <c:v>3.0</c:v>
                </c:pt>
                <c:pt idx="19">
                  <c:v>3.0</c:v>
                </c:pt>
                <c:pt idx="20">
                  <c:v>3.0</c:v>
                </c:pt>
                <c:pt idx="21">
                  <c:v>3.0</c:v>
                </c:pt>
                <c:pt idx="22">
                  <c:v>3.0</c:v>
                </c:pt>
                <c:pt idx="23">
                  <c:v>3.0</c:v>
                </c:pt>
                <c:pt idx="24">
                  <c:v>3.0</c:v>
                </c:pt>
                <c:pt idx="25">
                  <c:v>3.0</c:v>
                </c:pt>
                <c:pt idx="26">
                  <c:v>3.0</c:v>
                </c:pt>
                <c:pt idx="27">
                  <c:v>3.0</c:v>
                </c:pt>
                <c:pt idx="28">
                  <c:v>3.0</c:v>
                </c:pt>
                <c:pt idx="29">
                  <c:v>3.0</c:v>
                </c:pt>
              </c:numCache>
            </c:numRef>
          </c:yVal>
          <c:smooth val="0"/>
        </c:ser>
        <c:ser>
          <c:idx val="1"/>
          <c:order val="1"/>
          <c:tx>
            <c:v>2006</c:v>
          </c:tx>
          <c:spPr>
            <a:ln w="9525">
              <a:solidFill>
                <a:srgbClr val="0000FF"/>
              </a:solidFill>
              <a:prstDash val="solid"/>
            </a:ln>
          </c:spPr>
          <c:marker>
            <c:symbol val="x"/>
            <c:size val="4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Betula_pendula!$CK$96:$CK$125</c:f>
              <c:numCache>
                <c:formatCode>0</c:formatCode>
                <c:ptCount val="30"/>
                <c:pt idx="0">
                  <c:v>128.0</c:v>
                </c:pt>
                <c:pt idx="1">
                  <c:v>129.0</c:v>
                </c:pt>
                <c:pt idx="2">
                  <c:v>130.0</c:v>
                </c:pt>
                <c:pt idx="3">
                  <c:v>131.0</c:v>
                </c:pt>
                <c:pt idx="4">
                  <c:v>132.0</c:v>
                </c:pt>
                <c:pt idx="5">
                  <c:v>134.0</c:v>
                </c:pt>
                <c:pt idx="6">
                  <c:v>135.0</c:v>
                </c:pt>
                <c:pt idx="7">
                  <c:v>136.0</c:v>
                </c:pt>
                <c:pt idx="8">
                  <c:v>137.0</c:v>
                </c:pt>
                <c:pt idx="9">
                  <c:v>139.0</c:v>
                </c:pt>
                <c:pt idx="10">
                  <c:v>140.0</c:v>
                </c:pt>
              </c:numCache>
            </c:numRef>
          </c:xVal>
          <c:yVal>
            <c:numRef>
              <c:f>Betula_pendula!$CM$96:$CM$125</c:f>
              <c:numCache>
                <c:formatCode>General</c:formatCode>
                <c:ptCount val="30"/>
                <c:pt idx="0">
                  <c:v>0.0</c:v>
                </c:pt>
                <c:pt idx="1">
                  <c:v>0.4</c:v>
                </c:pt>
                <c:pt idx="2">
                  <c:v>0.6</c:v>
                </c:pt>
                <c:pt idx="3">
                  <c:v>0.6</c:v>
                </c:pt>
                <c:pt idx="4">
                  <c:v>1.2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1.6</c:v>
                </c:pt>
                <c:pt idx="9">
                  <c:v>1.8</c:v>
                </c:pt>
                <c:pt idx="10">
                  <c:v>2.0</c:v>
                </c:pt>
              </c:numCache>
            </c:numRef>
          </c:yVal>
          <c:smooth val="0"/>
        </c:ser>
        <c:ser>
          <c:idx val="0"/>
          <c:order val="2"/>
          <c:tx>
            <c:v>2007</c:v>
          </c:tx>
          <c:spPr>
            <a:ln w="9525">
              <a:solidFill>
                <a:srgbClr val="0000FF"/>
              </a:solidFill>
            </a:ln>
          </c:spPr>
          <c:marker>
            <c:symbol val="triangle"/>
            <c:size val="4"/>
            <c:spPr>
              <a:noFill/>
              <a:ln>
                <a:solidFill>
                  <a:srgbClr val="0000FF"/>
                </a:solidFill>
              </a:ln>
            </c:spPr>
          </c:marker>
          <c:xVal>
            <c:numRef>
              <c:f>Betula_pendula!$CG$96:$CG$109</c:f>
              <c:numCache>
                <c:formatCode>0</c:formatCode>
                <c:ptCount val="14"/>
                <c:pt idx="0">
                  <c:v>117.0</c:v>
                </c:pt>
                <c:pt idx="1">
                  <c:v>122.0</c:v>
                </c:pt>
                <c:pt idx="2">
                  <c:v>124.0</c:v>
                </c:pt>
                <c:pt idx="3">
                  <c:v>127.0</c:v>
                </c:pt>
                <c:pt idx="4">
                  <c:v>128.0</c:v>
                </c:pt>
                <c:pt idx="5">
                  <c:v>130.0</c:v>
                </c:pt>
                <c:pt idx="6">
                  <c:v>131.0</c:v>
                </c:pt>
                <c:pt idx="7">
                  <c:v>134.0</c:v>
                </c:pt>
                <c:pt idx="8">
                  <c:v>136.0</c:v>
                </c:pt>
                <c:pt idx="9">
                  <c:v>139.0</c:v>
                </c:pt>
                <c:pt idx="10">
                  <c:v>141.0</c:v>
                </c:pt>
                <c:pt idx="11">
                  <c:v>142.0</c:v>
                </c:pt>
                <c:pt idx="12">
                  <c:v>145.0</c:v>
                </c:pt>
                <c:pt idx="13">
                  <c:v>150.0</c:v>
                </c:pt>
              </c:numCache>
            </c:numRef>
          </c:xVal>
          <c:yVal>
            <c:numRef>
              <c:f>Betula_pendula!$CI$96:$CI$109</c:f>
              <c:numCache>
                <c:formatCode>0.0</c:formatCode>
                <c:ptCount val="14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0.8</c:v>
                </c:pt>
                <c:pt idx="10">
                  <c:v>1.8</c:v>
                </c:pt>
                <c:pt idx="11">
                  <c:v>2.0</c:v>
                </c:pt>
                <c:pt idx="12">
                  <c:v>2.2</c:v>
                </c:pt>
                <c:pt idx="13">
                  <c:v>3.0</c:v>
                </c:pt>
              </c:numCache>
            </c:numRef>
          </c:yVal>
          <c:smooth val="0"/>
        </c:ser>
        <c:ser>
          <c:idx val="3"/>
          <c:order val="3"/>
          <c:tx>
            <c:v>2008</c:v>
          </c:tx>
          <c:spPr>
            <a:ln w="9525">
              <a:solidFill>
                <a:srgbClr val="0000FF"/>
              </a:solidFill>
            </a:ln>
          </c:spPr>
          <c:marker>
            <c:symbol val="square"/>
            <c:size val="4"/>
            <c:spPr>
              <a:noFill/>
              <a:ln>
                <a:solidFill>
                  <a:srgbClr val="0000FF"/>
                </a:solidFill>
              </a:ln>
            </c:spPr>
          </c:marker>
          <c:xVal>
            <c:numRef>
              <c:f>Betula_pendula!$CC$96:$CC$125</c:f>
              <c:numCache>
                <c:formatCode>0</c:formatCode>
                <c:ptCount val="30"/>
                <c:pt idx="0">
                  <c:v>121.0</c:v>
                </c:pt>
                <c:pt idx="1">
                  <c:v>126.0</c:v>
                </c:pt>
                <c:pt idx="2">
                  <c:v>128.0</c:v>
                </c:pt>
                <c:pt idx="3">
                  <c:v>130.0</c:v>
                </c:pt>
                <c:pt idx="4">
                  <c:v>132.0</c:v>
                </c:pt>
                <c:pt idx="5">
                  <c:v>133.0</c:v>
                </c:pt>
                <c:pt idx="6">
                  <c:v>134.0</c:v>
                </c:pt>
                <c:pt idx="7">
                  <c:v>135.0</c:v>
                </c:pt>
                <c:pt idx="8">
                  <c:v>136.0</c:v>
                </c:pt>
                <c:pt idx="9">
                  <c:v>140.0</c:v>
                </c:pt>
                <c:pt idx="10">
                  <c:v>144.0</c:v>
                </c:pt>
                <c:pt idx="11">
                  <c:v>148.0</c:v>
                </c:pt>
                <c:pt idx="12">
                  <c:v>151.0</c:v>
                </c:pt>
                <c:pt idx="13">
                  <c:v>154.0</c:v>
                </c:pt>
                <c:pt idx="14">
                  <c:v>168.0</c:v>
                </c:pt>
                <c:pt idx="15">
                  <c:v>179.0</c:v>
                </c:pt>
                <c:pt idx="16">
                  <c:v>186.0</c:v>
                </c:pt>
              </c:numCache>
            </c:numRef>
          </c:xVal>
          <c:yVal>
            <c:numRef>
              <c:f>Betula_pendula!$CE$96:$CE$125</c:f>
              <c:numCache>
                <c:formatCode>0</c:formatCode>
                <c:ptCount val="30"/>
                <c:pt idx="0">
                  <c:v>0.0</c:v>
                </c:pt>
                <c:pt idx="1">
                  <c:v>0.2</c:v>
                </c:pt>
                <c:pt idx="2">
                  <c:v>0.2</c:v>
                </c:pt>
                <c:pt idx="3">
                  <c:v>0.4</c:v>
                </c:pt>
                <c:pt idx="4">
                  <c:v>1.2</c:v>
                </c:pt>
                <c:pt idx="5">
                  <c:v>1.6</c:v>
                </c:pt>
                <c:pt idx="6">
                  <c:v>1.6</c:v>
                </c:pt>
                <c:pt idx="7">
                  <c:v>1.6</c:v>
                </c:pt>
                <c:pt idx="8">
                  <c:v>2.0</c:v>
                </c:pt>
                <c:pt idx="9">
                  <c:v>2.2</c:v>
                </c:pt>
                <c:pt idx="10">
                  <c:v>2.4</c:v>
                </c:pt>
                <c:pt idx="11">
                  <c:v>3.0</c:v>
                </c:pt>
              </c:numCache>
            </c:numRef>
          </c:yVal>
          <c:smooth val="0"/>
        </c:ser>
        <c:ser>
          <c:idx val="4"/>
          <c:order val="4"/>
          <c:tx>
            <c:v>2009</c:v>
          </c:tx>
          <c:spPr>
            <a:ln w="9525">
              <a:solidFill>
                <a:srgbClr val="0000FF"/>
              </a:solidFill>
            </a:ln>
          </c:spPr>
          <c:marker>
            <c:symbol val="diamond"/>
            <c:size val="4"/>
            <c:spPr>
              <a:noFill/>
              <a:ln>
                <a:solidFill>
                  <a:srgbClr val="0000FF"/>
                </a:solidFill>
              </a:ln>
            </c:spPr>
          </c:marker>
          <c:xVal>
            <c:numRef>
              <c:f>Betula_pendula!$BY$96:$BY$125</c:f>
              <c:numCache>
                <c:formatCode>0</c:formatCode>
                <c:ptCount val="30"/>
                <c:pt idx="0">
                  <c:v>91.0</c:v>
                </c:pt>
              </c:numCache>
            </c:numRef>
          </c:xVal>
          <c:yVal>
            <c:numRef>
              <c:f>Betula_pendula!$CA$96:$CA$125</c:f>
              <c:numCache>
                <c:formatCode>0.0</c:formatCode>
                <c:ptCount val="30"/>
                <c:pt idx="0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7777432"/>
        <c:axId val="-2118976232"/>
      </c:scatterChart>
      <c:valAx>
        <c:axId val="-2117777432"/>
        <c:scaling>
          <c:orientation val="minMax"/>
          <c:min val="90.0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8976232"/>
        <c:crosses val="autoZero"/>
        <c:crossBetween val="midCat"/>
      </c:valAx>
      <c:valAx>
        <c:axId val="-21189762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Bedömd fas</a:t>
                </a:r>
              </a:p>
            </c:rich>
          </c:tx>
          <c:layout>
            <c:manualLayout>
              <c:xMode val="edge"/>
              <c:yMode val="edge"/>
              <c:x val="0.0124687539057618"/>
              <c:y val="0.30651516661683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7777432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9604216139661"/>
          <c:y val="0.320676766669999"/>
          <c:w val="0.144841530225387"/>
          <c:h val="0.48945424543451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997506234413971"/>
          <c:y val="0.0632183908045977"/>
          <c:w val="0.862842892768127"/>
          <c:h val="0.781609195402299"/>
        </c:manualLayout>
      </c:layout>
      <c:scatterChart>
        <c:scatterStyle val="lineMarker"/>
        <c:varyColors val="0"/>
        <c:ser>
          <c:idx val="2"/>
          <c:order val="0"/>
          <c:tx>
            <c:v>Årets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Betula_pendula!$BO$126:$BO$155</c:f>
              <c:numCache>
                <c:formatCode>0</c:formatCode>
                <c:ptCount val="30"/>
                <c:pt idx="0">
                  <c:v>184.0</c:v>
                </c:pt>
                <c:pt idx="1">
                  <c:v>184.0</c:v>
                </c:pt>
                <c:pt idx="2">
                  <c:v>184.0</c:v>
                </c:pt>
                <c:pt idx="3">
                  <c:v>184.0</c:v>
                </c:pt>
                <c:pt idx="4">
                  <c:v>184.0</c:v>
                </c:pt>
                <c:pt idx="5">
                  <c:v>184.0</c:v>
                </c:pt>
                <c:pt idx="6">
                  <c:v>184.0</c:v>
                </c:pt>
                <c:pt idx="7">
                  <c:v>184.0</c:v>
                </c:pt>
                <c:pt idx="8">
                  <c:v>184.0</c:v>
                </c:pt>
                <c:pt idx="9">
                  <c:v>184.0</c:v>
                </c:pt>
                <c:pt idx="10">
                  <c:v>184.0</c:v>
                </c:pt>
                <c:pt idx="11">
                  <c:v>184.0</c:v>
                </c:pt>
                <c:pt idx="12">
                  <c:v>184.0</c:v>
                </c:pt>
                <c:pt idx="13">
                  <c:v>184.0</c:v>
                </c:pt>
                <c:pt idx="14">
                  <c:v>184.0</c:v>
                </c:pt>
                <c:pt idx="15">
                  <c:v>184.0</c:v>
                </c:pt>
                <c:pt idx="16">
                  <c:v>184.0</c:v>
                </c:pt>
                <c:pt idx="17">
                  <c:v>184.0</c:v>
                </c:pt>
                <c:pt idx="18">
                  <c:v>184.0</c:v>
                </c:pt>
                <c:pt idx="19">
                  <c:v>184.0</c:v>
                </c:pt>
                <c:pt idx="20">
                  <c:v>184.0</c:v>
                </c:pt>
                <c:pt idx="21">
                  <c:v>184.0</c:v>
                </c:pt>
                <c:pt idx="22">
                  <c:v>184.0</c:v>
                </c:pt>
                <c:pt idx="23">
                  <c:v>184.0</c:v>
                </c:pt>
                <c:pt idx="24">
                  <c:v>184.0</c:v>
                </c:pt>
                <c:pt idx="25">
                  <c:v>184.0</c:v>
                </c:pt>
                <c:pt idx="26">
                  <c:v>184.0</c:v>
                </c:pt>
                <c:pt idx="27">
                  <c:v>184.0</c:v>
                </c:pt>
                <c:pt idx="28">
                  <c:v>184.0</c:v>
                </c:pt>
                <c:pt idx="29">
                  <c:v>184.0</c:v>
                </c:pt>
              </c:numCache>
            </c:numRef>
          </c:xVal>
          <c:yVal>
            <c:numRef>
              <c:f>Betula_pendula!$AZ$126:$AZ$155</c:f>
              <c:numCache>
                <c:formatCode>0.00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1"/>
          <c:order val="1"/>
          <c:tx>
            <c:v>2006</c:v>
          </c:tx>
          <c:spPr>
            <a:ln w="9525">
              <a:solidFill>
                <a:srgbClr val="00FFFF"/>
              </a:solidFill>
              <a:prstDash val="solid"/>
            </a:ln>
          </c:spPr>
          <c:marker>
            <c:symbol val="x"/>
            <c:size val="4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Betula_pendula!$CK$126:$CK$155</c:f>
              <c:numCache>
                <c:formatCode>0</c:formatCode>
                <c:ptCount val="30"/>
                <c:pt idx="0">
                  <c:v>126.0</c:v>
                </c:pt>
                <c:pt idx="1">
                  <c:v>128.0</c:v>
                </c:pt>
                <c:pt idx="2">
                  <c:v>131.0</c:v>
                </c:pt>
                <c:pt idx="3">
                  <c:v>137.0</c:v>
                </c:pt>
                <c:pt idx="4">
                  <c:v>142.0</c:v>
                </c:pt>
                <c:pt idx="5">
                  <c:v>146.0</c:v>
                </c:pt>
                <c:pt idx="6">
                  <c:v>149.0</c:v>
                </c:pt>
                <c:pt idx="7">
                  <c:v>151.0</c:v>
                </c:pt>
                <c:pt idx="8">
                  <c:v>153.0</c:v>
                </c:pt>
                <c:pt idx="9">
                  <c:v>158.0</c:v>
                </c:pt>
                <c:pt idx="10">
                  <c:v>160.0</c:v>
                </c:pt>
                <c:pt idx="11">
                  <c:v>163.0</c:v>
                </c:pt>
                <c:pt idx="12">
                  <c:v>165.0</c:v>
                </c:pt>
                <c:pt idx="13">
                  <c:v>167.0</c:v>
                </c:pt>
                <c:pt idx="14">
                  <c:v>170.0</c:v>
                </c:pt>
                <c:pt idx="15">
                  <c:v>173.0</c:v>
                </c:pt>
              </c:numCache>
            </c:numRef>
          </c:xVal>
          <c:yVal>
            <c:numRef>
              <c:f>Betula_pendula!$CL$126:$CL$155</c:f>
              <c:numCache>
                <c:formatCode>General</c:formatCode>
                <c:ptCount val="30"/>
                <c:pt idx="2">
                  <c:v>12.796</c:v>
                </c:pt>
                <c:pt idx="3">
                  <c:v>15.688</c:v>
                </c:pt>
                <c:pt idx="4">
                  <c:v>19.5</c:v>
                </c:pt>
                <c:pt idx="5">
                  <c:v>23.84</c:v>
                </c:pt>
                <c:pt idx="6">
                  <c:v>26.96</c:v>
                </c:pt>
                <c:pt idx="7">
                  <c:v>28.52</c:v>
                </c:pt>
                <c:pt idx="8">
                  <c:v>30.972</c:v>
                </c:pt>
                <c:pt idx="9">
                  <c:v>36.348</c:v>
                </c:pt>
                <c:pt idx="10">
                  <c:v>39.904</c:v>
                </c:pt>
                <c:pt idx="11">
                  <c:v>43.044</c:v>
                </c:pt>
                <c:pt idx="12">
                  <c:v>44.356</c:v>
                </c:pt>
                <c:pt idx="13">
                  <c:v>44.872</c:v>
                </c:pt>
                <c:pt idx="14">
                  <c:v>45.468</c:v>
                </c:pt>
                <c:pt idx="15">
                  <c:v>45.488</c:v>
                </c:pt>
              </c:numCache>
            </c:numRef>
          </c:yVal>
          <c:smooth val="0"/>
        </c:ser>
        <c:ser>
          <c:idx val="0"/>
          <c:order val="2"/>
          <c:tx>
            <c:v>2007</c:v>
          </c:tx>
          <c:spPr>
            <a:ln w="9525">
              <a:solidFill>
                <a:srgbClr val="00FFFF"/>
              </a:solidFill>
            </a:ln>
          </c:spPr>
          <c:marker>
            <c:symbol val="circle"/>
            <c:size val="4"/>
            <c:spPr>
              <a:noFill/>
              <a:ln>
                <a:solidFill>
                  <a:srgbClr val="00CCFF"/>
                </a:solidFill>
              </a:ln>
            </c:spPr>
          </c:marker>
          <c:xVal>
            <c:numRef>
              <c:f>Betula_pendula!$CG$126:$CG$150</c:f>
              <c:numCache>
                <c:formatCode>0</c:formatCode>
                <c:ptCount val="25"/>
                <c:pt idx="0">
                  <c:v>123.0</c:v>
                </c:pt>
                <c:pt idx="1">
                  <c:v>127.0</c:v>
                </c:pt>
                <c:pt idx="2">
                  <c:v>130.0</c:v>
                </c:pt>
                <c:pt idx="3">
                  <c:v>134.0</c:v>
                </c:pt>
                <c:pt idx="4">
                  <c:v>136.0</c:v>
                </c:pt>
                <c:pt idx="5">
                  <c:v>138.0</c:v>
                </c:pt>
                <c:pt idx="6">
                  <c:v>141.0</c:v>
                </c:pt>
                <c:pt idx="7">
                  <c:v>143.0</c:v>
                </c:pt>
                <c:pt idx="8">
                  <c:v>145.0</c:v>
                </c:pt>
                <c:pt idx="9">
                  <c:v>148.0</c:v>
                </c:pt>
                <c:pt idx="10">
                  <c:v>151.0</c:v>
                </c:pt>
                <c:pt idx="11">
                  <c:v>155.0</c:v>
                </c:pt>
                <c:pt idx="12">
                  <c:v>159.0</c:v>
                </c:pt>
                <c:pt idx="13">
                  <c:v>162.0</c:v>
                </c:pt>
                <c:pt idx="14">
                  <c:v>169.0</c:v>
                </c:pt>
                <c:pt idx="15">
                  <c:v>176.0</c:v>
                </c:pt>
                <c:pt idx="16">
                  <c:v>242.0</c:v>
                </c:pt>
                <c:pt idx="17">
                  <c:v>247.0</c:v>
                </c:pt>
                <c:pt idx="18">
                  <c:v>254.0</c:v>
                </c:pt>
                <c:pt idx="19">
                  <c:v>261.0</c:v>
                </c:pt>
                <c:pt idx="20">
                  <c:v>267.0</c:v>
                </c:pt>
                <c:pt idx="21">
                  <c:v>274.0</c:v>
                </c:pt>
                <c:pt idx="22">
                  <c:v>281.0</c:v>
                </c:pt>
                <c:pt idx="23">
                  <c:v>288.0</c:v>
                </c:pt>
                <c:pt idx="24">
                  <c:v>295.0</c:v>
                </c:pt>
              </c:numCache>
            </c:numRef>
          </c:xVal>
          <c:yVal>
            <c:numRef>
              <c:f>Betula_pendula!$CH$126:$CH$150</c:f>
              <c:numCache>
                <c:formatCode>General</c:formatCode>
                <c:ptCount val="25"/>
                <c:pt idx="0">
                  <c:v>7.132</c:v>
                </c:pt>
                <c:pt idx="1">
                  <c:v>7.859999999999999</c:v>
                </c:pt>
                <c:pt idx="2">
                  <c:v>8.736000000000001</c:v>
                </c:pt>
                <c:pt idx="3">
                  <c:v>9.952</c:v>
                </c:pt>
                <c:pt idx="4">
                  <c:v>10.496</c:v>
                </c:pt>
                <c:pt idx="5">
                  <c:v>11.312</c:v>
                </c:pt>
                <c:pt idx="6">
                  <c:v>13.612</c:v>
                </c:pt>
                <c:pt idx="7">
                  <c:v>16.684</c:v>
                </c:pt>
                <c:pt idx="8">
                  <c:v>19.744</c:v>
                </c:pt>
                <c:pt idx="9">
                  <c:v>25.356</c:v>
                </c:pt>
                <c:pt idx="10">
                  <c:v>31.716</c:v>
                </c:pt>
                <c:pt idx="11">
                  <c:v>39.004</c:v>
                </c:pt>
                <c:pt idx="12">
                  <c:v>42.432</c:v>
                </c:pt>
                <c:pt idx="13">
                  <c:v>43.236</c:v>
                </c:pt>
                <c:pt idx="14">
                  <c:v>43.956</c:v>
                </c:pt>
                <c:pt idx="15">
                  <c:v>43.972</c:v>
                </c:pt>
              </c:numCache>
            </c:numRef>
          </c:yVal>
          <c:smooth val="0"/>
        </c:ser>
        <c:ser>
          <c:idx val="3"/>
          <c:order val="3"/>
          <c:tx>
            <c:v>2008</c:v>
          </c:tx>
          <c:spPr>
            <a:ln w="9525">
              <a:solidFill>
                <a:srgbClr val="00FFFF"/>
              </a:solidFill>
            </a:ln>
          </c:spPr>
          <c:marker>
            <c:symbol val="square"/>
            <c:size val="4"/>
            <c:spPr>
              <a:noFill/>
              <a:ln>
                <a:solidFill>
                  <a:srgbClr val="00FFFF"/>
                </a:solidFill>
              </a:ln>
            </c:spPr>
          </c:marker>
          <c:xVal>
            <c:numRef>
              <c:f>Betula_pendula!$CC$126:$CC$155</c:f>
              <c:numCache>
                <c:formatCode>0</c:formatCode>
                <c:ptCount val="30"/>
                <c:pt idx="0">
                  <c:v>123.0</c:v>
                </c:pt>
                <c:pt idx="1">
                  <c:v>129.0</c:v>
                </c:pt>
                <c:pt idx="2">
                  <c:v>133.0</c:v>
                </c:pt>
                <c:pt idx="3">
                  <c:v>137.0</c:v>
                </c:pt>
                <c:pt idx="4">
                  <c:v>144.0</c:v>
                </c:pt>
                <c:pt idx="5">
                  <c:v>147.0</c:v>
                </c:pt>
                <c:pt idx="6">
                  <c:v>150.0</c:v>
                </c:pt>
                <c:pt idx="7">
                  <c:v>154.0</c:v>
                </c:pt>
                <c:pt idx="8">
                  <c:v>157.0</c:v>
                </c:pt>
                <c:pt idx="9">
                  <c:v>163.0</c:v>
                </c:pt>
                <c:pt idx="10">
                  <c:v>170.0</c:v>
                </c:pt>
                <c:pt idx="11">
                  <c:v>178.0</c:v>
                </c:pt>
                <c:pt idx="12">
                  <c:v>239.0</c:v>
                </c:pt>
                <c:pt idx="13">
                  <c:v>246.0</c:v>
                </c:pt>
                <c:pt idx="14">
                  <c:v>252.0</c:v>
                </c:pt>
                <c:pt idx="15">
                  <c:v>259.0</c:v>
                </c:pt>
                <c:pt idx="16">
                  <c:v>266.0</c:v>
                </c:pt>
                <c:pt idx="17">
                  <c:v>273.0</c:v>
                </c:pt>
                <c:pt idx="18">
                  <c:v>282.0</c:v>
                </c:pt>
                <c:pt idx="19">
                  <c:v>288.0</c:v>
                </c:pt>
              </c:numCache>
            </c:numRef>
          </c:xVal>
          <c:yVal>
            <c:numRef>
              <c:f>Betula_pendula!$CD$126:$CD$155</c:f>
              <c:numCache>
                <c:formatCode>0.0</c:formatCode>
                <c:ptCount val="30"/>
                <c:pt idx="0">
                  <c:v>5.888000000000001</c:v>
                </c:pt>
                <c:pt idx="1">
                  <c:v>7.0</c:v>
                </c:pt>
                <c:pt idx="2">
                  <c:v>9.324</c:v>
                </c:pt>
                <c:pt idx="3">
                  <c:v>9.76</c:v>
                </c:pt>
                <c:pt idx="4">
                  <c:v>11.519</c:v>
                </c:pt>
                <c:pt idx="5">
                  <c:v>14.916</c:v>
                </c:pt>
                <c:pt idx="6">
                  <c:v>19.6</c:v>
                </c:pt>
                <c:pt idx="7">
                  <c:v>31.56</c:v>
                </c:pt>
                <c:pt idx="8">
                  <c:v>38.924</c:v>
                </c:pt>
                <c:pt idx="9">
                  <c:v>43.16</c:v>
                </c:pt>
                <c:pt idx="10">
                  <c:v>46.316</c:v>
                </c:pt>
                <c:pt idx="11">
                  <c:v>47.508</c:v>
                </c:pt>
              </c:numCache>
            </c:numRef>
          </c:yVal>
          <c:smooth val="0"/>
        </c:ser>
        <c:ser>
          <c:idx val="4"/>
          <c:order val="4"/>
          <c:tx>
            <c:v>2009</c:v>
          </c:tx>
          <c:spPr>
            <a:ln w="9525">
              <a:solidFill>
                <a:srgbClr val="00FFFF"/>
              </a:solidFill>
            </a:ln>
          </c:spPr>
          <c:marker>
            <c:symbol val="diamond"/>
            <c:size val="4"/>
            <c:spPr>
              <a:noFill/>
              <a:ln>
                <a:solidFill>
                  <a:srgbClr val="00FFFF"/>
                </a:solidFill>
              </a:ln>
            </c:spPr>
          </c:marker>
          <c:xVal>
            <c:numRef>
              <c:f>Betula_pendula!$BY$126:$BY$155</c:f>
              <c:numCache>
                <c:formatCode>0</c:formatCode>
                <c:ptCount val="30"/>
                <c:pt idx="0">
                  <c:v>91.0</c:v>
                </c:pt>
              </c:numCache>
            </c:numRef>
          </c:xVal>
          <c:yVal>
            <c:numRef>
              <c:f>Betula_pendula!$BZ$126:$BZ$155</c:f>
              <c:numCache>
                <c:formatCode>0.0</c:formatCode>
                <c:ptCount val="30"/>
                <c:pt idx="0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7422120"/>
        <c:axId val="-2118021704"/>
      </c:scatterChart>
      <c:valAx>
        <c:axId val="-2117422120"/>
        <c:scaling>
          <c:orientation val="minMax"/>
          <c:min val="90.0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8021704"/>
        <c:crosses val="autoZero"/>
        <c:crossBetween val="midCat"/>
      </c:valAx>
      <c:valAx>
        <c:axId val="-21180217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Knopp/bladlängd, mm</a:t>
                </a:r>
              </a:p>
            </c:rich>
          </c:tx>
          <c:layout>
            <c:manualLayout>
              <c:xMode val="edge"/>
              <c:yMode val="edge"/>
              <c:x val="0.00251817481148198"/>
              <c:y val="0.17241413972190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7422120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952380952381"/>
          <c:y val="0.340425554019071"/>
          <c:w val="0.144841269841274"/>
          <c:h val="0.4851064144771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738154613466"/>
          <c:y val="0.0632183908045977"/>
          <c:w val="0.85785536159601"/>
          <c:h val="0.781609195402299"/>
        </c:manualLayout>
      </c:layout>
      <c:scatterChart>
        <c:scatterStyle val="lineMarker"/>
        <c:varyColors val="0"/>
        <c:ser>
          <c:idx val="2"/>
          <c:order val="0"/>
          <c:tx>
            <c:v>Årets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Betula_pendula!$BO$126:$BO$155</c:f>
              <c:numCache>
                <c:formatCode>0</c:formatCode>
                <c:ptCount val="30"/>
                <c:pt idx="0">
                  <c:v>184.0</c:v>
                </c:pt>
                <c:pt idx="1">
                  <c:v>184.0</c:v>
                </c:pt>
                <c:pt idx="2">
                  <c:v>184.0</c:v>
                </c:pt>
                <c:pt idx="3">
                  <c:v>184.0</c:v>
                </c:pt>
                <c:pt idx="4">
                  <c:v>184.0</c:v>
                </c:pt>
                <c:pt idx="5">
                  <c:v>184.0</c:v>
                </c:pt>
                <c:pt idx="6">
                  <c:v>184.0</c:v>
                </c:pt>
                <c:pt idx="7">
                  <c:v>184.0</c:v>
                </c:pt>
                <c:pt idx="8">
                  <c:v>184.0</c:v>
                </c:pt>
                <c:pt idx="9">
                  <c:v>184.0</c:v>
                </c:pt>
                <c:pt idx="10">
                  <c:v>184.0</c:v>
                </c:pt>
                <c:pt idx="11">
                  <c:v>184.0</c:v>
                </c:pt>
                <c:pt idx="12">
                  <c:v>184.0</c:v>
                </c:pt>
                <c:pt idx="13">
                  <c:v>184.0</c:v>
                </c:pt>
                <c:pt idx="14">
                  <c:v>184.0</c:v>
                </c:pt>
                <c:pt idx="15">
                  <c:v>184.0</c:v>
                </c:pt>
                <c:pt idx="16">
                  <c:v>184.0</c:v>
                </c:pt>
                <c:pt idx="17">
                  <c:v>184.0</c:v>
                </c:pt>
                <c:pt idx="18">
                  <c:v>184.0</c:v>
                </c:pt>
                <c:pt idx="19">
                  <c:v>184.0</c:v>
                </c:pt>
                <c:pt idx="20">
                  <c:v>184.0</c:v>
                </c:pt>
                <c:pt idx="21">
                  <c:v>184.0</c:v>
                </c:pt>
                <c:pt idx="22">
                  <c:v>184.0</c:v>
                </c:pt>
                <c:pt idx="23">
                  <c:v>184.0</c:v>
                </c:pt>
                <c:pt idx="24">
                  <c:v>184.0</c:v>
                </c:pt>
                <c:pt idx="25">
                  <c:v>184.0</c:v>
                </c:pt>
                <c:pt idx="26">
                  <c:v>184.0</c:v>
                </c:pt>
                <c:pt idx="27">
                  <c:v>184.0</c:v>
                </c:pt>
                <c:pt idx="28">
                  <c:v>184.0</c:v>
                </c:pt>
                <c:pt idx="29">
                  <c:v>184.0</c:v>
                </c:pt>
              </c:numCache>
            </c:numRef>
          </c:xVal>
          <c:yVal>
            <c:numRef>
              <c:f>Betula_pendula!$BA$126:$BA$155</c:f>
              <c:numCache>
                <c:formatCode>0.0</c:formatCode>
                <c:ptCount val="30"/>
                <c:pt idx="0">
                  <c:v>3.0</c:v>
                </c:pt>
                <c:pt idx="1">
                  <c:v>3.0</c:v>
                </c:pt>
                <c:pt idx="2">
                  <c:v>3.0</c:v>
                </c:pt>
                <c:pt idx="3">
                  <c:v>3.0</c:v>
                </c:pt>
                <c:pt idx="4">
                  <c:v>3.0</c:v>
                </c:pt>
                <c:pt idx="5">
                  <c:v>3.0</c:v>
                </c:pt>
                <c:pt idx="6">
                  <c:v>3.0</c:v>
                </c:pt>
                <c:pt idx="7">
                  <c:v>3.0</c:v>
                </c:pt>
                <c:pt idx="8">
                  <c:v>3.0</c:v>
                </c:pt>
                <c:pt idx="9">
                  <c:v>3.0</c:v>
                </c:pt>
                <c:pt idx="10">
                  <c:v>3.0</c:v>
                </c:pt>
                <c:pt idx="11">
                  <c:v>3.0</c:v>
                </c:pt>
                <c:pt idx="12">
                  <c:v>3.0</c:v>
                </c:pt>
                <c:pt idx="13">
                  <c:v>3.0</c:v>
                </c:pt>
                <c:pt idx="14">
                  <c:v>3.0</c:v>
                </c:pt>
                <c:pt idx="15">
                  <c:v>3.0</c:v>
                </c:pt>
                <c:pt idx="16">
                  <c:v>3.0</c:v>
                </c:pt>
                <c:pt idx="17">
                  <c:v>3.0</c:v>
                </c:pt>
                <c:pt idx="18">
                  <c:v>3.0</c:v>
                </c:pt>
                <c:pt idx="19">
                  <c:v>3.0</c:v>
                </c:pt>
                <c:pt idx="20">
                  <c:v>3.0</c:v>
                </c:pt>
                <c:pt idx="21">
                  <c:v>3.0</c:v>
                </c:pt>
                <c:pt idx="22">
                  <c:v>3.0</c:v>
                </c:pt>
                <c:pt idx="23">
                  <c:v>3.0</c:v>
                </c:pt>
                <c:pt idx="24">
                  <c:v>3.0</c:v>
                </c:pt>
                <c:pt idx="25">
                  <c:v>3.0</c:v>
                </c:pt>
                <c:pt idx="26">
                  <c:v>3.0</c:v>
                </c:pt>
                <c:pt idx="27">
                  <c:v>3.0</c:v>
                </c:pt>
                <c:pt idx="28">
                  <c:v>3.0</c:v>
                </c:pt>
                <c:pt idx="29">
                  <c:v>3.0</c:v>
                </c:pt>
              </c:numCache>
            </c:numRef>
          </c:yVal>
          <c:smooth val="0"/>
        </c:ser>
        <c:ser>
          <c:idx val="1"/>
          <c:order val="1"/>
          <c:tx>
            <c:v>2006</c:v>
          </c:tx>
          <c:spPr>
            <a:ln w="9525">
              <a:solidFill>
                <a:srgbClr val="00CCFF"/>
              </a:solidFill>
              <a:prstDash val="solid"/>
            </a:ln>
          </c:spPr>
          <c:marker>
            <c:symbol val="x"/>
            <c:size val="4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Betula_pendula!$CK$126:$CK$155</c:f>
              <c:numCache>
                <c:formatCode>0</c:formatCode>
                <c:ptCount val="30"/>
                <c:pt idx="0">
                  <c:v>126.0</c:v>
                </c:pt>
                <c:pt idx="1">
                  <c:v>128.0</c:v>
                </c:pt>
                <c:pt idx="2">
                  <c:v>131.0</c:v>
                </c:pt>
                <c:pt idx="3">
                  <c:v>137.0</c:v>
                </c:pt>
                <c:pt idx="4">
                  <c:v>142.0</c:v>
                </c:pt>
                <c:pt idx="5">
                  <c:v>146.0</c:v>
                </c:pt>
                <c:pt idx="6">
                  <c:v>149.0</c:v>
                </c:pt>
                <c:pt idx="7">
                  <c:v>151.0</c:v>
                </c:pt>
                <c:pt idx="8">
                  <c:v>153.0</c:v>
                </c:pt>
                <c:pt idx="9">
                  <c:v>158.0</c:v>
                </c:pt>
                <c:pt idx="10">
                  <c:v>160.0</c:v>
                </c:pt>
                <c:pt idx="11">
                  <c:v>163.0</c:v>
                </c:pt>
                <c:pt idx="12">
                  <c:v>165.0</c:v>
                </c:pt>
                <c:pt idx="13">
                  <c:v>167.0</c:v>
                </c:pt>
                <c:pt idx="14">
                  <c:v>170.0</c:v>
                </c:pt>
                <c:pt idx="15">
                  <c:v>173.0</c:v>
                </c:pt>
              </c:numCache>
            </c:numRef>
          </c:xVal>
          <c:yVal>
            <c:numRef>
              <c:f>Betula_pendula!$CM$126:$CM$155</c:f>
              <c:numCache>
                <c:formatCode>General</c:formatCode>
                <c:ptCount val="30"/>
                <c:pt idx="0">
                  <c:v>0.0</c:v>
                </c:pt>
                <c:pt idx="1">
                  <c:v>0.2</c:v>
                </c:pt>
                <c:pt idx="2">
                  <c:v>1.2</c:v>
                </c:pt>
                <c:pt idx="3">
                  <c:v>1.2</c:v>
                </c:pt>
                <c:pt idx="4">
                  <c:v>1.2</c:v>
                </c:pt>
                <c:pt idx="5">
                  <c:v>1.4</c:v>
                </c:pt>
                <c:pt idx="6">
                  <c:v>1.8</c:v>
                </c:pt>
                <c:pt idx="7">
                  <c:v>1.8</c:v>
                </c:pt>
                <c:pt idx="8">
                  <c:v>2.0</c:v>
                </c:pt>
                <c:pt idx="9">
                  <c:v>2.0</c:v>
                </c:pt>
                <c:pt idx="10">
                  <c:v>2.0</c:v>
                </c:pt>
                <c:pt idx="11">
                  <c:v>2.0</c:v>
                </c:pt>
                <c:pt idx="12">
                  <c:v>2.0</c:v>
                </c:pt>
                <c:pt idx="13">
                  <c:v>2.2</c:v>
                </c:pt>
                <c:pt idx="14">
                  <c:v>3.0</c:v>
                </c:pt>
              </c:numCache>
            </c:numRef>
          </c:yVal>
          <c:smooth val="0"/>
        </c:ser>
        <c:ser>
          <c:idx val="0"/>
          <c:order val="2"/>
          <c:tx>
            <c:v>2007</c:v>
          </c:tx>
          <c:spPr>
            <a:ln w="9525">
              <a:solidFill>
                <a:srgbClr val="00CCFF"/>
              </a:solidFill>
            </a:ln>
          </c:spPr>
          <c:marker>
            <c:symbol val="circle"/>
            <c:size val="4"/>
            <c:spPr>
              <a:noFill/>
              <a:ln>
                <a:solidFill>
                  <a:srgbClr val="00CCFF"/>
                </a:solidFill>
              </a:ln>
            </c:spPr>
          </c:marker>
          <c:xVal>
            <c:numRef>
              <c:f>Betula_pendula!$CG$126:$CG$150</c:f>
              <c:numCache>
                <c:formatCode>0</c:formatCode>
                <c:ptCount val="25"/>
                <c:pt idx="0">
                  <c:v>123.0</c:v>
                </c:pt>
                <c:pt idx="1">
                  <c:v>127.0</c:v>
                </c:pt>
                <c:pt idx="2">
                  <c:v>130.0</c:v>
                </c:pt>
                <c:pt idx="3">
                  <c:v>134.0</c:v>
                </c:pt>
                <c:pt idx="4">
                  <c:v>136.0</c:v>
                </c:pt>
                <c:pt idx="5">
                  <c:v>138.0</c:v>
                </c:pt>
                <c:pt idx="6">
                  <c:v>141.0</c:v>
                </c:pt>
                <c:pt idx="7">
                  <c:v>143.0</c:v>
                </c:pt>
                <c:pt idx="8">
                  <c:v>145.0</c:v>
                </c:pt>
                <c:pt idx="9">
                  <c:v>148.0</c:v>
                </c:pt>
                <c:pt idx="10">
                  <c:v>151.0</c:v>
                </c:pt>
                <c:pt idx="11">
                  <c:v>155.0</c:v>
                </c:pt>
                <c:pt idx="12">
                  <c:v>159.0</c:v>
                </c:pt>
                <c:pt idx="13">
                  <c:v>162.0</c:v>
                </c:pt>
                <c:pt idx="14">
                  <c:v>169.0</c:v>
                </c:pt>
                <c:pt idx="15">
                  <c:v>176.0</c:v>
                </c:pt>
                <c:pt idx="16">
                  <c:v>242.0</c:v>
                </c:pt>
                <c:pt idx="17">
                  <c:v>247.0</c:v>
                </c:pt>
                <c:pt idx="18">
                  <c:v>254.0</c:v>
                </c:pt>
                <c:pt idx="19">
                  <c:v>261.0</c:v>
                </c:pt>
                <c:pt idx="20">
                  <c:v>267.0</c:v>
                </c:pt>
                <c:pt idx="21">
                  <c:v>274.0</c:v>
                </c:pt>
                <c:pt idx="22">
                  <c:v>281.0</c:v>
                </c:pt>
                <c:pt idx="23">
                  <c:v>288.0</c:v>
                </c:pt>
                <c:pt idx="24">
                  <c:v>295.0</c:v>
                </c:pt>
              </c:numCache>
            </c:numRef>
          </c:xVal>
          <c:yVal>
            <c:numRef>
              <c:f>Betula_pendula!$CI$126:$CI$150</c:f>
              <c:numCache>
                <c:formatCode>0.0</c:formatCode>
                <c:ptCount val="25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0.4</c:v>
                </c:pt>
                <c:pt idx="6">
                  <c:v>1.0</c:v>
                </c:pt>
                <c:pt idx="7">
                  <c:v>1.0</c:v>
                </c:pt>
                <c:pt idx="8">
                  <c:v>1.6</c:v>
                </c:pt>
                <c:pt idx="9">
                  <c:v>2.0</c:v>
                </c:pt>
                <c:pt idx="10">
                  <c:v>2.0</c:v>
                </c:pt>
                <c:pt idx="11">
                  <c:v>2.0</c:v>
                </c:pt>
                <c:pt idx="12">
                  <c:v>2.0</c:v>
                </c:pt>
                <c:pt idx="13">
                  <c:v>2.0</c:v>
                </c:pt>
                <c:pt idx="14">
                  <c:v>3.0</c:v>
                </c:pt>
                <c:pt idx="15">
                  <c:v>3.0</c:v>
                </c:pt>
                <c:pt idx="16">
                  <c:v>4.0</c:v>
                </c:pt>
                <c:pt idx="17">
                  <c:v>4.0</c:v>
                </c:pt>
                <c:pt idx="18">
                  <c:v>4.0</c:v>
                </c:pt>
                <c:pt idx="19">
                  <c:v>4.4</c:v>
                </c:pt>
                <c:pt idx="20">
                  <c:v>5.2</c:v>
                </c:pt>
                <c:pt idx="21">
                  <c:v>6.4</c:v>
                </c:pt>
                <c:pt idx="22">
                  <c:v>7.0</c:v>
                </c:pt>
                <c:pt idx="23">
                  <c:v>7.8</c:v>
                </c:pt>
                <c:pt idx="24">
                  <c:v>8.0</c:v>
                </c:pt>
              </c:numCache>
            </c:numRef>
          </c:yVal>
          <c:smooth val="0"/>
        </c:ser>
        <c:ser>
          <c:idx val="3"/>
          <c:order val="3"/>
          <c:tx>
            <c:v>2008</c:v>
          </c:tx>
          <c:spPr>
            <a:ln w="9525">
              <a:solidFill>
                <a:srgbClr val="00FFFF"/>
              </a:solidFill>
            </a:ln>
          </c:spPr>
          <c:marker>
            <c:symbol val="square"/>
            <c:size val="4"/>
            <c:spPr>
              <a:noFill/>
              <a:ln>
                <a:solidFill>
                  <a:srgbClr val="00FFFF"/>
                </a:solidFill>
              </a:ln>
            </c:spPr>
          </c:marker>
          <c:xVal>
            <c:numRef>
              <c:f>Betula_pendula!$CC$126:$CC$155</c:f>
              <c:numCache>
                <c:formatCode>0</c:formatCode>
                <c:ptCount val="30"/>
                <c:pt idx="0">
                  <c:v>123.0</c:v>
                </c:pt>
                <c:pt idx="1">
                  <c:v>129.0</c:v>
                </c:pt>
                <c:pt idx="2">
                  <c:v>133.0</c:v>
                </c:pt>
                <c:pt idx="3">
                  <c:v>137.0</c:v>
                </c:pt>
                <c:pt idx="4">
                  <c:v>144.0</c:v>
                </c:pt>
                <c:pt idx="5">
                  <c:v>147.0</c:v>
                </c:pt>
                <c:pt idx="6">
                  <c:v>150.0</c:v>
                </c:pt>
                <c:pt idx="7">
                  <c:v>154.0</c:v>
                </c:pt>
                <c:pt idx="8">
                  <c:v>157.0</c:v>
                </c:pt>
                <c:pt idx="9">
                  <c:v>163.0</c:v>
                </c:pt>
                <c:pt idx="10">
                  <c:v>170.0</c:v>
                </c:pt>
                <c:pt idx="11">
                  <c:v>178.0</c:v>
                </c:pt>
                <c:pt idx="12">
                  <c:v>239.0</c:v>
                </c:pt>
                <c:pt idx="13">
                  <c:v>246.0</c:v>
                </c:pt>
                <c:pt idx="14">
                  <c:v>252.0</c:v>
                </c:pt>
                <c:pt idx="15">
                  <c:v>259.0</c:v>
                </c:pt>
                <c:pt idx="16">
                  <c:v>266.0</c:v>
                </c:pt>
                <c:pt idx="17">
                  <c:v>273.0</c:v>
                </c:pt>
                <c:pt idx="18">
                  <c:v>282.0</c:v>
                </c:pt>
                <c:pt idx="19">
                  <c:v>288.0</c:v>
                </c:pt>
              </c:numCache>
            </c:numRef>
          </c:xVal>
          <c:yVal>
            <c:numRef>
              <c:f>Betula_pendula!$CE$126:$CE$155</c:f>
              <c:numCache>
                <c:formatCode>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0.4</c:v>
                </c:pt>
                <c:pt idx="5">
                  <c:v>1.0</c:v>
                </c:pt>
                <c:pt idx="6">
                  <c:v>1.0</c:v>
                </c:pt>
                <c:pt idx="7">
                  <c:v>2.0</c:v>
                </c:pt>
                <c:pt idx="8">
                  <c:v>2.0</c:v>
                </c:pt>
                <c:pt idx="9">
                  <c:v>2.0</c:v>
                </c:pt>
                <c:pt idx="10">
                  <c:v>2.0</c:v>
                </c:pt>
                <c:pt idx="11">
                  <c:v>3.0</c:v>
                </c:pt>
                <c:pt idx="12">
                  <c:v>3.8</c:v>
                </c:pt>
                <c:pt idx="13">
                  <c:v>4.0</c:v>
                </c:pt>
                <c:pt idx="14">
                  <c:v>4.0</c:v>
                </c:pt>
                <c:pt idx="15">
                  <c:v>4.0</c:v>
                </c:pt>
                <c:pt idx="16">
                  <c:v>5.2</c:v>
                </c:pt>
                <c:pt idx="17">
                  <c:v>6.6</c:v>
                </c:pt>
                <c:pt idx="18">
                  <c:v>7.0</c:v>
                </c:pt>
                <c:pt idx="19">
                  <c:v>8.0</c:v>
                </c:pt>
              </c:numCache>
            </c:numRef>
          </c:yVal>
          <c:smooth val="0"/>
        </c:ser>
        <c:ser>
          <c:idx val="4"/>
          <c:order val="4"/>
          <c:tx>
            <c:v>2009</c:v>
          </c:tx>
          <c:spPr>
            <a:ln w="12700">
              <a:solidFill>
                <a:srgbClr val="00FFFF"/>
              </a:solidFill>
            </a:ln>
          </c:spPr>
          <c:marker>
            <c:symbol val="diamond"/>
            <c:size val="4"/>
            <c:spPr>
              <a:noFill/>
              <a:ln>
                <a:solidFill>
                  <a:srgbClr val="00FFFF"/>
                </a:solidFill>
              </a:ln>
            </c:spPr>
          </c:marker>
          <c:xVal>
            <c:numRef>
              <c:f>Betula_pendula!$BY$126:$BY$155</c:f>
              <c:numCache>
                <c:formatCode>0</c:formatCode>
                <c:ptCount val="30"/>
                <c:pt idx="0">
                  <c:v>91.0</c:v>
                </c:pt>
              </c:numCache>
            </c:numRef>
          </c:xVal>
          <c:yVal>
            <c:numRef>
              <c:f>Betula_pendula!$CA$126:$CA$155</c:f>
              <c:numCache>
                <c:formatCode>0.0</c:formatCode>
                <c:ptCount val="30"/>
                <c:pt idx="0">
                  <c:v>8.0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4166344"/>
        <c:axId val="-2143840376"/>
      </c:scatterChart>
      <c:valAx>
        <c:axId val="-2134166344"/>
        <c:scaling>
          <c:orientation val="minMax"/>
          <c:min val="90.0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43840376"/>
        <c:crosses val="autoZero"/>
        <c:crossBetween val="midCat"/>
      </c:valAx>
      <c:valAx>
        <c:axId val="-21438403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Bedömd fas</a:t>
                </a:r>
              </a:p>
            </c:rich>
          </c:tx>
          <c:layout>
            <c:manualLayout>
              <c:xMode val="edge"/>
              <c:yMode val="edge"/>
              <c:x val="0.00251817481148198"/>
              <c:y val="0.29885156760469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34166344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1507936507936"/>
          <c:y val="0.333333361948045"/>
          <c:w val="0.144841269841274"/>
          <c:h val="0.4894515188097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9375"/>
          <c:y val="0.0882354751417209"/>
          <c:w val="0.861328125"/>
          <c:h val="0.802522654860357"/>
        </c:manualLayout>
      </c:layout>
      <c:scatterChart>
        <c:scatterStyle val="lineMarker"/>
        <c:varyColors val="0"/>
        <c:ser>
          <c:idx val="5"/>
          <c:order val="0"/>
          <c:tx>
            <c:v>Vindeln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Pinus_sylvestris!$B$125:$B$154</c:f>
              <c:numCache>
                <c:formatCode>m/d/yy</c:formatCode>
                <c:ptCount val="30"/>
                <c:pt idx="0">
                  <c:v>41038.0</c:v>
                </c:pt>
                <c:pt idx="1">
                  <c:v>41045.0</c:v>
                </c:pt>
                <c:pt idx="2">
                  <c:v>41052.0</c:v>
                </c:pt>
                <c:pt idx="3">
                  <c:v>41057.0</c:v>
                </c:pt>
                <c:pt idx="4">
                  <c:v>41065.0</c:v>
                </c:pt>
                <c:pt idx="5">
                  <c:v>41071.0</c:v>
                </c:pt>
                <c:pt idx="6">
                  <c:v>41078.0</c:v>
                </c:pt>
                <c:pt idx="7">
                  <c:v>41085.0</c:v>
                </c:pt>
                <c:pt idx="8">
                  <c:v>41092.0</c:v>
                </c:pt>
                <c:pt idx="9">
                  <c:v>41101.0</c:v>
                </c:pt>
                <c:pt idx="10">
                  <c:v>41116.0</c:v>
                </c:pt>
                <c:pt idx="11">
                  <c:v>41124.0</c:v>
                </c:pt>
              </c:numCache>
            </c:numRef>
          </c:xVal>
          <c:yVal>
            <c:numRef>
              <c:f>Pinus_sylvestris!$AJ$125:$AJ$154</c:f>
              <c:numCache>
                <c:formatCode>0</c:formatCode>
                <c:ptCount val="30"/>
                <c:pt idx="0">
                  <c:v>7.9</c:v>
                </c:pt>
                <c:pt idx="1">
                  <c:v>8.0</c:v>
                </c:pt>
                <c:pt idx="2">
                  <c:v>10.3</c:v>
                </c:pt>
                <c:pt idx="3">
                  <c:v>17.5</c:v>
                </c:pt>
                <c:pt idx="4">
                  <c:v>21.3</c:v>
                </c:pt>
                <c:pt idx="5">
                  <c:v>28.9</c:v>
                </c:pt>
                <c:pt idx="6">
                  <c:v>51.3</c:v>
                </c:pt>
                <c:pt idx="7">
                  <c:v>81.2</c:v>
                </c:pt>
                <c:pt idx="8">
                  <c:v>93.1</c:v>
                </c:pt>
                <c:pt idx="9">
                  <c:v>103.6666666666667</c:v>
                </c:pt>
                <c:pt idx="10">
                  <c:v>104.3333333333333</c:v>
                </c:pt>
                <c:pt idx="11">
                  <c:v>104.3333333333333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0"/>
          <c:order val="1"/>
          <c:tx>
            <c:v>Umeå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Pinus_sylvestris!$B$95:$B$124</c:f>
              <c:numCache>
                <c:formatCode>m/d/yy</c:formatCode>
                <c:ptCount val="30"/>
                <c:pt idx="0">
                  <c:v>41057.0</c:v>
                </c:pt>
                <c:pt idx="1">
                  <c:v>41064.0</c:v>
                </c:pt>
                <c:pt idx="2">
                  <c:v>41072.0</c:v>
                </c:pt>
                <c:pt idx="3">
                  <c:v>41078.0</c:v>
                </c:pt>
              </c:numCache>
            </c:numRef>
          </c:xVal>
          <c:yVal>
            <c:numRef>
              <c:f>Pinus_sylvestris!$AJ$95:$AJ$124</c:f>
              <c:numCache>
                <c:formatCode>0</c:formatCode>
                <c:ptCount val="30"/>
                <c:pt idx="0">
                  <c:v>14.14285714285714</c:v>
                </c:pt>
                <c:pt idx="1">
                  <c:v>16.57142857142857</c:v>
                </c:pt>
                <c:pt idx="2">
                  <c:v>26.42857142857143</c:v>
                </c:pt>
                <c:pt idx="3">
                  <c:v>42.14285714285714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4"/>
          <c:order val="2"/>
          <c:tx>
            <c:v>Siljansfors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triangle"/>
            <c:size val="4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Pinus_sylvestris!$B$35:$B$64</c:f>
              <c:numCache>
                <c:formatCode>m/d/yy</c:formatCode>
                <c:ptCount val="30"/>
                <c:pt idx="0">
                  <c:v>40995.0</c:v>
                </c:pt>
                <c:pt idx="1">
                  <c:v>41036.0</c:v>
                </c:pt>
                <c:pt idx="2">
                  <c:v>41041.0</c:v>
                </c:pt>
                <c:pt idx="3">
                  <c:v>41046.0</c:v>
                </c:pt>
                <c:pt idx="4">
                  <c:v>41050.0</c:v>
                </c:pt>
                <c:pt idx="5">
                  <c:v>41054.0</c:v>
                </c:pt>
                <c:pt idx="6">
                  <c:v>41057.0</c:v>
                </c:pt>
                <c:pt idx="7">
                  <c:v>41061.0</c:v>
                </c:pt>
                <c:pt idx="8">
                  <c:v>41067.0</c:v>
                </c:pt>
                <c:pt idx="9">
                  <c:v>41071.0</c:v>
                </c:pt>
                <c:pt idx="10">
                  <c:v>41075.0</c:v>
                </c:pt>
                <c:pt idx="11">
                  <c:v>41081.0</c:v>
                </c:pt>
                <c:pt idx="12">
                  <c:v>41089.0</c:v>
                </c:pt>
                <c:pt idx="13">
                  <c:v>41098.0</c:v>
                </c:pt>
                <c:pt idx="14">
                  <c:v>41105.0</c:v>
                </c:pt>
              </c:numCache>
            </c:numRef>
          </c:xVal>
          <c:yVal>
            <c:numRef>
              <c:f>Pinus_sylvestris!$AJ$35:$AJ$64</c:f>
              <c:numCache>
                <c:formatCode>0</c:formatCode>
                <c:ptCount val="30"/>
                <c:pt idx="0">
                  <c:v>13.9</c:v>
                </c:pt>
                <c:pt idx="1">
                  <c:v>17.5</c:v>
                </c:pt>
                <c:pt idx="2">
                  <c:v>19.1</c:v>
                </c:pt>
                <c:pt idx="3">
                  <c:v>21.4</c:v>
                </c:pt>
                <c:pt idx="4">
                  <c:v>25.7</c:v>
                </c:pt>
                <c:pt idx="5">
                  <c:v>42.2</c:v>
                </c:pt>
                <c:pt idx="6">
                  <c:v>0.0</c:v>
                </c:pt>
                <c:pt idx="8">
                  <c:v>87.3</c:v>
                </c:pt>
                <c:pt idx="9">
                  <c:v>0.0</c:v>
                </c:pt>
                <c:pt idx="10">
                  <c:v>146.3</c:v>
                </c:pt>
                <c:pt idx="11">
                  <c:v>181.0</c:v>
                </c:pt>
                <c:pt idx="12">
                  <c:v>210.4</c:v>
                </c:pt>
                <c:pt idx="13">
                  <c:v>225.8</c:v>
                </c:pt>
                <c:pt idx="14">
                  <c:v>227.8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2"/>
          <c:order val="3"/>
          <c:tx>
            <c:v>Asa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Pinus_sylvestris!$B$5:$B$34</c:f>
              <c:numCache>
                <c:formatCode>m/d/yy</c:formatCode>
                <c:ptCount val="30"/>
                <c:pt idx="0">
                  <c:v>41032.0</c:v>
                </c:pt>
                <c:pt idx="1">
                  <c:v>41040.0</c:v>
                </c:pt>
                <c:pt idx="2">
                  <c:v>41047.0</c:v>
                </c:pt>
                <c:pt idx="3">
                  <c:v>41054.0</c:v>
                </c:pt>
                <c:pt idx="4">
                  <c:v>41059.0</c:v>
                </c:pt>
                <c:pt idx="5">
                  <c:v>41068.0</c:v>
                </c:pt>
                <c:pt idx="6">
                  <c:v>41074.0</c:v>
                </c:pt>
                <c:pt idx="7">
                  <c:v>41079.0</c:v>
                </c:pt>
                <c:pt idx="8">
                  <c:v>41088.0</c:v>
                </c:pt>
                <c:pt idx="9">
                  <c:v>41096.0</c:v>
                </c:pt>
                <c:pt idx="10">
                  <c:v>41103.0</c:v>
                </c:pt>
                <c:pt idx="11">
                  <c:v>41110.0</c:v>
                </c:pt>
                <c:pt idx="12">
                  <c:v>41117.0</c:v>
                </c:pt>
              </c:numCache>
            </c:numRef>
          </c:xVal>
          <c:yVal>
            <c:numRef>
              <c:f>Pinus_sylvestris!$AJ$5:$AJ$34</c:f>
              <c:numCache>
                <c:formatCode>0</c:formatCode>
                <c:ptCount val="30"/>
                <c:pt idx="0">
                  <c:v>27.28571428571428</c:v>
                </c:pt>
                <c:pt idx="1">
                  <c:v>42.0</c:v>
                </c:pt>
                <c:pt idx="2">
                  <c:v>58.28571428571428</c:v>
                </c:pt>
                <c:pt idx="3">
                  <c:v>128.8571428571429</c:v>
                </c:pt>
                <c:pt idx="4">
                  <c:v>172.1428571428571</c:v>
                </c:pt>
                <c:pt idx="5">
                  <c:v>209.2857142857143</c:v>
                </c:pt>
                <c:pt idx="6">
                  <c:v>250.0</c:v>
                </c:pt>
                <c:pt idx="7">
                  <c:v>276.4285714285714</c:v>
                </c:pt>
                <c:pt idx="8">
                  <c:v>307.8571428571428</c:v>
                </c:pt>
                <c:pt idx="9">
                  <c:v>323.5714285714286</c:v>
                </c:pt>
                <c:pt idx="10">
                  <c:v>326.4285714285714</c:v>
                </c:pt>
                <c:pt idx="11">
                  <c:v>327.1428571428571</c:v>
                </c:pt>
              </c:numCache>
            </c:numRef>
          </c:yVal>
          <c:smooth val="0"/>
        </c:ser>
        <c:ser>
          <c:idx val="1"/>
          <c:order val="4"/>
          <c:tx>
            <c:v>Tönnersjöheden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Pinus_sylvestris!$B$65:$B$94</c:f>
              <c:numCache>
                <c:formatCode>m/d/yy</c:formatCode>
                <c:ptCount val="30"/>
                <c:pt idx="0">
                  <c:v>41022.0</c:v>
                </c:pt>
                <c:pt idx="1">
                  <c:v>41026.0</c:v>
                </c:pt>
                <c:pt idx="2">
                  <c:v>41031.0</c:v>
                </c:pt>
                <c:pt idx="3">
                  <c:v>41036.0</c:v>
                </c:pt>
                <c:pt idx="4">
                  <c:v>41039.0</c:v>
                </c:pt>
                <c:pt idx="5">
                  <c:v>41044.0</c:v>
                </c:pt>
                <c:pt idx="6">
                  <c:v>41053.0</c:v>
                </c:pt>
                <c:pt idx="7">
                  <c:v>41059.0</c:v>
                </c:pt>
                <c:pt idx="8">
                  <c:v>41073.0</c:v>
                </c:pt>
                <c:pt idx="9">
                  <c:v>41092.0</c:v>
                </c:pt>
              </c:numCache>
            </c:numRef>
          </c:xVal>
          <c:yVal>
            <c:numRef>
              <c:f>Pinus_sylvestris!$AJ$65:$AJ$94</c:f>
              <c:numCache>
                <c:formatCode>0</c:formatCode>
                <c:ptCount val="30"/>
                <c:pt idx="0">
                  <c:v>10.85714285714286</c:v>
                </c:pt>
                <c:pt idx="1">
                  <c:v>11.57142857142857</c:v>
                </c:pt>
                <c:pt idx="2">
                  <c:v>16.42857142857143</c:v>
                </c:pt>
                <c:pt idx="3">
                  <c:v>21.42857142857143</c:v>
                </c:pt>
                <c:pt idx="4">
                  <c:v>24.71428571428571</c:v>
                </c:pt>
                <c:pt idx="5">
                  <c:v>32.57142857142857</c:v>
                </c:pt>
                <c:pt idx="6">
                  <c:v>89.16666666666667</c:v>
                </c:pt>
                <c:pt idx="7">
                  <c:v>137.1666666666667</c:v>
                </c:pt>
                <c:pt idx="8">
                  <c:v>177.0</c:v>
                </c:pt>
                <c:pt idx="9">
                  <c:v>200.5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1453576"/>
        <c:axId val="-2131455960"/>
      </c:scatterChart>
      <c:valAx>
        <c:axId val="-2131453576"/>
        <c:scaling>
          <c:orientation val="minMax"/>
          <c:min val="41000.0"/>
        </c:scaling>
        <c:delete val="0"/>
        <c:axPos val="b"/>
        <c:numFmt formatCode="d\/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31455960"/>
        <c:crosses val="autoZero"/>
        <c:crossBetween val="midCat"/>
        <c:majorUnit val="7.0"/>
      </c:valAx>
      <c:valAx>
        <c:axId val="-21314559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Knopp/bladlängd, mm</a:t>
                </a:r>
              </a:p>
            </c:rich>
          </c:tx>
          <c:layout>
            <c:manualLayout>
              <c:xMode val="edge"/>
              <c:yMode val="edge"/>
              <c:x val="0.0136718750000003"/>
              <c:y val="0.26470631388468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31453576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84375"/>
          <c:y val="0.142857142857146"/>
          <c:w val="0.253125"/>
          <c:h val="0.3043478260869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 paperSize="9" orientation="landscape" horizontalDpi="0" verticalDpi="0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859375"/>
          <c:y val="0.0882354751417209"/>
          <c:w val="0.884765625"/>
          <c:h val="0.802522654860357"/>
        </c:manualLayout>
      </c:layout>
      <c:scatterChart>
        <c:scatterStyle val="lineMarker"/>
        <c:varyColors val="0"/>
        <c:ser>
          <c:idx val="5"/>
          <c:order val="0"/>
          <c:tx>
            <c:v>Vindeln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Pinus_sylvestris!$B$125:$B$154</c:f>
              <c:numCache>
                <c:formatCode>m/d/yy</c:formatCode>
                <c:ptCount val="30"/>
                <c:pt idx="0">
                  <c:v>41038.0</c:v>
                </c:pt>
                <c:pt idx="1">
                  <c:v>41045.0</c:v>
                </c:pt>
                <c:pt idx="2">
                  <c:v>41052.0</c:v>
                </c:pt>
                <c:pt idx="3">
                  <c:v>41057.0</c:v>
                </c:pt>
                <c:pt idx="4">
                  <c:v>41065.0</c:v>
                </c:pt>
                <c:pt idx="5">
                  <c:v>41071.0</c:v>
                </c:pt>
                <c:pt idx="6">
                  <c:v>41078.0</c:v>
                </c:pt>
                <c:pt idx="7">
                  <c:v>41085.0</c:v>
                </c:pt>
                <c:pt idx="8">
                  <c:v>41092.0</c:v>
                </c:pt>
                <c:pt idx="9">
                  <c:v>41101.0</c:v>
                </c:pt>
                <c:pt idx="10">
                  <c:v>41116.0</c:v>
                </c:pt>
                <c:pt idx="11">
                  <c:v>41124.0</c:v>
                </c:pt>
              </c:numCache>
            </c:numRef>
          </c:xVal>
          <c:yVal>
            <c:numRef>
              <c:f>Pinus_sylvestris!$AK$125:$AK$154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0.5</c:v>
                </c:pt>
                <c:pt idx="3">
                  <c:v>1.3</c:v>
                </c:pt>
                <c:pt idx="4">
                  <c:v>1.6</c:v>
                </c:pt>
                <c:pt idx="5">
                  <c:v>1.9</c:v>
                </c:pt>
                <c:pt idx="6">
                  <c:v>1.9</c:v>
                </c:pt>
                <c:pt idx="7">
                  <c:v>1.9</c:v>
                </c:pt>
                <c:pt idx="8">
                  <c:v>1.9</c:v>
                </c:pt>
                <c:pt idx="9">
                  <c:v>2.666666666666666</c:v>
                </c:pt>
                <c:pt idx="10">
                  <c:v>3.0</c:v>
                </c:pt>
                <c:pt idx="11">
                  <c:v>3.0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0"/>
          <c:order val="1"/>
          <c:tx>
            <c:v>Umeå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Pinus_sylvestris!$B$95:$B$124</c:f>
              <c:numCache>
                <c:formatCode>m/d/yy</c:formatCode>
                <c:ptCount val="30"/>
                <c:pt idx="0">
                  <c:v>41057.0</c:v>
                </c:pt>
                <c:pt idx="1">
                  <c:v>41064.0</c:v>
                </c:pt>
                <c:pt idx="2">
                  <c:v>41072.0</c:v>
                </c:pt>
                <c:pt idx="3">
                  <c:v>41078.0</c:v>
                </c:pt>
              </c:numCache>
            </c:numRef>
          </c:xVal>
          <c:yVal>
            <c:numRef>
              <c:f>Pinus_sylvestris!$AK$95:$AK$124</c:f>
              <c:numCache>
                <c:formatCode>0.0</c:formatCode>
                <c:ptCount val="30"/>
                <c:pt idx="0">
                  <c:v>0.714285714285714</c:v>
                </c:pt>
                <c:pt idx="1">
                  <c:v>1.142857142857143</c:v>
                </c:pt>
                <c:pt idx="2">
                  <c:v>1.857142857142857</c:v>
                </c:pt>
                <c:pt idx="3">
                  <c:v>1.857142857142857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4"/>
          <c:order val="2"/>
          <c:tx>
            <c:v>Siljansfors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triangle"/>
            <c:size val="4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Pinus_sylvestris!$B$35:$B$64</c:f>
              <c:numCache>
                <c:formatCode>m/d/yy</c:formatCode>
                <c:ptCount val="30"/>
                <c:pt idx="0">
                  <c:v>40995.0</c:v>
                </c:pt>
                <c:pt idx="1">
                  <c:v>41036.0</c:v>
                </c:pt>
                <c:pt idx="2">
                  <c:v>41041.0</c:v>
                </c:pt>
                <c:pt idx="3">
                  <c:v>41046.0</c:v>
                </c:pt>
                <c:pt idx="4">
                  <c:v>41050.0</c:v>
                </c:pt>
                <c:pt idx="5">
                  <c:v>41054.0</c:v>
                </c:pt>
                <c:pt idx="6">
                  <c:v>41057.0</c:v>
                </c:pt>
                <c:pt idx="7">
                  <c:v>41061.0</c:v>
                </c:pt>
                <c:pt idx="8">
                  <c:v>41067.0</c:v>
                </c:pt>
                <c:pt idx="9">
                  <c:v>41071.0</c:v>
                </c:pt>
                <c:pt idx="10">
                  <c:v>41075.0</c:v>
                </c:pt>
                <c:pt idx="11">
                  <c:v>41081.0</c:v>
                </c:pt>
                <c:pt idx="12">
                  <c:v>41089.0</c:v>
                </c:pt>
                <c:pt idx="13">
                  <c:v>41098.0</c:v>
                </c:pt>
                <c:pt idx="14">
                  <c:v>41105.0</c:v>
                </c:pt>
              </c:numCache>
            </c:numRef>
          </c:xVal>
          <c:yVal>
            <c:numRef>
              <c:f>Pinus_sylvestris!$AK$35:$AK$64</c:f>
              <c:numCache>
                <c:formatCode>0.0</c:formatCode>
                <c:ptCount val="30"/>
                <c:pt idx="0">
                  <c:v>0.0</c:v>
                </c:pt>
                <c:pt idx="1">
                  <c:v>0.5</c:v>
                </c:pt>
                <c:pt idx="2">
                  <c:v>1.4</c:v>
                </c:pt>
                <c:pt idx="3">
                  <c:v>1.5</c:v>
                </c:pt>
                <c:pt idx="4">
                  <c:v>1.8</c:v>
                </c:pt>
                <c:pt idx="5">
                  <c:v>2.0</c:v>
                </c:pt>
                <c:pt idx="6">
                  <c:v>2.0</c:v>
                </c:pt>
                <c:pt idx="7">
                  <c:v>2.0</c:v>
                </c:pt>
                <c:pt idx="8">
                  <c:v>2.0</c:v>
                </c:pt>
                <c:pt idx="9">
                  <c:v>2.0</c:v>
                </c:pt>
                <c:pt idx="10">
                  <c:v>2.0</c:v>
                </c:pt>
                <c:pt idx="11">
                  <c:v>2.0</c:v>
                </c:pt>
                <c:pt idx="12">
                  <c:v>2.0</c:v>
                </c:pt>
                <c:pt idx="13">
                  <c:v>2.3</c:v>
                </c:pt>
                <c:pt idx="14">
                  <c:v>3.0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2"/>
          <c:order val="3"/>
          <c:tx>
            <c:v>Asa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Pinus_sylvestris!$B$5:$B$34</c:f>
              <c:numCache>
                <c:formatCode>m/d/yy</c:formatCode>
                <c:ptCount val="30"/>
                <c:pt idx="0">
                  <c:v>41032.0</c:v>
                </c:pt>
                <c:pt idx="1">
                  <c:v>41040.0</c:v>
                </c:pt>
                <c:pt idx="2">
                  <c:v>41047.0</c:v>
                </c:pt>
                <c:pt idx="3">
                  <c:v>41054.0</c:v>
                </c:pt>
                <c:pt idx="4">
                  <c:v>41059.0</c:v>
                </c:pt>
                <c:pt idx="5">
                  <c:v>41068.0</c:v>
                </c:pt>
                <c:pt idx="6">
                  <c:v>41074.0</c:v>
                </c:pt>
                <c:pt idx="7">
                  <c:v>41079.0</c:v>
                </c:pt>
                <c:pt idx="8">
                  <c:v>41088.0</c:v>
                </c:pt>
                <c:pt idx="9">
                  <c:v>41096.0</c:v>
                </c:pt>
                <c:pt idx="10">
                  <c:v>41103.0</c:v>
                </c:pt>
                <c:pt idx="11">
                  <c:v>41110.0</c:v>
                </c:pt>
                <c:pt idx="12">
                  <c:v>41117.0</c:v>
                </c:pt>
              </c:numCache>
            </c:numRef>
          </c:xVal>
          <c:yVal>
            <c:numRef>
              <c:f>Pinus_sylvestris!$AK$5:$AK$34</c:f>
              <c:numCache>
                <c:formatCode>0.0</c:formatCode>
                <c:ptCount val="30"/>
                <c:pt idx="0">
                  <c:v>1.857142857142857</c:v>
                </c:pt>
                <c:pt idx="1">
                  <c:v>2.0</c:v>
                </c:pt>
                <c:pt idx="2">
                  <c:v>2.0</c:v>
                </c:pt>
                <c:pt idx="3">
                  <c:v>2.0</c:v>
                </c:pt>
                <c:pt idx="4">
                  <c:v>2.0</c:v>
                </c:pt>
                <c:pt idx="5">
                  <c:v>2.0</c:v>
                </c:pt>
                <c:pt idx="6">
                  <c:v>2.0</c:v>
                </c:pt>
                <c:pt idx="7">
                  <c:v>2.0</c:v>
                </c:pt>
                <c:pt idx="8">
                  <c:v>2.0</c:v>
                </c:pt>
                <c:pt idx="9">
                  <c:v>2.285714285714286</c:v>
                </c:pt>
                <c:pt idx="10">
                  <c:v>2.857142857142857</c:v>
                </c:pt>
                <c:pt idx="11">
                  <c:v>2.857142857142857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1"/>
          <c:order val="4"/>
          <c:tx>
            <c:v>Tönnersjöheden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Pinus_sylvestris!$B$65:$B$94</c:f>
              <c:numCache>
                <c:formatCode>m/d/yy</c:formatCode>
                <c:ptCount val="30"/>
                <c:pt idx="0">
                  <c:v>41022.0</c:v>
                </c:pt>
                <c:pt idx="1">
                  <c:v>41026.0</c:v>
                </c:pt>
                <c:pt idx="2">
                  <c:v>41031.0</c:v>
                </c:pt>
                <c:pt idx="3">
                  <c:v>41036.0</c:v>
                </c:pt>
                <c:pt idx="4">
                  <c:v>41039.0</c:v>
                </c:pt>
                <c:pt idx="5">
                  <c:v>41044.0</c:v>
                </c:pt>
                <c:pt idx="6">
                  <c:v>41053.0</c:v>
                </c:pt>
                <c:pt idx="7">
                  <c:v>41059.0</c:v>
                </c:pt>
                <c:pt idx="8">
                  <c:v>41073.0</c:v>
                </c:pt>
                <c:pt idx="9">
                  <c:v>41092.0</c:v>
                </c:pt>
              </c:numCache>
            </c:numRef>
          </c:xVal>
          <c:yVal>
            <c:numRef>
              <c:f>Pinus_sylvestris!$AK$65:$AK$94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1.0</c:v>
                </c:pt>
                <c:pt idx="3">
                  <c:v>1.857142857142857</c:v>
                </c:pt>
                <c:pt idx="4">
                  <c:v>1.857142857142857</c:v>
                </c:pt>
                <c:pt idx="5">
                  <c:v>2.0</c:v>
                </c:pt>
                <c:pt idx="6">
                  <c:v>2.0</c:v>
                </c:pt>
                <c:pt idx="7">
                  <c:v>2.0</c:v>
                </c:pt>
                <c:pt idx="8">
                  <c:v>2.333333333333333</c:v>
                </c:pt>
                <c:pt idx="9">
                  <c:v>2.833333333333333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40894888"/>
        <c:axId val="-2134279112"/>
      </c:scatterChart>
      <c:valAx>
        <c:axId val="-2140894888"/>
        <c:scaling>
          <c:orientation val="minMax"/>
          <c:min val="41000.0"/>
        </c:scaling>
        <c:delete val="0"/>
        <c:axPos val="b"/>
        <c:numFmt formatCode="d\/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34279112"/>
        <c:crosses val="autoZero"/>
        <c:crossBetween val="midCat"/>
        <c:majorUnit val="7.0"/>
      </c:valAx>
      <c:valAx>
        <c:axId val="-2134279112"/>
        <c:scaling>
          <c:orientation val="minMax"/>
          <c:max val="3.5"/>
          <c:min val="0.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Skottskjutningsfas</a:t>
                </a:r>
              </a:p>
            </c:rich>
          </c:tx>
          <c:layout>
            <c:manualLayout>
              <c:xMode val="edge"/>
              <c:yMode val="edge"/>
              <c:x val="0.0136718750000003"/>
              <c:y val="0.2941181265385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40894888"/>
        <c:crosses val="autoZero"/>
        <c:crossBetween val="midCat"/>
        <c:majorUnit val="1.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859375"/>
          <c:y val="0.0882354751417209"/>
          <c:w val="0.884765625"/>
          <c:h val="0.802522654860357"/>
        </c:manualLayout>
      </c:layout>
      <c:scatterChart>
        <c:scatterStyle val="lineMarker"/>
        <c:varyColors val="0"/>
        <c:ser>
          <c:idx val="5"/>
          <c:order val="0"/>
          <c:tx>
            <c:v>Vindeln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Pinus_sylvestris!$B$125:$B$154</c:f>
              <c:numCache>
                <c:formatCode>m/d/yy</c:formatCode>
                <c:ptCount val="30"/>
                <c:pt idx="0">
                  <c:v>41038.0</c:v>
                </c:pt>
                <c:pt idx="1">
                  <c:v>41045.0</c:v>
                </c:pt>
                <c:pt idx="2">
                  <c:v>41052.0</c:v>
                </c:pt>
                <c:pt idx="3">
                  <c:v>41057.0</c:v>
                </c:pt>
                <c:pt idx="4">
                  <c:v>41065.0</c:v>
                </c:pt>
                <c:pt idx="5">
                  <c:v>41071.0</c:v>
                </c:pt>
                <c:pt idx="6">
                  <c:v>41078.0</c:v>
                </c:pt>
                <c:pt idx="7">
                  <c:v>41085.0</c:v>
                </c:pt>
                <c:pt idx="8">
                  <c:v>41092.0</c:v>
                </c:pt>
                <c:pt idx="9">
                  <c:v>41101.0</c:v>
                </c:pt>
                <c:pt idx="10">
                  <c:v>41116.0</c:v>
                </c:pt>
                <c:pt idx="11">
                  <c:v>41124.0</c:v>
                </c:pt>
              </c:numCache>
            </c:numRef>
          </c:xVal>
          <c:yVal>
            <c:numRef>
              <c:f>Pinus_sylvestris!$AL$125:$AL$154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0"/>
          <c:order val="1"/>
          <c:tx>
            <c:v>Umeå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Pinus_sylvestris!$B$95:$B$124</c:f>
              <c:numCache>
                <c:formatCode>m/d/yy</c:formatCode>
                <c:ptCount val="30"/>
                <c:pt idx="0">
                  <c:v>41057.0</c:v>
                </c:pt>
                <c:pt idx="1">
                  <c:v>41064.0</c:v>
                </c:pt>
                <c:pt idx="2">
                  <c:v>41072.0</c:v>
                </c:pt>
                <c:pt idx="3">
                  <c:v>41078.0</c:v>
                </c:pt>
              </c:numCache>
            </c:numRef>
          </c:xVal>
          <c:yVal>
            <c:numRef>
              <c:f>Pinus_sylvestris!$AL$95:$AL$124</c:f>
              <c:numCache>
                <c:formatCode>0.0</c:formatCode>
                <c:ptCount val="30"/>
                <c:pt idx="4">
                  <c:v>0.0</c:v>
                </c:pt>
                <c:pt idx="5">
                  <c:v>0.0</c:v>
                </c:pt>
              </c:numCache>
            </c:numRef>
          </c:yVal>
          <c:smooth val="0"/>
        </c:ser>
        <c:ser>
          <c:idx val="4"/>
          <c:order val="2"/>
          <c:tx>
            <c:v>Siljansfors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triangle"/>
            <c:size val="4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Pinus_sylvestris!$B$35:$B$64</c:f>
              <c:numCache>
                <c:formatCode>m/d/yy</c:formatCode>
                <c:ptCount val="30"/>
                <c:pt idx="0">
                  <c:v>40995.0</c:v>
                </c:pt>
                <c:pt idx="1">
                  <c:v>41036.0</c:v>
                </c:pt>
                <c:pt idx="2">
                  <c:v>41041.0</c:v>
                </c:pt>
                <c:pt idx="3">
                  <c:v>41046.0</c:v>
                </c:pt>
                <c:pt idx="4">
                  <c:v>41050.0</c:v>
                </c:pt>
                <c:pt idx="5">
                  <c:v>41054.0</c:v>
                </c:pt>
                <c:pt idx="6">
                  <c:v>41057.0</c:v>
                </c:pt>
                <c:pt idx="7">
                  <c:v>41061.0</c:v>
                </c:pt>
                <c:pt idx="8">
                  <c:v>41067.0</c:v>
                </c:pt>
                <c:pt idx="9">
                  <c:v>41071.0</c:v>
                </c:pt>
                <c:pt idx="10">
                  <c:v>41075.0</c:v>
                </c:pt>
                <c:pt idx="11">
                  <c:v>41081.0</c:v>
                </c:pt>
                <c:pt idx="12">
                  <c:v>41089.0</c:v>
                </c:pt>
                <c:pt idx="13">
                  <c:v>41098.0</c:v>
                </c:pt>
                <c:pt idx="14">
                  <c:v>41105.0</c:v>
                </c:pt>
              </c:numCache>
            </c:numRef>
          </c:xVal>
          <c:yVal>
            <c:numRef>
              <c:f>Pinus_sylvestris!$AL$35:$AL$64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1.0</c:v>
                </c:pt>
                <c:pt idx="7">
                  <c:v>1.2</c:v>
                </c:pt>
                <c:pt idx="8">
                  <c:v>3.0</c:v>
                </c:pt>
                <c:pt idx="9">
                  <c:v>3.0</c:v>
                </c:pt>
                <c:pt idx="10">
                  <c:v>3.0</c:v>
                </c:pt>
                <c:pt idx="11">
                  <c:v>3.0</c:v>
                </c:pt>
                <c:pt idx="12">
                  <c:v>3.0</c:v>
                </c:pt>
                <c:pt idx="13">
                  <c:v>3.0</c:v>
                </c:pt>
                <c:pt idx="14">
                  <c:v>3.0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</c:numCache>
            </c:numRef>
          </c:yVal>
          <c:smooth val="0"/>
        </c:ser>
        <c:ser>
          <c:idx val="2"/>
          <c:order val="3"/>
          <c:tx>
            <c:v>Asa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Pinus_sylvestris!$B$5:$B$34</c:f>
              <c:numCache>
                <c:formatCode>m/d/yy</c:formatCode>
                <c:ptCount val="30"/>
                <c:pt idx="0">
                  <c:v>41032.0</c:v>
                </c:pt>
                <c:pt idx="1">
                  <c:v>41040.0</c:v>
                </c:pt>
                <c:pt idx="2">
                  <c:v>41047.0</c:v>
                </c:pt>
                <c:pt idx="3">
                  <c:v>41054.0</c:v>
                </c:pt>
                <c:pt idx="4">
                  <c:v>41059.0</c:v>
                </c:pt>
                <c:pt idx="5">
                  <c:v>41068.0</c:v>
                </c:pt>
                <c:pt idx="6">
                  <c:v>41074.0</c:v>
                </c:pt>
                <c:pt idx="7">
                  <c:v>41079.0</c:v>
                </c:pt>
                <c:pt idx="8">
                  <c:v>41088.0</c:v>
                </c:pt>
                <c:pt idx="9">
                  <c:v>41096.0</c:v>
                </c:pt>
                <c:pt idx="10">
                  <c:v>41103.0</c:v>
                </c:pt>
                <c:pt idx="11">
                  <c:v>41110.0</c:v>
                </c:pt>
                <c:pt idx="12">
                  <c:v>41117.0</c:v>
                </c:pt>
              </c:numCache>
            </c:numRef>
          </c:xVal>
          <c:yVal>
            <c:numRef>
              <c:f>Pinus_sylvestris!$AL$5:$AL$34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1.0</c:v>
                </c:pt>
                <c:pt idx="4">
                  <c:v>2.0</c:v>
                </c:pt>
                <c:pt idx="5">
                  <c:v>3.0</c:v>
                </c:pt>
                <c:pt idx="6">
                  <c:v>3.0</c:v>
                </c:pt>
                <c:pt idx="7">
                  <c:v>3.0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</c:numCache>
            </c:numRef>
          </c:yVal>
          <c:smooth val="0"/>
        </c:ser>
        <c:ser>
          <c:idx val="1"/>
          <c:order val="4"/>
          <c:tx>
            <c:v>Tönnersjöheden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Pinus_sylvestris!$B$65:$B$94</c:f>
              <c:numCache>
                <c:formatCode>m/d/yy</c:formatCode>
                <c:ptCount val="30"/>
                <c:pt idx="0">
                  <c:v>41022.0</c:v>
                </c:pt>
                <c:pt idx="1">
                  <c:v>41026.0</c:v>
                </c:pt>
                <c:pt idx="2">
                  <c:v>41031.0</c:v>
                </c:pt>
                <c:pt idx="3">
                  <c:v>41036.0</c:v>
                </c:pt>
                <c:pt idx="4">
                  <c:v>41039.0</c:v>
                </c:pt>
                <c:pt idx="5">
                  <c:v>41044.0</c:v>
                </c:pt>
                <c:pt idx="6">
                  <c:v>41053.0</c:v>
                </c:pt>
                <c:pt idx="7">
                  <c:v>41059.0</c:v>
                </c:pt>
                <c:pt idx="8">
                  <c:v>41073.0</c:v>
                </c:pt>
                <c:pt idx="9">
                  <c:v>41092.0</c:v>
                </c:pt>
              </c:numCache>
            </c:numRef>
          </c:xVal>
          <c:yVal>
            <c:numRef>
              <c:f>Pinus_sylvestris!$AL$65:$AL$94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1.8</c:v>
                </c:pt>
                <c:pt idx="7">
                  <c:v>3.0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1349464"/>
        <c:axId val="-2131428616"/>
      </c:scatterChart>
      <c:valAx>
        <c:axId val="-2131349464"/>
        <c:scaling>
          <c:orientation val="minMax"/>
          <c:min val="41000.0"/>
        </c:scaling>
        <c:delete val="0"/>
        <c:axPos val="b"/>
        <c:numFmt formatCode="d\/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31428616"/>
        <c:crosses val="autoZero"/>
        <c:crossBetween val="midCat"/>
        <c:majorUnit val="7.0"/>
      </c:valAx>
      <c:valAx>
        <c:axId val="-2131428616"/>
        <c:scaling>
          <c:orientation val="minMax"/>
          <c:max val="3.5"/>
          <c:min val="0.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Honblomning, fas</a:t>
                </a:r>
              </a:p>
            </c:rich>
          </c:tx>
          <c:layout>
            <c:manualLayout>
              <c:xMode val="edge"/>
              <c:yMode val="edge"/>
              <c:x val="0.0136718750000003"/>
              <c:y val="0.30672326115486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31349464"/>
        <c:crosses val="autoZero"/>
        <c:crossBetween val="midCat"/>
        <c:majorUnit val="1.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859375"/>
          <c:y val="0.122093369859903"/>
          <c:w val="0.884765625"/>
          <c:h val="0.726746249166088"/>
        </c:manualLayout>
      </c:layout>
      <c:scatterChart>
        <c:scatterStyle val="lineMarker"/>
        <c:varyColors val="0"/>
        <c:ser>
          <c:idx val="5"/>
          <c:order val="0"/>
          <c:tx>
            <c:v>Vindeln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Pinus_sylvestris!$B$125:$B$154</c:f>
              <c:numCache>
                <c:formatCode>m/d/yy</c:formatCode>
                <c:ptCount val="30"/>
                <c:pt idx="0">
                  <c:v>41038.0</c:v>
                </c:pt>
                <c:pt idx="1">
                  <c:v>41045.0</c:v>
                </c:pt>
                <c:pt idx="2">
                  <c:v>41052.0</c:v>
                </c:pt>
                <c:pt idx="3">
                  <c:v>41057.0</c:v>
                </c:pt>
                <c:pt idx="4">
                  <c:v>41065.0</c:v>
                </c:pt>
                <c:pt idx="5">
                  <c:v>41071.0</c:v>
                </c:pt>
                <c:pt idx="6">
                  <c:v>41078.0</c:v>
                </c:pt>
                <c:pt idx="7">
                  <c:v>41085.0</c:v>
                </c:pt>
                <c:pt idx="8">
                  <c:v>41092.0</c:v>
                </c:pt>
                <c:pt idx="9">
                  <c:v>41101.0</c:v>
                </c:pt>
                <c:pt idx="10">
                  <c:v>41116.0</c:v>
                </c:pt>
                <c:pt idx="11">
                  <c:v>41124.0</c:v>
                </c:pt>
              </c:numCache>
            </c:numRef>
          </c:xVal>
          <c:yVal>
            <c:numRef>
              <c:f>Pinus_sylvestris!$AM$125:$AM$154</c:f>
              <c:numCache>
                <c:formatCode>0.0</c:formatCode>
                <c:ptCount val="30"/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0"/>
          <c:order val="1"/>
          <c:tx>
            <c:v>Umeå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Pinus_sylvestris!$B$95:$B$124</c:f>
              <c:numCache>
                <c:formatCode>m/d/yy</c:formatCode>
                <c:ptCount val="30"/>
                <c:pt idx="0">
                  <c:v>41057.0</c:v>
                </c:pt>
                <c:pt idx="1">
                  <c:v>41064.0</c:v>
                </c:pt>
                <c:pt idx="2">
                  <c:v>41072.0</c:v>
                </c:pt>
                <c:pt idx="3">
                  <c:v>41078.0</c:v>
                </c:pt>
              </c:numCache>
            </c:numRef>
          </c:xVal>
          <c:yVal>
            <c:numRef>
              <c:f>Pinus_sylvestris!$AM$95:$AM$124</c:f>
              <c:numCache>
                <c:formatCode>0.0</c:formatCode>
                <c:ptCount val="30"/>
                <c:pt idx="4">
                  <c:v>0.0</c:v>
                </c:pt>
                <c:pt idx="5">
                  <c:v>0.0</c:v>
                </c:pt>
              </c:numCache>
            </c:numRef>
          </c:yVal>
          <c:smooth val="0"/>
        </c:ser>
        <c:ser>
          <c:idx val="4"/>
          <c:order val="2"/>
          <c:tx>
            <c:v>Siljansfors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triangle"/>
            <c:size val="4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Pinus_sylvestris!$B$35:$B$64</c:f>
              <c:numCache>
                <c:formatCode>m/d/yy</c:formatCode>
                <c:ptCount val="30"/>
                <c:pt idx="0">
                  <c:v>40995.0</c:v>
                </c:pt>
                <c:pt idx="1">
                  <c:v>41036.0</c:v>
                </c:pt>
                <c:pt idx="2">
                  <c:v>41041.0</c:v>
                </c:pt>
                <c:pt idx="3">
                  <c:v>41046.0</c:v>
                </c:pt>
                <c:pt idx="4">
                  <c:v>41050.0</c:v>
                </c:pt>
                <c:pt idx="5">
                  <c:v>41054.0</c:v>
                </c:pt>
                <c:pt idx="6">
                  <c:v>41057.0</c:v>
                </c:pt>
                <c:pt idx="7">
                  <c:v>41061.0</c:v>
                </c:pt>
                <c:pt idx="8">
                  <c:v>41067.0</c:v>
                </c:pt>
                <c:pt idx="9">
                  <c:v>41071.0</c:v>
                </c:pt>
                <c:pt idx="10">
                  <c:v>41075.0</c:v>
                </c:pt>
                <c:pt idx="11">
                  <c:v>41081.0</c:v>
                </c:pt>
                <c:pt idx="12">
                  <c:v>41089.0</c:v>
                </c:pt>
                <c:pt idx="13">
                  <c:v>41098.0</c:v>
                </c:pt>
                <c:pt idx="14">
                  <c:v>41105.0</c:v>
                </c:pt>
              </c:numCache>
            </c:numRef>
          </c:xVal>
          <c:yVal>
            <c:numRef>
              <c:f>Pinus_sylvestris!$AM$35:$AM$64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  <c:pt idx="14">
                  <c:v>1.0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</c:numCache>
            </c:numRef>
          </c:yVal>
          <c:smooth val="0"/>
        </c:ser>
        <c:ser>
          <c:idx val="2"/>
          <c:order val="3"/>
          <c:tx>
            <c:v>Asa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Pinus_sylvestris!$B$5:$B$34</c:f>
              <c:numCache>
                <c:formatCode>m/d/yy</c:formatCode>
                <c:ptCount val="30"/>
                <c:pt idx="0">
                  <c:v>41032.0</c:v>
                </c:pt>
                <c:pt idx="1">
                  <c:v>41040.0</c:v>
                </c:pt>
                <c:pt idx="2">
                  <c:v>41047.0</c:v>
                </c:pt>
                <c:pt idx="3">
                  <c:v>41054.0</c:v>
                </c:pt>
                <c:pt idx="4">
                  <c:v>41059.0</c:v>
                </c:pt>
                <c:pt idx="5">
                  <c:v>41068.0</c:v>
                </c:pt>
                <c:pt idx="6">
                  <c:v>41074.0</c:v>
                </c:pt>
                <c:pt idx="7">
                  <c:v>41079.0</c:v>
                </c:pt>
                <c:pt idx="8">
                  <c:v>41088.0</c:v>
                </c:pt>
                <c:pt idx="9">
                  <c:v>41096.0</c:v>
                </c:pt>
                <c:pt idx="10">
                  <c:v>41103.0</c:v>
                </c:pt>
                <c:pt idx="11">
                  <c:v>41110.0</c:v>
                </c:pt>
                <c:pt idx="12">
                  <c:v>41117.0</c:v>
                </c:pt>
              </c:numCache>
            </c:numRef>
          </c:xVal>
          <c:yVal>
            <c:numRef>
              <c:f>Pinus_sylvestris!$AM$5:$AM$34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</c:numCache>
            </c:numRef>
          </c:yVal>
          <c:smooth val="0"/>
        </c:ser>
        <c:ser>
          <c:idx val="1"/>
          <c:order val="4"/>
          <c:tx>
            <c:v>Tönnersjöheden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circle"/>
            <c:size val="8"/>
            <c:spPr>
              <a:solidFill>
                <a:srgbClr val="FFFFFF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Pinus_sylvestris!$B$65:$B$94</c:f>
              <c:numCache>
                <c:formatCode>m/d/yy</c:formatCode>
                <c:ptCount val="30"/>
                <c:pt idx="0">
                  <c:v>41022.0</c:v>
                </c:pt>
                <c:pt idx="1">
                  <c:v>41026.0</c:v>
                </c:pt>
                <c:pt idx="2">
                  <c:v>41031.0</c:v>
                </c:pt>
                <c:pt idx="3">
                  <c:v>41036.0</c:v>
                </c:pt>
                <c:pt idx="4">
                  <c:v>41039.0</c:v>
                </c:pt>
                <c:pt idx="5">
                  <c:v>41044.0</c:v>
                </c:pt>
                <c:pt idx="6">
                  <c:v>41053.0</c:v>
                </c:pt>
                <c:pt idx="7">
                  <c:v>41059.0</c:v>
                </c:pt>
                <c:pt idx="8">
                  <c:v>41073.0</c:v>
                </c:pt>
                <c:pt idx="9">
                  <c:v>41092.0</c:v>
                </c:pt>
              </c:numCache>
            </c:numRef>
          </c:xVal>
          <c:yVal>
            <c:numRef>
              <c:f>Pinus_sylvestris!$AM$65:$AM$94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0.4</c:v>
                </c:pt>
                <c:pt idx="7">
                  <c:v>1.0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1691448"/>
        <c:axId val="-2131685608"/>
      </c:scatterChart>
      <c:valAx>
        <c:axId val="-2131691448"/>
        <c:scaling>
          <c:orientation val="minMax"/>
          <c:min val="41000.0"/>
        </c:scaling>
        <c:delete val="0"/>
        <c:axPos val="b"/>
        <c:numFmt formatCode="d\/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31685608"/>
        <c:crosses val="autoZero"/>
        <c:crossBetween val="midCat"/>
        <c:majorUnit val="7.0"/>
      </c:valAx>
      <c:valAx>
        <c:axId val="-2131685608"/>
        <c:scaling>
          <c:orientation val="minMax"/>
          <c:max val="1.5"/>
          <c:min val="0.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Hanblomning, fas</a:t>
                </a:r>
              </a:p>
            </c:rich>
          </c:tx>
          <c:layout>
            <c:manualLayout>
              <c:xMode val="edge"/>
              <c:yMode val="edge"/>
              <c:x val="0.0136718750000003"/>
              <c:y val="0.2325588307871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31691448"/>
        <c:crosses val="autoZero"/>
        <c:crossBetween val="midCat"/>
        <c:majorUnit val="1.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 paperSize="9" orientation="landscape" horizontalDpi="0" verticalDpi="0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012422360248"/>
          <c:y val="0.0497237569060775"/>
          <c:w val="0.844720496894447"/>
          <c:h val="0.7845303867403"/>
        </c:manualLayout>
      </c:layout>
      <c:scatterChart>
        <c:scatterStyle val="lineMarker"/>
        <c:varyColors val="0"/>
        <c:ser>
          <c:idx val="5"/>
          <c:order val="0"/>
          <c:tx>
            <c:v>Vindeln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Picea_abies_Krutzsch!$B$126:$B$155</c:f>
              <c:numCache>
                <c:formatCode>m/d/yy</c:formatCode>
                <c:ptCount val="30"/>
                <c:pt idx="0">
                  <c:v>41039.0</c:v>
                </c:pt>
                <c:pt idx="1">
                  <c:v>41045.0</c:v>
                </c:pt>
                <c:pt idx="2">
                  <c:v>41052.0</c:v>
                </c:pt>
                <c:pt idx="3">
                  <c:v>41060.0</c:v>
                </c:pt>
                <c:pt idx="4">
                  <c:v>41065.0</c:v>
                </c:pt>
                <c:pt idx="5">
                  <c:v>41071.0</c:v>
                </c:pt>
                <c:pt idx="6">
                  <c:v>41078.0</c:v>
                </c:pt>
                <c:pt idx="7">
                  <c:v>41085.0</c:v>
                </c:pt>
                <c:pt idx="8">
                  <c:v>41089.0</c:v>
                </c:pt>
                <c:pt idx="9">
                  <c:v>41100.0</c:v>
                </c:pt>
              </c:numCache>
            </c:numRef>
          </c:xVal>
          <c:yVal>
            <c:numRef>
              <c:f>Picea_abies_Krutzsch!$AT$126:$AT$155</c:f>
              <c:numCache>
                <c:formatCode>General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1.428571428571429</c:v>
                </c:pt>
                <c:pt idx="4">
                  <c:v>2.085714285714286</c:v>
                </c:pt>
                <c:pt idx="5">
                  <c:v>2.971428571428572</c:v>
                </c:pt>
                <c:pt idx="6">
                  <c:v>3.971428571428572</c:v>
                </c:pt>
                <c:pt idx="7">
                  <c:v>5.371428571428571</c:v>
                </c:pt>
                <c:pt idx="8">
                  <c:v>7.457142857142857</c:v>
                </c:pt>
                <c:pt idx="9">
                  <c:v>8.0</c:v>
                </c:pt>
                <c:pt idx="10">
                  <c:v>8.0</c:v>
                </c:pt>
                <c:pt idx="11">
                  <c:v>8.0</c:v>
                </c:pt>
                <c:pt idx="12">
                  <c:v>8.0</c:v>
                </c:pt>
                <c:pt idx="13">
                  <c:v>8.0</c:v>
                </c:pt>
                <c:pt idx="14">
                  <c:v>8.0</c:v>
                </c:pt>
                <c:pt idx="15">
                  <c:v>8.0</c:v>
                </c:pt>
                <c:pt idx="16">
                  <c:v>8.0</c:v>
                </c:pt>
                <c:pt idx="17">
                  <c:v>8.0</c:v>
                </c:pt>
                <c:pt idx="18">
                  <c:v>8.0</c:v>
                </c:pt>
                <c:pt idx="19">
                  <c:v>8.0</c:v>
                </c:pt>
                <c:pt idx="20">
                  <c:v>8.0</c:v>
                </c:pt>
                <c:pt idx="21">
                  <c:v>8.0</c:v>
                </c:pt>
                <c:pt idx="22">
                  <c:v>8.0</c:v>
                </c:pt>
                <c:pt idx="23">
                  <c:v>8.0</c:v>
                </c:pt>
                <c:pt idx="24">
                  <c:v>8.0</c:v>
                </c:pt>
                <c:pt idx="25">
                  <c:v>8.0</c:v>
                </c:pt>
                <c:pt idx="26">
                  <c:v>8.0</c:v>
                </c:pt>
                <c:pt idx="27">
                  <c:v>8.0</c:v>
                </c:pt>
                <c:pt idx="28">
                  <c:v>8.0</c:v>
                </c:pt>
                <c:pt idx="29">
                  <c:v>8.0</c:v>
                </c:pt>
              </c:numCache>
            </c:numRef>
          </c:yVal>
          <c:smooth val="0"/>
        </c:ser>
        <c:ser>
          <c:idx val="0"/>
          <c:order val="1"/>
          <c:tx>
            <c:v>Umeå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Picea_abies_Krutzsch!$B$96:$B$125</c:f>
              <c:numCache>
                <c:formatCode>m/d/yy</c:formatCode>
                <c:ptCount val="30"/>
                <c:pt idx="0">
                  <c:v>41057.0</c:v>
                </c:pt>
                <c:pt idx="1">
                  <c:v>41064.0</c:v>
                </c:pt>
                <c:pt idx="2">
                  <c:v>41072.0</c:v>
                </c:pt>
                <c:pt idx="3">
                  <c:v>41078.0</c:v>
                </c:pt>
              </c:numCache>
            </c:numRef>
          </c:xVal>
          <c:yVal>
            <c:numRef>
              <c:f>Picea_abies_Krutzsch!$AT$96:$AT$125</c:f>
              <c:numCache>
                <c:formatCode>General</c:formatCode>
                <c:ptCount val="30"/>
                <c:pt idx="0">
                  <c:v>0.72</c:v>
                </c:pt>
                <c:pt idx="1">
                  <c:v>2.72</c:v>
                </c:pt>
                <c:pt idx="2">
                  <c:v>3.64</c:v>
                </c:pt>
                <c:pt idx="3">
                  <c:v>4.96</c:v>
                </c:pt>
                <c:pt idx="4">
                  <c:v>4.96</c:v>
                </c:pt>
                <c:pt idx="5">
                  <c:v>4.96</c:v>
                </c:pt>
                <c:pt idx="6">
                  <c:v>4.96</c:v>
                </c:pt>
                <c:pt idx="7">
                  <c:v>4.96</c:v>
                </c:pt>
                <c:pt idx="8">
                  <c:v>4.96</c:v>
                </c:pt>
                <c:pt idx="9">
                  <c:v>4.96</c:v>
                </c:pt>
                <c:pt idx="10">
                  <c:v>4.96</c:v>
                </c:pt>
                <c:pt idx="11">
                  <c:v>4.96</c:v>
                </c:pt>
                <c:pt idx="12">
                  <c:v>4.96</c:v>
                </c:pt>
                <c:pt idx="13">
                  <c:v>4.96</c:v>
                </c:pt>
                <c:pt idx="14">
                  <c:v>4.96</c:v>
                </c:pt>
                <c:pt idx="15">
                  <c:v>4.96</c:v>
                </c:pt>
                <c:pt idx="16">
                  <c:v>4.96</c:v>
                </c:pt>
                <c:pt idx="17">
                  <c:v>4.96</c:v>
                </c:pt>
                <c:pt idx="18">
                  <c:v>4.96</c:v>
                </c:pt>
                <c:pt idx="19">
                  <c:v>4.96</c:v>
                </c:pt>
                <c:pt idx="20">
                  <c:v>4.96</c:v>
                </c:pt>
                <c:pt idx="21">
                  <c:v>4.96</c:v>
                </c:pt>
                <c:pt idx="22">
                  <c:v>4.96</c:v>
                </c:pt>
                <c:pt idx="23">
                  <c:v>4.96</c:v>
                </c:pt>
                <c:pt idx="24">
                  <c:v>4.96</c:v>
                </c:pt>
                <c:pt idx="25">
                  <c:v>4.96</c:v>
                </c:pt>
                <c:pt idx="26">
                  <c:v>4.96</c:v>
                </c:pt>
                <c:pt idx="27">
                  <c:v>4.96</c:v>
                </c:pt>
                <c:pt idx="28">
                  <c:v>4.96</c:v>
                </c:pt>
              </c:numCache>
            </c:numRef>
          </c:yVal>
          <c:smooth val="0"/>
        </c:ser>
        <c:ser>
          <c:idx val="4"/>
          <c:order val="2"/>
          <c:tx>
            <c:v>Siljansfors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triangle"/>
            <c:size val="4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Picea_abies_Krutzsch!$B$36:$B$65</c:f>
              <c:numCache>
                <c:formatCode>m/d/yy</c:formatCode>
                <c:ptCount val="30"/>
                <c:pt idx="0">
                  <c:v>41036.0</c:v>
                </c:pt>
                <c:pt idx="1">
                  <c:v>41041.0</c:v>
                </c:pt>
                <c:pt idx="2">
                  <c:v>41046.0</c:v>
                </c:pt>
                <c:pt idx="3">
                  <c:v>41050.0</c:v>
                </c:pt>
                <c:pt idx="4">
                  <c:v>41054.0</c:v>
                </c:pt>
                <c:pt idx="5">
                  <c:v>41058.0</c:v>
                </c:pt>
                <c:pt idx="6">
                  <c:v>41061.0</c:v>
                </c:pt>
                <c:pt idx="7">
                  <c:v>41067.0</c:v>
                </c:pt>
                <c:pt idx="8">
                  <c:v>41075.0</c:v>
                </c:pt>
                <c:pt idx="9">
                  <c:v>41081.0</c:v>
                </c:pt>
                <c:pt idx="10">
                  <c:v>41088.0</c:v>
                </c:pt>
                <c:pt idx="11">
                  <c:v>41098.0</c:v>
                </c:pt>
              </c:numCache>
            </c:numRef>
          </c:xVal>
          <c:yVal>
            <c:numRef>
              <c:f>Picea_abies_Krutzsch!$AT$36:$AT$65</c:f>
              <c:numCache>
                <c:formatCode>General</c:formatCode>
                <c:ptCount val="30"/>
                <c:pt idx="0">
                  <c:v>0.0857142857142857</c:v>
                </c:pt>
                <c:pt idx="1">
                  <c:v>0.171428571428571</c:v>
                </c:pt>
                <c:pt idx="2">
                  <c:v>0.771428571428571</c:v>
                </c:pt>
                <c:pt idx="3">
                  <c:v>1.4</c:v>
                </c:pt>
                <c:pt idx="4">
                  <c:v>2.457142857142857</c:v>
                </c:pt>
                <c:pt idx="5">
                  <c:v>3.4</c:v>
                </c:pt>
                <c:pt idx="6">
                  <c:v>3.857142857142857</c:v>
                </c:pt>
                <c:pt idx="7">
                  <c:v>4.257142857142857</c:v>
                </c:pt>
                <c:pt idx="8">
                  <c:v>5.028571428571428</c:v>
                </c:pt>
                <c:pt idx="9">
                  <c:v>6.742857142857143</c:v>
                </c:pt>
                <c:pt idx="10">
                  <c:v>7.742857142857143</c:v>
                </c:pt>
                <c:pt idx="11">
                  <c:v>8.0</c:v>
                </c:pt>
                <c:pt idx="12">
                  <c:v>8.0</c:v>
                </c:pt>
                <c:pt idx="13">
                  <c:v>8.0</c:v>
                </c:pt>
                <c:pt idx="14">
                  <c:v>8.0</c:v>
                </c:pt>
                <c:pt idx="15">
                  <c:v>8.0</c:v>
                </c:pt>
                <c:pt idx="16">
                  <c:v>8.0</c:v>
                </c:pt>
                <c:pt idx="17">
                  <c:v>8.0</c:v>
                </c:pt>
                <c:pt idx="18">
                  <c:v>8.0</c:v>
                </c:pt>
                <c:pt idx="19">
                  <c:v>8.0</c:v>
                </c:pt>
                <c:pt idx="20">
                  <c:v>8.0</c:v>
                </c:pt>
                <c:pt idx="21">
                  <c:v>8.0</c:v>
                </c:pt>
                <c:pt idx="22">
                  <c:v>8.0</c:v>
                </c:pt>
                <c:pt idx="23">
                  <c:v>8.0</c:v>
                </c:pt>
                <c:pt idx="24">
                  <c:v>8.0</c:v>
                </c:pt>
                <c:pt idx="25">
                  <c:v>8.0</c:v>
                </c:pt>
                <c:pt idx="26">
                  <c:v>8.0</c:v>
                </c:pt>
                <c:pt idx="27">
                  <c:v>8.0</c:v>
                </c:pt>
                <c:pt idx="28">
                  <c:v>8.0</c:v>
                </c:pt>
              </c:numCache>
            </c:numRef>
          </c:yVal>
          <c:smooth val="0"/>
        </c:ser>
        <c:ser>
          <c:idx val="2"/>
          <c:order val="3"/>
          <c:tx>
            <c:v>Asa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Picea_abies_Krutzsch!$B$6:$B$35</c:f>
              <c:numCache>
                <c:formatCode>m/d/yy</c:formatCode>
                <c:ptCount val="30"/>
                <c:pt idx="0">
                  <c:v>41032.0</c:v>
                </c:pt>
                <c:pt idx="1">
                  <c:v>41040.0</c:v>
                </c:pt>
                <c:pt idx="2">
                  <c:v>41047.0</c:v>
                </c:pt>
                <c:pt idx="3">
                  <c:v>41054.0</c:v>
                </c:pt>
                <c:pt idx="4">
                  <c:v>41061.0</c:v>
                </c:pt>
                <c:pt idx="5">
                  <c:v>41068.0</c:v>
                </c:pt>
                <c:pt idx="6">
                  <c:v>41074.0</c:v>
                </c:pt>
                <c:pt idx="7">
                  <c:v>41079.0</c:v>
                </c:pt>
                <c:pt idx="8">
                  <c:v>41088.0</c:v>
                </c:pt>
              </c:numCache>
            </c:numRef>
          </c:xVal>
          <c:yVal>
            <c:numRef>
              <c:f>Picea_abies_Krutzsch!$AT$6:$AT$35</c:f>
              <c:numCache>
                <c:formatCode>General</c:formatCode>
                <c:ptCount val="30"/>
                <c:pt idx="0">
                  <c:v>0.0</c:v>
                </c:pt>
                <c:pt idx="1">
                  <c:v>0.6</c:v>
                </c:pt>
                <c:pt idx="2">
                  <c:v>0.76</c:v>
                </c:pt>
                <c:pt idx="3">
                  <c:v>1.8</c:v>
                </c:pt>
                <c:pt idx="4">
                  <c:v>3.2</c:v>
                </c:pt>
                <c:pt idx="5">
                  <c:v>4.8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8.0</c:v>
                </c:pt>
                <c:pt idx="10">
                  <c:v>8.0</c:v>
                </c:pt>
                <c:pt idx="11">
                  <c:v>8.0</c:v>
                </c:pt>
                <c:pt idx="12">
                  <c:v>8.0</c:v>
                </c:pt>
                <c:pt idx="13">
                  <c:v>8.0</c:v>
                </c:pt>
                <c:pt idx="14">
                  <c:v>8.0</c:v>
                </c:pt>
                <c:pt idx="15">
                  <c:v>8.0</c:v>
                </c:pt>
                <c:pt idx="16">
                  <c:v>8.0</c:v>
                </c:pt>
                <c:pt idx="17">
                  <c:v>8.0</c:v>
                </c:pt>
                <c:pt idx="18">
                  <c:v>8.0</c:v>
                </c:pt>
                <c:pt idx="19">
                  <c:v>8.0</c:v>
                </c:pt>
                <c:pt idx="20">
                  <c:v>8.0</c:v>
                </c:pt>
                <c:pt idx="21">
                  <c:v>8.0</c:v>
                </c:pt>
                <c:pt idx="22">
                  <c:v>8.0</c:v>
                </c:pt>
                <c:pt idx="23">
                  <c:v>8.0</c:v>
                </c:pt>
                <c:pt idx="24">
                  <c:v>8.0</c:v>
                </c:pt>
                <c:pt idx="25">
                  <c:v>8.0</c:v>
                </c:pt>
                <c:pt idx="26">
                  <c:v>8.0</c:v>
                </c:pt>
                <c:pt idx="27">
                  <c:v>8.0</c:v>
                </c:pt>
                <c:pt idx="28">
                  <c:v>8.0</c:v>
                </c:pt>
              </c:numCache>
            </c:numRef>
          </c:yVal>
          <c:smooth val="0"/>
        </c:ser>
        <c:ser>
          <c:idx val="1"/>
          <c:order val="4"/>
          <c:tx>
            <c:v>Tönnersjöheden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Picea_abies_Krutzsch!$B$66:$B$95</c:f>
              <c:numCache>
                <c:formatCode>m/d/yy</c:formatCode>
                <c:ptCount val="30"/>
                <c:pt idx="0">
                  <c:v>41022.0</c:v>
                </c:pt>
                <c:pt idx="1">
                  <c:v>41026.0</c:v>
                </c:pt>
                <c:pt idx="2">
                  <c:v>41031.0</c:v>
                </c:pt>
                <c:pt idx="3">
                  <c:v>41036.0</c:v>
                </c:pt>
                <c:pt idx="4">
                  <c:v>41039.0</c:v>
                </c:pt>
                <c:pt idx="5">
                  <c:v>41044.0</c:v>
                </c:pt>
                <c:pt idx="6">
                  <c:v>41053.0</c:v>
                </c:pt>
                <c:pt idx="7">
                  <c:v>41059.0</c:v>
                </c:pt>
                <c:pt idx="8">
                  <c:v>41073.0</c:v>
                </c:pt>
                <c:pt idx="9">
                  <c:v>41092.0</c:v>
                </c:pt>
              </c:numCache>
            </c:numRef>
          </c:xVal>
          <c:yVal>
            <c:numRef>
              <c:f>Picea_abies_Krutzsch!$AT$66:$AT$95</c:f>
              <c:numCache>
                <c:formatCode>General</c:formatCode>
                <c:ptCount val="30"/>
                <c:pt idx="0">
                  <c:v>0.2</c:v>
                </c:pt>
                <c:pt idx="1">
                  <c:v>0.2</c:v>
                </c:pt>
                <c:pt idx="2">
                  <c:v>0.6</c:v>
                </c:pt>
                <c:pt idx="3">
                  <c:v>1.2</c:v>
                </c:pt>
                <c:pt idx="4">
                  <c:v>1.8</c:v>
                </c:pt>
                <c:pt idx="5">
                  <c:v>2.4</c:v>
                </c:pt>
                <c:pt idx="6">
                  <c:v>3.6</c:v>
                </c:pt>
                <c:pt idx="7">
                  <c:v>5.0</c:v>
                </c:pt>
                <c:pt idx="8">
                  <c:v>6.8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7.6</c:v>
                </c:pt>
                <c:pt idx="13">
                  <c:v>7.6</c:v>
                </c:pt>
                <c:pt idx="14">
                  <c:v>7.6</c:v>
                </c:pt>
                <c:pt idx="15">
                  <c:v>7.6</c:v>
                </c:pt>
                <c:pt idx="16">
                  <c:v>7.6</c:v>
                </c:pt>
                <c:pt idx="17">
                  <c:v>7.6</c:v>
                </c:pt>
                <c:pt idx="18">
                  <c:v>7.6</c:v>
                </c:pt>
                <c:pt idx="19">
                  <c:v>7.6</c:v>
                </c:pt>
                <c:pt idx="20">
                  <c:v>7.6</c:v>
                </c:pt>
                <c:pt idx="21">
                  <c:v>7.6</c:v>
                </c:pt>
                <c:pt idx="22">
                  <c:v>7.6</c:v>
                </c:pt>
                <c:pt idx="23">
                  <c:v>7.6</c:v>
                </c:pt>
                <c:pt idx="24">
                  <c:v>7.6</c:v>
                </c:pt>
                <c:pt idx="25">
                  <c:v>7.6</c:v>
                </c:pt>
                <c:pt idx="26">
                  <c:v>7.6</c:v>
                </c:pt>
                <c:pt idx="27">
                  <c:v>7.6</c:v>
                </c:pt>
                <c:pt idx="28">
                  <c:v>7.6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3898152"/>
        <c:axId val="-2134213960"/>
      </c:scatterChart>
      <c:valAx>
        <c:axId val="-2133898152"/>
        <c:scaling>
          <c:orientation val="minMax"/>
          <c:min val="41000.0"/>
        </c:scaling>
        <c:delete val="0"/>
        <c:axPos val="b"/>
        <c:numFmt formatCode="d\/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34213960"/>
        <c:crosses val="autoZero"/>
        <c:crossBetween val="midCat"/>
        <c:majorUnit val="7.0"/>
      </c:valAx>
      <c:valAx>
        <c:axId val="-21342139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Knopp/skottutveckling enl. Krutzsch</a:t>
                </a:r>
              </a:p>
            </c:rich>
          </c:tx>
          <c:layout>
            <c:manualLayout>
              <c:xMode val="edge"/>
              <c:yMode val="edge"/>
              <c:x val="0.0144928386435142"/>
              <c:y val="0.04419865117757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33898152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913933384237"/>
          <c:y val="0.0896867368840537"/>
          <c:w val="0.236755445377672"/>
          <c:h val="0.37219995806882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7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910973084886147"/>
          <c:y val="0.0456621004566211"/>
          <c:w val="0.869565217391308"/>
          <c:h val="0.808219178082192"/>
        </c:manualLayout>
      </c:layout>
      <c:scatterChart>
        <c:scatterStyle val="lineMarker"/>
        <c:varyColors val="0"/>
        <c:ser>
          <c:idx val="2"/>
          <c:order val="0"/>
          <c:tx>
            <c:v>Årets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Picea_abies_Krutzsch!$AU$36:$AU$65</c:f>
              <c:numCache>
                <c:formatCode>0</c:formatCode>
                <c:ptCount val="30"/>
                <c:pt idx="0">
                  <c:v>128.0</c:v>
                </c:pt>
                <c:pt idx="1">
                  <c:v>133.0</c:v>
                </c:pt>
                <c:pt idx="2">
                  <c:v>138.0</c:v>
                </c:pt>
                <c:pt idx="3">
                  <c:v>142.0</c:v>
                </c:pt>
                <c:pt idx="4">
                  <c:v>146.0</c:v>
                </c:pt>
                <c:pt idx="5">
                  <c:v>150.0</c:v>
                </c:pt>
                <c:pt idx="6">
                  <c:v>153.0</c:v>
                </c:pt>
                <c:pt idx="7">
                  <c:v>159.0</c:v>
                </c:pt>
                <c:pt idx="8">
                  <c:v>167.0</c:v>
                </c:pt>
                <c:pt idx="9">
                  <c:v>173.0</c:v>
                </c:pt>
                <c:pt idx="10">
                  <c:v>180.0</c:v>
                </c:pt>
                <c:pt idx="11">
                  <c:v>190.0</c:v>
                </c:pt>
                <c:pt idx="12">
                  <c:v>190.0</c:v>
                </c:pt>
                <c:pt idx="13">
                  <c:v>190.0</c:v>
                </c:pt>
                <c:pt idx="14">
                  <c:v>190.0</c:v>
                </c:pt>
                <c:pt idx="15">
                  <c:v>190.0</c:v>
                </c:pt>
                <c:pt idx="16">
                  <c:v>190.0</c:v>
                </c:pt>
                <c:pt idx="17">
                  <c:v>190.0</c:v>
                </c:pt>
                <c:pt idx="18">
                  <c:v>190.0</c:v>
                </c:pt>
                <c:pt idx="19">
                  <c:v>190.0</c:v>
                </c:pt>
                <c:pt idx="20">
                  <c:v>190.0</c:v>
                </c:pt>
                <c:pt idx="21">
                  <c:v>190.0</c:v>
                </c:pt>
                <c:pt idx="22">
                  <c:v>190.0</c:v>
                </c:pt>
                <c:pt idx="23">
                  <c:v>190.0</c:v>
                </c:pt>
                <c:pt idx="24">
                  <c:v>190.0</c:v>
                </c:pt>
                <c:pt idx="25">
                  <c:v>190.0</c:v>
                </c:pt>
                <c:pt idx="26">
                  <c:v>190.0</c:v>
                </c:pt>
                <c:pt idx="27">
                  <c:v>190.0</c:v>
                </c:pt>
                <c:pt idx="28">
                  <c:v>190.0</c:v>
                </c:pt>
              </c:numCache>
            </c:numRef>
          </c:xVal>
          <c:yVal>
            <c:numRef>
              <c:f>Picea_abies_Krutzsch!$AT$36:$AT$65</c:f>
              <c:numCache>
                <c:formatCode>General</c:formatCode>
                <c:ptCount val="30"/>
                <c:pt idx="0">
                  <c:v>0.0857142857142857</c:v>
                </c:pt>
                <c:pt idx="1">
                  <c:v>0.171428571428571</c:v>
                </c:pt>
                <c:pt idx="2">
                  <c:v>0.771428571428571</c:v>
                </c:pt>
                <c:pt idx="3">
                  <c:v>1.4</c:v>
                </c:pt>
                <c:pt idx="4">
                  <c:v>2.457142857142857</c:v>
                </c:pt>
                <c:pt idx="5">
                  <c:v>3.4</c:v>
                </c:pt>
                <c:pt idx="6">
                  <c:v>3.857142857142857</c:v>
                </c:pt>
                <c:pt idx="7">
                  <c:v>4.257142857142857</c:v>
                </c:pt>
                <c:pt idx="8">
                  <c:v>5.028571428571428</c:v>
                </c:pt>
                <c:pt idx="9">
                  <c:v>6.742857142857143</c:v>
                </c:pt>
                <c:pt idx="10">
                  <c:v>7.742857142857143</c:v>
                </c:pt>
                <c:pt idx="11">
                  <c:v>8.0</c:v>
                </c:pt>
                <c:pt idx="12">
                  <c:v>8.0</c:v>
                </c:pt>
                <c:pt idx="13">
                  <c:v>8.0</c:v>
                </c:pt>
                <c:pt idx="14">
                  <c:v>8.0</c:v>
                </c:pt>
                <c:pt idx="15">
                  <c:v>8.0</c:v>
                </c:pt>
                <c:pt idx="16">
                  <c:v>8.0</c:v>
                </c:pt>
                <c:pt idx="17">
                  <c:v>8.0</c:v>
                </c:pt>
                <c:pt idx="18">
                  <c:v>8.0</c:v>
                </c:pt>
                <c:pt idx="19">
                  <c:v>8.0</c:v>
                </c:pt>
                <c:pt idx="20">
                  <c:v>8.0</c:v>
                </c:pt>
                <c:pt idx="21">
                  <c:v>8.0</c:v>
                </c:pt>
                <c:pt idx="22">
                  <c:v>8.0</c:v>
                </c:pt>
                <c:pt idx="23">
                  <c:v>8.0</c:v>
                </c:pt>
                <c:pt idx="24">
                  <c:v>8.0</c:v>
                </c:pt>
                <c:pt idx="25">
                  <c:v>8.0</c:v>
                </c:pt>
                <c:pt idx="26">
                  <c:v>8.0</c:v>
                </c:pt>
                <c:pt idx="27">
                  <c:v>8.0</c:v>
                </c:pt>
                <c:pt idx="28">
                  <c:v>8.0</c:v>
                </c:pt>
              </c:numCache>
            </c:numRef>
          </c:yVal>
          <c:smooth val="0"/>
        </c:ser>
        <c:ser>
          <c:idx val="0"/>
          <c:order val="1"/>
          <c:tx>
            <c:v>2006</c:v>
          </c:tx>
          <c:spPr>
            <a:ln w="9525">
              <a:solidFill>
                <a:srgbClr val="008000"/>
              </a:solidFill>
            </a:ln>
          </c:spPr>
          <c:marker>
            <c:symbol val="x"/>
            <c:size val="4"/>
            <c:spPr>
              <a:noFill/>
              <a:ln>
                <a:solidFill>
                  <a:srgbClr val="008000"/>
                </a:solidFill>
              </a:ln>
            </c:spPr>
          </c:marker>
          <c:xVal>
            <c:numRef>
              <c:f>Picea_abies_Krutzsch!$BE$36:$BE$51</c:f>
              <c:numCache>
                <c:formatCode>General</c:formatCode>
                <c:ptCount val="16"/>
                <c:pt idx="0">
                  <c:v>130.0</c:v>
                </c:pt>
                <c:pt idx="1">
                  <c:v>132.0</c:v>
                </c:pt>
                <c:pt idx="2">
                  <c:v>135.0</c:v>
                </c:pt>
                <c:pt idx="3">
                  <c:v>139.0</c:v>
                </c:pt>
                <c:pt idx="4">
                  <c:v>142.0</c:v>
                </c:pt>
                <c:pt idx="5">
                  <c:v>144.0</c:v>
                </c:pt>
                <c:pt idx="6">
                  <c:v>149.0</c:v>
                </c:pt>
                <c:pt idx="7">
                  <c:v>153.0</c:v>
                </c:pt>
                <c:pt idx="8">
                  <c:v>156.0</c:v>
                </c:pt>
                <c:pt idx="9">
                  <c:v>160.0</c:v>
                </c:pt>
                <c:pt idx="10">
                  <c:v>163.0</c:v>
                </c:pt>
                <c:pt idx="11">
                  <c:v>166.0</c:v>
                </c:pt>
                <c:pt idx="12">
                  <c:v>170.0</c:v>
                </c:pt>
                <c:pt idx="13">
                  <c:v>173.0</c:v>
                </c:pt>
                <c:pt idx="14">
                  <c:v>177.0</c:v>
                </c:pt>
                <c:pt idx="15">
                  <c:v>184.0</c:v>
                </c:pt>
              </c:numCache>
            </c:numRef>
          </c:xVal>
          <c:yVal>
            <c:numRef>
              <c:f>Picea_abies_Krutzsch!$BF$36:$BF$51</c:f>
              <c:numCache>
                <c:formatCode>0.0</c:formatCode>
                <c:ptCount val="16"/>
                <c:pt idx="0">
                  <c:v>0.0</c:v>
                </c:pt>
                <c:pt idx="1">
                  <c:v>0.4</c:v>
                </c:pt>
                <c:pt idx="2">
                  <c:v>0.52</c:v>
                </c:pt>
                <c:pt idx="3">
                  <c:v>1.2</c:v>
                </c:pt>
                <c:pt idx="4">
                  <c:v>1.36</c:v>
                </c:pt>
                <c:pt idx="5">
                  <c:v>1.36</c:v>
                </c:pt>
                <c:pt idx="6">
                  <c:v>2.0</c:v>
                </c:pt>
                <c:pt idx="7">
                  <c:v>2.416666666666666</c:v>
                </c:pt>
                <c:pt idx="8">
                  <c:v>3.208333333333333</c:v>
                </c:pt>
                <c:pt idx="9">
                  <c:v>3.708333333333333</c:v>
                </c:pt>
                <c:pt idx="10">
                  <c:v>5.333333333333332</c:v>
                </c:pt>
                <c:pt idx="11">
                  <c:v>5.75</c:v>
                </c:pt>
                <c:pt idx="12">
                  <c:v>6.208333333333333</c:v>
                </c:pt>
                <c:pt idx="13">
                  <c:v>6.625</c:v>
                </c:pt>
                <c:pt idx="14">
                  <c:v>7.625</c:v>
                </c:pt>
                <c:pt idx="15">
                  <c:v>8.0</c:v>
                </c:pt>
              </c:numCache>
            </c:numRef>
          </c:yVal>
          <c:smooth val="0"/>
        </c:ser>
        <c:ser>
          <c:idx val="1"/>
          <c:order val="2"/>
          <c:tx>
            <c:v>2007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triangle"/>
            <c:size val="5"/>
            <c:spPr>
              <a:noFill/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Picea_abies_Krutzsch!$BH$36:$BH$65</c:f>
              <c:numCache>
                <c:formatCode>General</c:formatCode>
                <c:ptCount val="30"/>
                <c:pt idx="0">
                  <c:v>117.0</c:v>
                </c:pt>
                <c:pt idx="1">
                  <c:v>120.0</c:v>
                </c:pt>
                <c:pt idx="2">
                  <c:v>124.0</c:v>
                </c:pt>
                <c:pt idx="3">
                  <c:v>128.0</c:v>
                </c:pt>
                <c:pt idx="4">
                  <c:v>131.0</c:v>
                </c:pt>
                <c:pt idx="5">
                  <c:v>135.0</c:v>
                </c:pt>
                <c:pt idx="6">
                  <c:v>138.0</c:v>
                </c:pt>
                <c:pt idx="7">
                  <c:v>141.0</c:v>
                </c:pt>
                <c:pt idx="8">
                  <c:v>145.0</c:v>
                </c:pt>
                <c:pt idx="9">
                  <c:v>148.0</c:v>
                </c:pt>
                <c:pt idx="10">
                  <c:v>152.0</c:v>
                </c:pt>
                <c:pt idx="11">
                  <c:v>155.0</c:v>
                </c:pt>
                <c:pt idx="12">
                  <c:v>159.0</c:v>
                </c:pt>
                <c:pt idx="13">
                  <c:v>163.0</c:v>
                </c:pt>
                <c:pt idx="14">
                  <c:v>166.0</c:v>
                </c:pt>
                <c:pt idx="15">
                  <c:v>169.0</c:v>
                </c:pt>
              </c:numCache>
            </c:numRef>
          </c:xVal>
          <c:yVal>
            <c:numRef>
              <c:f>Picea_abies_Krutzsch!$BI$36:$BI$65</c:f>
              <c:numCache>
                <c:formatCode>0.0</c:formatCode>
                <c:ptCount val="30"/>
                <c:pt idx="0">
                  <c:v>0.0</c:v>
                </c:pt>
                <c:pt idx="1">
                  <c:v>0.6</c:v>
                </c:pt>
                <c:pt idx="2">
                  <c:v>0.64</c:v>
                </c:pt>
                <c:pt idx="3">
                  <c:v>0.96</c:v>
                </c:pt>
                <c:pt idx="4">
                  <c:v>1.16</c:v>
                </c:pt>
                <c:pt idx="5">
                  <c:v>1.16</c:v>
                </c:pt>
                <c:pt idx="6">
                  <c:v>1.84</c:v>
                </c:pt>
                <c:pt idx="7">
                  <c:v>2.32</c:v>
                </c:pt>
                <c:pt idx="8">
                  <c:v>3.24</c:v>
                </c:pt>
                <c:pt idx="9">
                  <c:v>3.32</c:v>
                </c:pt>
                <c:pt idx="10">
                  <c:v>4.08</c:v>
                </c:pt>
                <c:pt idx="11">
                  <c:v>4.8</c:v>
                </c:pt>
                <c:pt idx="12">
                  <c:v>6.0</c:v>
                </c:pt>
                <c:pt idx="13">
                  <c:v>6.8</c:v>
                </c:pt>
                <c:pt idx="14">
                  <c:v>7.8</c:v>
                </c:pt>
                <c:pt idx="15">
                  <c:v>8.0</c:v>
                </c:pt>
              </c:numCache>
            </c:numRef>
          </c:yVal>
          <c:smooth val="0"/>
        </c:ser>
        <c:ser>
          <c:idx val="3"/>
          <c:order val="3"/>
          <c:tx>
            <c:v>2008</c:v>
          </c:tx>
          <c:spPr>
            <a:ln w="9525">
              <a:solidFill>
                <a:srgbClr val="009900"/>
              </a:solidFill>
            </a:ln>
          </c:spPr>
          <c:marker>
            <c:symbol val="circle"/>
            <c:size val="5"/>
            <c:spPr>
              <a:noFill/>
              <a:ln>
                <a:solidFill>
                  <a:srgbClr val="009900"/>
                </a:solidFill>
              </a:ln>
            </c:spPr>
          </c:marker>
          <c:xVal>
            <c:numRef>
              <c:f>Picea_abies_Krutzsch!$BK$36:$BK$53</c:f>
              <c:numCache>
                <c:formatCode>General</c:formatCode>
                <c:ptCount val="18"/>
                <c:pt idx="0">
                  <c:v>119.0</c:v>
                </c:pt>
                <c:pt idx="1">
                  <c:v>123.0</c:v>
                </c:pt>
                <c:pt idx="2">
                  <c:v>130.0</c:v>
                </c:pt>
                <c:pt idx="3">
                  <c:v>134.0</c:v>
                </c:pt>
                <c:pt idx="4">
                  <c:v>137.0</c:v>
                </c:pt>
                <c:pt idx="5">
                  <c:v>141.0</c:v>
                </c:pt>
                <c:pt idx="6">
                  <c:v>144.0</c:v>
                </c:pt>
                <c:pt idx="7">
                  <c:v>148.0</c:v>
                </c:pt>
                <c:pt idx="8">
                  <c:v>151.0</c:v>
                </c:pt>
                <c:pt idx="9">
                  <c:v>154.0</c:v>
                </c:pt>
                <c:pt idx="10">
                  <c:v>157.0</c:v>
                </c:pt>
                <c:pt idx="11">
                  <c:v>161.0</c:v>
                </c:pt>
                <c:pt idx="12">
                  <c:v>165.0</c:v>
                </c:pt>
                <c:pt idx="13">
                  <c:v>169.0</c:v>
                </c:pt>
                <c:pt idx="14">
                  <c:v>177.0</c:v>
                </c:pt>
                <c:pt idx="15">
                  <c:v>183.0</c:v>
                </c:pt>
                <c:pt idx="16">
                  <c:v>190.0</c:v>
                </c:pt>
                <c:pt idx="17">
                  <c:v>196.0</c:v>
                </c:pt>
              </c:numCache>
            </c:numRef>
          </c:xVal>
          <c:yVal>
            <c:numRef>
              <c:f>Picea_abies_Krutzsch!$BL$36:$BL$53</c:f>
              <c:numCache>
                <c:formatCode>0.0</c:formatCode>
                <c:ptCount val="18"/>
                <c:pt idx="0">
                  <c:v>0.0</c:v>
                </c:pt>
                <c:pt idx="1">
                  <c:v>0.0476190476190476</c:v>
                </c:pt>
                <c:pt idx="2">
                  <c:v>0.380952380952381</c:v>
                </c:pt>
                <c:pt idx="3">
                  <c:v>0.714285714285714</c:v>
                </c:pt>
                <c:pt idx="4">
                  <c:v>1.095238095238095</c:v>
                </c:pt>
                <c:pt idx="5">
                  <c:v>1.142857142857143</c:v>
                </c:pt>
                <c:pt idx="6">
                  <c:v>1.857142857142857</c:v>
                </c:pt>
                <c:pt idx="7">
                  <c:v>2.142857142857143</c:v>
                </c:pt>
                <c:pt idx="8">
                  <c:v>2.761904761904762</c:v>
                </c:pt>
                <c:pt idx="9">
                  <c:v>3.666666666666666</c:v>
                </c:pt>
                <c:pt idx="10">
                  <c:v>4.888888888888889</c:v>
                </c:pt>
                <c:pt idx="11">
                  <c:v>5.944444444444444</c:v>
                </c:pt>
                <c:pt idx="12">
                  <c:v>6.222222222222222</c:v>
                </c:pt>
                <c:pt idx="13">
                  <c:v>6.222222222222222</c:v>
                </c:pt>
                <c:pt idx="14">
                  <c:v>7.0</c:v>
                </c:pt>
                <c:pt idx="15">
                  <c:v>7.277777777777778</c:v>
                </c:pt>
                <c:pt idx="16">
                  <c:v>7.611111111111111</c:v>
                </c:pt>
                <c:pt idx="17">
                  <c:v>8.0</c:v>
                </c:pt>
              </c:numCache>
            </c:numRef>
          </c:yVal>
          <c:smooth val="0"/>
        </c:ser>
        <c:ser>
          <c:idx val="4"/>
          <c:order val="4"/>
          <c:tx>
            <c:v>2009</c:v>
          </c:tx>
          <c:spPr>
            <a:ln w="9525">
              <a:solidFill>
                <a:srgbClr val="008000"/>
              </a:solidFill>
            </a:ln>
          </c:spPr>
          <c:marker>
            <c:symbol val="square"/>
            <c:size val="4"/>
            <c:spPr>
              <a:noFill/>
              <a:ln>
                <a:solidFill>
                  <a:srgbClr val="008000"/>
                </a:solidFill>
              </a:ln>
            </c:spPr>
          </c:marker>
          <c:xVal>
            <c:numRef>
              <c:f>Picea_abies_Krutzsch!$BN$36:$BN$53</c:f>
              <c:numCache>
                <c:formatCode>General</c:formatCode>
                <c:ptCount val="18"/>
                <c:pt idx="0">
                  <c:v>124.0</c:v>
                </c:pt>
                <c:pt idx="1">
                  <c:v>128.0</c:v>
                </c:pt>
                <c:pt idx="2">
                  <c:v>132.0</c:v>
                </c:pt>
                <c:pt idx="3">
                  <c:v>135.0</c:v>
                </c:pt>
                <c:pt idx="4">
                  <c:v>139.0</c:v>
                </c:pt>
                <c:pt idx="5">
                  <c:v>142.0</c:v>
                </c:pt>
                <c:pt idx="6">
                  <c:v>145.0</c:v>
                </c:pt>
                <c:pt idx="7">
                  <c:v>149.0</c:v>
                </c:pt>
                <c:pt idx="8">
                  <c:v>152.0</c:v>
                </c:pt>
                <c:pt idx="9">
                  <c:v>160.0</c:v>
                </c:pt>
                <c:pt idx="10">
                  <c:v>169.0</c:v>
                </c:pt>
                <c:pt idx="11">
                  <c:v>176.0</c:v>
                </c:pt>
                <c:pt idx="12">
                  <c:v>183.0</c:v>
                </c:pt>
              </c:numCache>
            </c:numRef>
          </c:xVal>
          <c:yVal>
            <c:numRef>
              <c:f>Picea_abies_Krutzsch!$BO$36:$BO$53</c:f>
              <c:numCache>
                <c:formatCode>0.0</c:formatCode>
                <c:ptCount val="18"/>
                <c:pt idx="0">
                  <c:v>0.272727272727273</c:v>
                </c:pt>
                <c:pt idx="1">
                  <c:v>0.424242424242424</c:v>
                </c:pt>
                <c:pt idx="2">
                  <c:v>0.575757575757576</c:v>
                </c:pt>
                <c:pt idx="3">
                  <c:v>0.757575757575757</c:v>
                </c:pt>
                <c:pt idx="4">
                  <c:v>1.121212121212121</c:v>
                </c:pt>
                <c:pt idx="5">
                  <c:v>1.545454545454545</c:v>
                </c:pt>
                <c:pt idx="6">
                  <c:v>1.909090909090909</c:v>
                </c:pt>
                <c:pt idx="7">
                  <c:v>2.393939393939394</c:v>
                </c:pt>
                <c:pt idx="8">
                  <c:v>3.666666666666666</c:v>
                </c:pt>
                <c:pt idx="9">
                  <c:v>4.515151515151516</c:v>
                </c:pt>
                <c:pt idx="10">
                  <c:v>5.181818181818181</c:v>
                </c:pt>
                <c:pt idx="11">
                  <c:v>5.818181818181818</c:v>
                </c:pt>
                <c:pt idx="12">
                  <c:v>5.818181818181818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1620520"/>
        <c:axId val="-2131614920"/>
      </c:scatterChart>
      <c:valAx>
        <c:axId val="-2131620520"/>
        <c:scaling>
          <c:orientation val="minMax"/>
          <c:min val="106.0"/>
        </c:scaling>
        <c:delete val="0"/>
        <c:axPos val="b"/>
        <c:numFmt formatCode="d\/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31614920"/>
        <c:crosses val="autoZero"/>
        <c:crossBetween val="midCat"/>
        <c:majorUnit val="7.0"/>
      </c:valAx>
      <c:valAx>
        <c:axId val="-21316149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Knopp/skottutveckling enl. Krutzsch</a:t>
                </a:r>
              </a:p>
            </c:rich>
          </c:tx>
          <c:layout>
            <c:manualLayout>
              <c:xMode val="edge"/>
              <c:yMode val="edge"/>
              <c:x val="0.0207040552050199"/>
              <c:y val="0.0730600150246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31620520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2783140034737"/>
          <c:y val="0.441698589885884"/>
          <c:w val="0.120861171416575"/>
          <c:h val="0.39929552525683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3430962343096"/>
          <c:y val="0.0533980582524272"/>
          <c:w val="0.838912133891209"/>
          <c:h val="0.800970873786408"/>
        </c:manualLayout>
      </c:layout>
      <c:scatterChart>
        <c:scatterStyle val="lineMarker"/>
        <c:varyColors val="0"/>
        <c:ser>
          <c:idx val="2"/>
          <c:order val="0"/>
          <c:tx>
            <c:v>Årets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Picea_abies_Krutzsch!$AU$6:$AU$35</c:f>
              <c:numCache>
                <c:formatCode>0</c:formatCode>
                <c:ptCount val="30"/>
                <c:pt idx="0">
                  <c:v>124.0</c:v>
                </c:pt>
                <c:pt idx="1">
                  <c:v>132.0</c:v>
                </c:pt>
                <c:pt idx="2">
                  <c:v>139.0</c:v>
                </c:pt>
                <c:pt idx="3">
                  <c:v>146.0</c:v>
                </c:pt>
                <c:pt idx="4">
                  <c:v>153.0</c:v>
                </c:pt>
                <c:pt idx="5">
                  <c:v>160.0</c:v>
                </c:pt>
                <c:pt idx="6">
                  <c:v>166.0</c:v>
                </c:pt>
                <c:pt idx="7">
                  <c:v>171.0</c:v>
                </c:pt>
                <c:pt idx="8">
                  <c:v>180.0</c:v>
                </c:pt>
                <c:pt idx="9">
                  <c:v>180.0</c:v>
                </c:pt>
                <c:pt idx="10">
                  <c:v>180.0</c:v>
                </c:pt>
                <c:pt idx="11">
                  <c:v>180.0</c:v>
                </c:pt>
                <c:pt idx="12">
                  <c:v>180.0</c:v>
                </c:pt>
                <c:pt idx="13">
                  <c:v>180.0</c:v>
                </c:pt>
                <c:pt idx="14">
                  <c:v>180.0</c:v>
                </c:pt>
                <c:pt idx="15">
                  <c:v>180.0</c:v>
                </c:pt>
                <c:pt idx="16">
                  <c:v>180.0</c:v>
                </c:pt>
                <c:pt idx="17">
                  <c:v>180.0</c:v>
                </c:pt>
                <c:pt idx="18">
                  <c:v>180.0</c:v>
                </c:pt>
                <c:pt idx="19">
                  <c:v>180.0</c:v>
                </c:pt>
                <c:pt idx="20">
                  <c:v>180.0</c:v>
                </c:pt>
                <c:pt idx="21">
                  <c:v>180.0</c:v>
                </c:pt>
                <c:pt idx="22">
                  <c:v>180.0</c:v>
                </c:pt>
                <c:pt idx="23">
                  <c:v>180.0</c:v>
                </c:pt>
                <c:pt idx="24">
                  <c:v>180.0</c:v>
                </c:pt>
                <c:pt idx="25">
                  <c:v>180.0</c:v>
                </c:pt>
                <c:pt idx="26">
                  <c:v>180.0</c:v>
                </c:pt>
                <c:pt idx="27">
                  <c:v>180.0</c:v>
                </c:pt>
                <c:pt idx="28">
                  <c:v>180.0</c:v>
                </c:pt>
              </c:numCache>
            </c:numRef>
          </c:xVal>
          <c:yVal>
            <c:numRef>
              <c:f>Picea_abies_Krutzsch!$AT$6:$AT$35</c:f>
              <c:numCache>
                <c:formatCode>General</c:formatCode>
                <c:ptCount val="30"/>
                <c:pt idx="0">
                  <c:v>0.0</c:v>
                </c:pt>
                <c:pt idx="1">
                  <c:v>0.6</c:v>
                </c:pt>
                <c:pt idx="2">
                  <c:v>0.76</c:v>
                </c:pt>
                <c:pt idx="3">
                  <c:v>1.8</c:v>
                </c:pt>
                <c:pt idx="4">
                  <c:v>3.2</c:v>
                </c:pt>
                <c:pt idx="5">
                  <c:v>4.8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8.0</c:v>
                </c:pt>
                <c:pt idx="10">
                  <c:v>8.0</c:v>
                </c:pt>
                <c:pt idx="11">
                  <c:v>8.0</c:v>
                </c:pt>
                <c:pt idx="12">
                  <c:v>8.0</c:v>
                </c:pt>
                <c:pt idx="13">
                  <c:v>8.0</c:v>
                </c:pt>
                <c:pt idx="14">
                  <c:v>8.0</c:v>
                </c:pt>
                <c:pt idx="15">
                  <c:v>8.0</c:v>
                </c:pt>
                <c:pt idx="16">
                  <c:v>8.0</c:v>
                </c:pt>
                <c:pt idx="17">
                  <c:v>8.0</c:v>
                </c:pt>
                <c:pt idx="18">
                  <c:v>8.0</c:v>
                </c:pt>
                <c:pt idx="19">
                  <c:v>8.0</c:v>
                </c:pt>
                <c:pt idx="20">
                  <c:v>8.0</c:v>
                </c:pt>
                <c:pt idx="21">
                  <c:v>8.0</c:v>
                </c:pt>
                <c:pt idx="22">
                  <c:v>8.0</c:v>
                </c:pt>
                <c:pt idx="23">
                  <c:v>8.0</c:v>
                </c:pt>
                <c:pt idx="24">
                  <c:v>8.0</c:v>
                </c:pt>
                <c:pt idx="25">
                  <c:v>8.0</c:v>
                </c:pt>
                <c:pt idx="26">
                  <c:v>8.0</c:v>
                </c:pt>
                <c:pt idx="27">
                  <c:v>8.0</c:v>
                </c:pt>
                <c:pt idx="28">
                  <c:v>8.0</c:v>
                </c:pt>
              </c:numCache>
            </c:numRef>
          </c:yVal>
          <c:smooth val="0"/>
        </c:ser>
        <c:ser>
          <c:idx val="0"/>
          <c:order val="1"/>
          <c:tx>
            <c:v>2006</c:v>
          </c:tx>
          <c:spPr>
            <a:ln w="9525">
              <a:solidFill>
                <a:srgbClr val="FF0000"/>
              </a:solidFill>
            </a:ln>
          </c:spPr>
          <c:marker>
            <c:symbol val="x"/>
            <c:size val="4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Picea_abies_Krutzsch!$BE$6:$BE$27</c:f>
              <c:numCache>
                <c:formatCode>General</c:formatCode>
                <c:ptCount val="22"/>
                <c:pt idx="0">
                  <c:v>128.0</c:v>
                </c:pt>
                <c:pt idx="1">
                  <c:v>132.0</c:v>
                </c:pt>
                <c:pt idx="2">
                  <c:v>136.0</c:v>
                </c:pt>
                <c:pt idx="3">
                  <c:v>138.0</c:v>
                </c:pt>
                <c:pt idx="4">
                  <c:v>139.0</c:v>
                </c:pt>
                <c:pt idx="5">
                  <c:v>142.0</c:v>
                </c:pt>
                <c:pt idx="6">
                  <c:v>144.0</c:v>
                </c:pt>
                <c:pt idx="7">
                  <c:v>146.0</c:v>
                </c:pt>
                <c:pt idx="8">
                  <c:v>149.0</c:v>
                </c:pt>
                <c:pt idx="9">
                  <c:v>151.0</c:v>
                </c:pt>
                <c:pt idx="10">
                  <c:v>153.0</c:v>
                </c:pt>
                <c:pt idx="11">
                  <c:v>156.0</c:v>
                </c:pt>
                <c:pt idx="12">
                  <c:v>158.0</c:v>
                </c:pt>
                <c:pt idx="13">
                  <c:v>160.0</c:v>
                </c:pt>
                <c:pt idx="14">
                  <c:v>163.0</c:v>
                </c:pt>
                <c:pt idx="15">
                  <c:v>166.0</c:v>
                </c:pt>
                <c:pt idx="16">
                  <c:v>170.0</c:v>
                </c:pt>
                <c:pt idx="17">
                  <c:v>172.0</c:v>
                </c:pt>
                <c:pt idx="18">
                  <c:v>177.0</c:v>
                </c:pt>
                <c:pt idx="19">
                  <c:v>179.0</c:v>
                </c:pt>
                <c:pt idx="20">
                  <c:v>187.0</c:v>
                </c:pt>
                <c:pt idx="21">
                  <c:v>195.0</c:v>
                </c:pt>
              </c:numCache>
            </c:numRef>
          </c:xVal>
          <c:yVal>
            <c:numRef>
              <c:f>Picea_abies_Krutzsch!$BF$6:$BF$27</c:f>
              <c:numCache>
                <c:formatCode>0.0</c:formatCode>
                <c:ptCount val="22"/>
                <c:pt idx="0">
                  <c:v>0.0</c:v>
                </c:pt>
                <c:pt idx="1">
                  <c:v>0.0</c:v>
                </c:pt>
                <c:pt idx="2">
                  <c:v>0.4</c:v>
                </c:pt>
                <c:pt idx="3">
                  <c:v>0.68</c:v>
                </c:pt>
                <c:pt idx="4">
                  <c:v>0.8</c:v>
                </c:pt>
                <c:pt idx="5">
                  <c:v>1.04</c:v>
                </c:pt>
                <c:pt idx="6">
                  <c:v>1.24</c:v>
                </c:pt>
                <c:pt idx="7">
                  <c:v>1.24</c:v>
                </c:pt>
                <c:pt idx="8">
                  <c:v>1.44</c:v>
                </c:pt>
                <c:pt idx="9">
                  <c:v>2.08</c:v>
                </c:pt>
                <c:pt idx="10">
                  <c:v>2.44</c:v>
                </c:pt>
                <c:pt idx="11">
                  <c:v>3.2</c:v>
                </c:pt>
                <c:pt idx="12">
                  <c:v>3.52</c:v>
                </c:pt>
                <c:pt idx="13">
                  <c:v>3.84</c:v>
                </c:pt>
                <c:pt idx="14">
                  <c:v>4.96</c:v>
                </c:pt>
                <c:pt idx="15">
                  <c:v>5.36</c:v>
                </c:pt>
                <c:pt idx="16">
                  <c:v>6.0</c:v>
                </c:pt>
                <c:pt idx="17">
                  <c:v>6.4</c:v>
                </c:pt>
                <c:pt idx="18">
                  <c:v>6.4</c:v>
                </c:pt>
                <c:pt idx="19">
                  <c:v>6.4</c:v>
                </c:pt>
                <c:pt idx="20">
                  <c:v>7.2</c:v>
                </c:pt>
                <c:pt idx="21">
                  <c:v>8.0</c:v>
                </c:pt>
              </c:numCache>
            </c:numRef>
          </c:yVal>
          <c:smooth val="0"/>
        </c:ser>
        <c:ser>
          <c:idx val="1"/>
          <c:order val="2"/>
          <c:tx>
            <c:v>2007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Picea_abies_Krutzsch!$BH$6:$BH$35</c:f>
              <c:numCache>
                <c:formatCode>General</c:formatCode>
                <c:ptCount val="30"/>
                <c:pt idx="0">
                  <c:v>115.0</c:v>
                </c:pt>
                <c:pt idx="1">
                  <c:v>117.0</c:v>
                </c:pt>
                <c:pt idx="2">
                  <c:v>122.0</c:v>
                </c:pt>
                <c:pt idx="3">
                  <c:v>124.0</c:v>
                </c:pt>
                <c:pt idx="4">
                  <c:v>128.0</c:v>
                </c:pt>
                <c:pt idx="5">
                  <c:v>131.0</c:v>
                </c:pt>
                <c:pt idx="6">
                  <c:v>135.0</c:v>
                </c:pt>
                <c:pt idx="7">
                  <c:v>138.0</c:v>
                </c:pt>
                <c:pt idx="8">
                  <c:v>142.0</c:v>
                </c:pt>
                <c:pt idx="9">
                  <c:v>145.0</c:v>
                </c:pt>
                <c:pt idx="10">
                  <c:v>151.0</c:v>
                </c:pt>
                <c:pt idx="11">
                  <c:v>152.0</c:v>
                </c:pt>
                <c:pt idx="12">
                  <c:v>156.0</c:v>
                </c:pt>
                <c:pt idx="13">
                  <c:v>158.0</c:v>
                </c:pt>
                <c:pt idx="14">
                  <c:v>166.0</c:v>
                </c:pt>
                <c:pt idx="15">
                  <c:v>171.0</c:v>
                </c:pt>
                <c:pt idx="16">
                  <c:v>180.0</c:v>
                </c:pt>
                <c:pt idx="17">
                  <c:v>187.0</c:v>
                </c:pt>
                <c:pt idx="18">
                  <c:v>194.0</c:v>
                </c:pt>
              </c:numCache>
            </c:numRef>
          </c:xVal>
          <c:yVal>
            <c:numRef>
              <c:f>Picea_abies_Krutzsch!$BI$6:$BI$35</c:f>
              <c:numCache>
                <c:formatCode>0.0</c:formatCode>
                <c:ptCount val="30"/>
                <c:pt idx="0">
                  <c:v>0.0</c:v>
                </c:pt>
                <c:pt idx="1">
                  <c:v>0.2</c:v>
                </c:pt>
                <c:pt idx="2">
                  <c:v>0.76</c:v>
                </c:pt>
                <c:pt idx="3">
                  <c:v>1.0</c:v>
                </c:pt>
                <c:pt idx="4">
                  <c:v>1.56</c:v>
                </c:pt>
                <c:pt idx="5">
                  <c:v>1.68</c:v>
                </c:pt>
                <c:pt idx="6">
                  <c:v>2.12</c:v>
                </c:pt>
                <c:pt idx="7">
                  <c:v>2.72</c:v>
                </c:pt>
                <c:pt idx="8">
                  <c:v>3.12</c:v>
                </c:pt>
                <c:pt idx="9">
                  <c:v>3.88</c:v>
                </c:pt>
                <c:pt idx="10">
                  <c:v>4.52</c:v>
                </c:pt>
                <c:pt idx="11">
                  <c:v>5.0</c:v>
                </c:pt>
                <c:pt idx="12">
                  <c:v>5.64</c:v>
                </c:pt>
                <c:pt idx="13">
                  <c:v>6.48</c:v>
                </c:pt>
                <c:pt idx="14">
                  <c:v>6.72</c:v>
                </c:pt>
                <c:pt idx="15">
                  <c:v>6.96</c:v>
                </c:pt>
                <c:pt idx="16">
                  <c:v>7.84</c:v>
                </c:pt>
                <c:pt idx="17">
                  <c:v>7.92</c:v>
                </c:pt>
                <c:pt idx="18">
                  <c:v>7.92</c:v>
                </c:pt>
              </c:numCache>
            </c:numRef>
          </c:yVal>
          <c:smooth val="0"/>
        </c:ser>
        <c:ser>
          <c:idx val="3"/>
          <c:order val="3"/>
          <c:tx>
            <c:v>2008</c:v>
          </c:tx>
          <c:spPr>
            <a:ln w="9525">
              <a:solidFill>
                <a:srgbClr val="FF0000"/>
              </a:solidFill>
            </a:ln>
          </c:spPr>
          <c:marker>
            <c:symbol val="circle"/>
            <c:size val="5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Picea_abies_Krutzsch!$BK$6:$BK$20</c:f>
              <c:numCache>
                <c:formatCode>General</c:formatCode>
                <c:ptCount val="15"/>
                <c:pt idx="0">
                  <c:v>116.0</c:v>
                </c:pt>
                <c:pt idx="1">
                  <c:v>123.0</c:v>
                </c:pt>
                <c:pt idx="2">
                  <c:v>130.0</c:v>
                </c:pt>
                <c:pt idx="3">
                  <c:v>137.0</c:v>
                </c:pt>
                <c:pt idx="4">
                  <c:v>144.0</c:v>
                </c:pt>
                <c:pt idx="5">
                  <c:v>151.0</c:v>
                </c:pt>
                <c:pt idx="6">
                  <c:v>157.0</c:v>
                </c:pt>
                <c:pt idx="7">
                  <c:v>165.0</c:v>
                </c:pt>
                <c:pt idx="8">
                  <c:v>171.0</c:v>
                </c:pt>
                <c:pt idx="9">
                  <c:v>179.0</c:v>
                </c:pt>
                <c:pt idx="10">
                  <c:v>189.0</c:v>
                </c:pt>
                <c:pt idx="11">
                  <c:v>193.0</c:v>
                </c:pt>
                <c:pt idx="12">
                  <c:v>200.0</c:v>
                </c:pt>
                <c:pt idx="13">
                  <c:v>207.0</c:v>
                </c:pt>
                <c:pt idx="14">
                  <c:v>214.0</c:v>
                </c:pt>
              </c:numCache>
            </c:numRef>
          </c:xVal>
          <c:yVal>
            <c:numRef>
              <c:f>Picea_abies_Krutzsch!$BL$6:$BL$20</c:f>
              <c:numCache>
                <c:formatCode>0.0</c:formatCode>
                <c:ptCount val="15"/>
                <c:pt idx="0">
                  <c:v>0.36</c:v>
                </c:pt>
                <c:pt idx="1">
                  <c:v>0.36</c:v>
                </c:pt>
                <c:pt idx="2">
                  <c:v>0.68</c:v>
                </c:pt>
                <c:pt idx="3">
                  <c:v>2.0</c:v>
                </c:pt>
                <c:pt idx="4">
                  <c:v>2.96</c:v>
                </c:pt>
                <c:pt idx="5">
                  <c:v>3.8</c:v>
                </c:pt>
                <c:pt idx="6">
                  <c:v>4.6</c:v>
                </c:pt>
                <c:pt idx="7">
                  <c:v>5.04</c:v>
                </c:pt>
                <c:pt idx="8">
                  <c:v>5.541666666666666</c:v>
                </c:pt>
                <c:pt idx="9">
                  <c:v>6.458333333333333</c:v>
                </c:pt>
                <c:pt idx="10">
                  <c:v>7.0</c:v>
                </c:pt>
                <c:pt idx="11">
                  <c:v>7.416666666666666</c:v>
                </c:pt>
                <c:pt idx="12">
                  <c:v>7.833333333333332</c:v>
                </c:pt>
                <c:pt idx="13">
                  <c:v>8.0</c:v>
                </c:pt>
                <c:pt idx="14">
                  <c:v>8.0</c:v>
                </c:pt>
              </c:numCache>
            </c:numRef>
          </c:yVal>
          <c:smooth val="0"/>
        </c:ser>
        <c:ser>
          <c:idx val="4"/>
          <c:order val="4"/>
          <c:tx>
            <c:v>2009</c:v>
          </c:tx>
          <c:spPr>
            <a:ln w="9525">
              <a:solidFill>
                <a:srgbClr val="FF0000"/>
              </a:solidFill>
            </a:ln>
          </c:spPr>
          <c:marker>
            <c:symbol val="square"/>
            <c:size val="4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Picea_abies_Krutzsch!$BN$6:$BN$20</c:f>
              <c:numCache>
                <c:formatCode>General</c:formatCode>
                <c:ptCount val="15"/>
                <c:pt idx="0">
                  <c:v>107.0</c:v>
                </c:pt>
                <c:pt idx="1">
                  <c:v>114.0</c:v>
                </c:pt>
                <c:pt idx="2">
                  <c:v>120.0</c:v>
                </c:pt>
                <c:pt idx="3">
                  <c:v>128.0</c:v>
                </c:pt>
                <c:pt idx="4">
                  <c:v>135.0</c:v>
                </c:pt>
                <c:pt idx="5">
                  <c:v>140.0</c:v>
                </c:pt>
                <c:pt idx="6">
                  <c:v>149.0</c:v>
                </c:pt>
                <c:pt idx="7">
                  <c:v>155.0</c:v>
                </c:pt>
                <c:pt idx="8">
                  <c:v>163.0</c:v>
                </c:pt>
                <c:pt idx="9">
                  <c:v>169.0</c:v>
                </c:pt>
                <c:pt idx="10">
                  <c:v>176.0</c:v>
                </c:pt>
                <c:pt idx="11">
                  <c:v>182.0</c:v>
                </c:pt>
                <c:pt idx="12">
                  <c:v>191.0</c:v>
                </c:pt>
                <c:pt idx="13">
                  <c:v>198.0</c:v>
                </c:pt>
              </c:numCache>
            </c:numRef>
          </c:xVal>
          <c:yVal>
            <c:numRef>
              <c:f>Picea_abies_Krutzsch!$BO$6:$BO$20</c:f>
              <c:numCache>
                <c:formatCode>0.0</c:formatCode>
                <c:ptCount val="15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0.2</c:v>
                </c:pt>
                <c:pt idx="4">
                  <c:v>0.8</c:v>
                </c:pt>
                <c:pt idx="5">
                  <c:v>1.4</c:v>
                </c:pt>
                <c:pt idx="6">
                  <c:v>2.16</c:v>
                </c:pt>
                <c:pt idx="7">
                  <c:v>2.8</c:v>
                </c:pt>
                <c:pt idx="8">
                  <c:v>5.24</c:v>
                </c:pt>
                <c:pt idx="9">
                  <c:v>5.64</c:v>
                </c:pt>
                <c:pt idx="10">
                  <c:v>6.92</c:v>
                </c:pt>
                <c:pt idx="11">
                  <c:v>7.52</c:v>
                </c:pt>
                <c:pt idx="12">
                  <c:v>7.92</c:v>
                </c:pt>
                <c:pt idx="13">
                  <c:v>8.0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1599256"/>
        <c:axId val="-2131593720"/>
      </c:scatterChart>
      <c:valAx>
        <c:axId val="-2131599256"/>
        <c:scaling>
          <c:orientation val="minMax"/>
          <c:min val="106.0"/>
        </c:scaling>
        <c:delete val="0"/>
        <c:axPos val="b"/>
        <c:numFmt formatCode="d\/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31593720"/>
        <c:crosses val="autoZero"/>
        <c:crossBetween val="midCat"/>
        <c:majorUnit val="7.0"/>
      </c:valAx>
      <c:valAx>
        <c:axId val="-21315937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Knopp/skottutveckling enl. Krutzsch</a:t>
                </a:r>
              </a:p>
            </c:rich>
          </c:tx>
          <c:layout>
            <c:manualLayout>
              <c:xMode val="edge"/>
              <c:yMode val="edge"/>
              <c:x val="0.0209203469131576"/>
              <c:y val="0.2695715001916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31599256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776139395685"/>
          <c:y val="0.404496416281061"/>
          <c:w val="0.122073902543133"/>
          <c:h val="0.42322310221999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3711340206192"/>
          <c:y val="0.0528846153846154"/>
          <c:w val="0.839175257731959"/>
          <c:h val="0.802884615384616"/>
        </c:manualLayout>
      </c:layout>
      <c:scatterChart>
        <c:scatterStyle val="lineMarker"/>
        <c:varyColors val="0"/>
        <c:ser>
          <c:idx val="2"/>
          <c:order val="0"/>
          <c:tx>
            <c:v>Årets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Picea_abies_Krutzsch!$AU$66:$AU$95</c:f>
              <c:numCache>
                <c:formatCode>0</c:formatCode>
                <c:ptCount val="30"/>
                <c:pt idx="0">
                  <c:v>114.0</c:v>
                </c:pt>
                <c:pt idx="1">
                  <c:v>118.0</c:v>
                </c:pt>
                <c:pt idx="2">
                  <c:v>123.0</c:v>
                </c:pt>
                <c:pt idx="3">
                  <c:v>128.0</c:v>
                </c:pt>
                <c:pt idx="4">
                  <c:v>131.0</c:v>
                </c:pt>
                <c:pt idx="5">
                  <c:v>136.0</c:v>
                </c:pt>
                <c:pt idx="6">
                  <c:v>145.0</c:v>
                </c:pt>
                <c:pt idx="7">
                  <c:v>151.0</c:v>
                </c:pt>
                <c:pt idx="8">
                  <c:v>165.0</c:v>
                </c:pt>
                <c:pt idx="9">
                  <c:v>184.0</c:v>
                </c:pt>
                <c:pt idx="10">
                  <c:v>184.0</c:v>
                </c:pt>
                <c:pt idx="11">
                  <c:v>184.0</c:v>
                </c:pt>
                <c:pt idx="12">
                  <c:v>184.0</c:v>
                </c:pt>
                <c:pt idx="13">
                  <c:v>184.0</c:v>
                </c:pt>
                <c:pt idx="14">
                  <c:v>184.0</c:v>
                </c:pt>
                <c:pt idx="15">
                  <c:v>184.0</c:v>
                </c:pt>
                <c:pt idx="16">
                  <c:v>184.0</c:v>
                </c:pt>
                <c:pt idx="17">
                  <c:v>184.0</c:v>
                </c:pt>
                <c:pt idx="18">
                  <c:v>184.0</c:v>
                </c:pt>
                <c:pt idx="19">
                  <c:v>184.0</c:v>
                </c:pt>
                <c:pt idx="20">
                  <c:v>184.0</c:v>
                </c:pt>
                <c:pt idx="21">
                  <c:v>184.0</c:v>
                </c:pt>
                <c:pt idx="22">
                  <c:v>184.0</c:v>
                </c:pt>
                <c:pt idx="23">
                  <c:v>184.0</c:v>
                </c:pt>
                <c:pt idx="24">
                  <c:v>184.0</c:v>
                </c:pt>
                <c:pt idx="25">
                  <c:v>184.0</c:v>
                </c:pt>
                <c:pt idx="26">
                  <c:v>184.0</c:v>
                </c:pt>
                <c:pt idx="27">
                  <c:v>184.0</c:v>
                </c:pt>
                <c:pt idx="28">
                  <c:v>184.0</c:v>
                </c:pt>
              </c:numCache>
            </c:numRef>
          </c:xVal>
          <c:yVal>
            <c:numRef>
              <c:f>Picea_abies_Krutzsch!$AT$66:$AT$95</c:f>
              <c:numCache>
                <c:formatCode>General</c:formatCode>
                <c:ptCount val="30"/>
                <c:pt idx="0">
                  <c:v>0.2</c:v>
                </c:pt>
                <c:pt idx="1">
                  <c:v>0.2</c:v>
                </c:pt>
                <c:pt idx="2">
                  <c:v>0.6</c:v>
                </c:pt>
                <c:pt idx="3">
                  <c:v>1.2</c:v>
                </c:pt>
                <c:pt idx="4">
                  <c:v>1.8</c:v>
                </c:pt>
                <c:pt idx="5">
                  <c:v>2.4</c:v>
                </c:pt>
                <c:pt idx="6">
                  <c:v>3.6</c:v>
                </c:pt>
                <c:pt idx="7">
                  <c:v>5.0</c:v>
                </c:pt>
                <c:pt idx="8">
                  <c:v>6.8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7.6</c:v>
                </c:pt>
                <c:pt idx="13">
                  <c:v>7.6</c:v>
                </c:pt>
                <c:pt idx="14">
                  <c:v>7.6</c:v>
                </c:pt>
                <c:pt idx="15">
                  <c:v>7.6</c:v>
                </c:pt>
                <c:pt idx="16">
                  <c:v>7.6</c:v>
                </c:pt>
                <c:pt idx="17">
                  <c:v>7.6</c:v>
                </c:pt>
                <c:pt idx="18">
                  <c:v>7.6</c:v>
                </c:pt>
                <c:pt idx="19">
                  <c:v>7.6</c:v>
                </c:pt>
                <c:pt idx="20">
                  <c:v>7.6</c:v>
                </c:pt>
                <c:pt idx="21">
                  <c:v>7.6</c:v>
                </c:pt>
                <c:pt idx="22">
                  <c:v>7.6</c:v>
                </c:pt>
                <c:pt idx="23">
                  <c:v>7.6</c:v>
                </c:pt>
                <c:pt idx="24">
                  <c:v>7.6</c:v>
                </c:pt>
                <c:pt idx="25">
                  <c:v>7.6</c:v>
                </c:pt>
                <c:pt idx="26">
                  <c:v>7.6</c:v>
                </c:pt>
                <c:pt idx="27">
                  <c:v>7.6</c:v>
                </c:pt>
                <c:pt idx="28">
                  <c:v>7.6</c:v>
                </c:pt>
              </c:numCache>
            </c:numRef>
          </c:yVal>
          <c:smooth val="0"/>
        </c:ser>
        <c:ser>
          <c:idx val="0"/>
          <c:order val="1"/>
          <c:tx>
            <c:v>2006</c:v>
          </c:tx>
          <c:spPr>
            <a:ln w="9525">
              <a:solidFill>
                <a:srgbClr val="FF6600"/>
              </a:solidFill>
            </a:ln>
          </c:spPr>
          <c:marker>
            <c:symbol val="x"/>
            <c:size val="7"/>
            <c:spPr>
              <a:noFill/>
              <a:ln>
                <a:solidFill>
                  <a:srgbClr val="FF6600"/>
                </a:solidFill>
              </a:ln>
            </c:spPr>
          </c:marker>
          <c:xVal>
            <c:numRef>
              <c:f>Picea_abies_Krutzsch!$BE$66:$BE$75</c:f>
              <c:numCache>
                <c:formatCode>General</c:formatCode>
                <c:ptCount val="10"/>
                <c:pt idx="0">
                  <c:v>125.0</c:v>
                </c:pt>
                <c:pt idx="1">
                  <c:v>127.0</c:v>
                </c:pt>
                <c:pt idx="2">
                  <c:v>129.0</c:v>
                </c:pt>
                <c:pt idx="3">
                  <c:v>131.0</c:v>
                </c:pt>
                <c:pt idx="4">
                  <c:v>136.0</c:v>
                </c:pt>
                <c:pt idx="5">
                  <c:v>142.0</c:v>
                </c:pt>
                <c:pt idx="6">
                  <c:v>151.0</c:v>
                </c:pt>
                <c:pt idx="7">
                  <c:v>159.0</c:v>
                </c:pt>
                <c:pt idx="8">
                  <c:v>170.0</c:v>
                </c:pt>
                <c:pt idx="9">
                  <c:v>180.0</c:v>
                </c:pt>
              </c:numCache>
            </c:numRef>
          </c:xVal>
          <c:yVal>
            <c:numRef>
              <c:f>Picea_abies_Krutzsch!$BF$66:$BF$75</c:f>
              <c:numCache>
                <c:formatCode>0.0</c:formatCode>
                <c:ptCount val="10"/>
                <c:pt idx="0">
                  <c:v>0.6</c:v>
                </c:pt>
                <c:pt idx="1">
                  <c:v>0.6</c:v>
                </c:pt>
                <c:pt idx="2">
                  <c:v>0.68</c:v>
                </c:pt>
                <c:pt idx="3">
                  <c:v>0.96</c:v>
                </c:pt>
                <c:pt idx="4">
                  <c:v>1.2</c:v>
                </c:pt>
                <c:pt idx="5">
                  <c:v>1.2</c:v>
                </c:pt>
                <c:pt idx="6">
                  <c:v>1.8</c:v>
                </c:pt>
                <c:pt idx="7">
                  <c:v>4.2</c:v>
                </c:pt>
                <c:pt idx="8">
                  <c:v>5.8</c:v>
                </c:pt>
                <c:pt idx="9">
                  <c:v>7.0</c:v>
                </c:pt>
              </c:numCache>
            </c:numRef>
          </c:yVal>
          <c:smooth val="0"/>
        </c:ser>
        <c:ser>
          <c:idx val="1"/>
          <c:order val="2"/>
          <c:tx>
            <c:v>2007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4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Picea_abies_Krutzsch!$BH$66:$BH$95</c:f>
              <c:numCache>
                <c:formatCode>General</c:formatCode>
                <c:ptCount val="30"/>
                <c:pt idx="0">
                  <c:v>114.0</c:v>
                </c:pt>
                <c:pt idx="1">
                  <c:v>116.0</c:v>
                </c:pt>
                <c:pt idx="2">
                  <c:v>119.0</c:v>
                </c:pt>
                <c:pt idx="3">
                  <c:v>123.0</c:v>
                </c:pt>
                <c:pt idx="4">
                  <c:v>126.0</c:v>
                </c:pt>
                <c:pt idx="5">
                  <c:v>129.0</c:v>
                </c:pt>
                <c:pt idx="6">
                  <c:v>134.0</c:v>
                </c:pt>
                <c:pt idx="7">
                  <c:v>138.0</c:v>
                </c:pt>
                <c:pt idx="8">
                  <c:v>142.0</c:v>
                </c:pt>
                <c:pt idx="9">
                  <c:v>149.0</c:v>
                </c:pt>
                <c:pt idx="10">
                  <c:v>156.0</c:v>
                </c:pt>
                <c:pt idx="11">
                  <c:v>163.0</c:v>
                </c:pt>
                <c:pt idx="12">
                  <c:v>170.0</c:v>
                </c:pt>
                <c:pt idx="13">
                  <c:v>179.0</c:v>
                </c:pt>
              </c:numCache>
            </c:numRef>
          </c:xVal>
          <c:yVal>
            <c:numRef>
              <c:f>Picea_abies_Krutzsch!$BI$66:$BI$95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0.2</c:v>
                </c:pt>
                <c:pt idx="4">
                  <c:v>0.4</c:v>
                </c:pt>
                <c:pt idx="5">
                  <c:v>0.6</c:v>
                </c:pt>
                <c:pt idx="6">
                  <c:v>0.8</c:v>
                </c:pt>
                <c:pt idx="7">
                  <c:v>1.4</c:v>
                </c:pt>
                <c:pt idx="8">
                  <c:v>2.4</c:v>
                </c:pt>
                <c:pt idx="9">
                  <c:v>4.4</c:v>
                </c:pt>
                <c:pt idx="10">
                  <c:v>5.2</c:v>
                </c:pt>
                <c:pt idx="11">
                  <c:v>6.2</c:v>
                </c:pt>
                <c:pt idx="12">
                  <c:v>7.0</c:v>
                </c:pt>
                <c:pt idx="13">
                  <c:v>8.0</c:v>
                </c:pt>
              </c:numCache>
            </c:numRef>
          </c:yVal>
          <c:smooth val="0"/>
        </c:ser>
        <c:ser>
          <c:idx val="3"/>
          <c:order val="3"/>
          <c:tx>
            <c:v>2008</c:v>
          </c:tx>
          <c:spPr>
            <a:ln w="9525">
              <a:solidFill>
                <a:srgbClr val="FF9900"/>
              </a:solidFill>
            </a:ln>
          </c:spPr>
          <c:marker>
            <c:symbol val="circle"/>
            <c:size val="5"/>
            <c:spPr>
              <a:noFill/>
              <a:ln>
                <a:solidFill>
                  <a:srgbClr val="FF9900"/>
                </a:solidFill>
              </a:ln>
            </c:spPr>
          </c:marker>
          <c:xVal>
            <c:numRef>
              <c:f>Picea_abies_Krutzsch!$BK$66:$BK$83</c:f>
              <c:numCache>
                <c:formatCode>General</c:formatCode>
                <c:ptCount val="18"/>
                <c:pt idx="0">
                  <c:v>127.0</c:v>
                </c:pt>
                <c:pt idx="1">
                  <c:v>132.0</c:v>
                </c:pt>
                <c:pt idx="2">
                  <c:v>136.0</c:v>
                </c:pt>
                <c:pt idx="3">
                  <c:v>147.0</c:v>
                </c:pt>
                <c:pt idx="4">
                  <c:v>154.0</c:v>
                </c:pt>
                <c:pt idx="5">
                  <c:v>161.0</c:v>
                </c:pt>
                <c:pt idx="6">
                  <c:v>168.0</c:v>
                </c:pt>
                <c:pt idx="7">
                  <c:v>175.0</c:v>
                </c:pt>
                <c:pt idx="8">
                  <c:v>184.0</c:v>
                </c:pt>
                <c:pt idx="9">
                  <c:v>192.0</c:v>
                </c:pt>
              </c:numCache>
            </c:numRef>
          </c:xVal>
          <c:yVal>
            <c:numRef>
              <c:f>Picea_abies_Krutzsch!$BL$66:$BL$83</c:f>
              <c:numCache>
                <c:formatCode>0.0</c:formatCode>
                <c:ptCount val="18"/>
                <c:pt idx="0">
                  <c:v>0.2</c:v>
                </c:pt>
                <c:pt idx="1">
                  <c:v>1.0</c:v>
                </c:pt>
                <c:pt idx="2">
                  <c:v>1.6</c:v>
                </c:pt>
                <c:pt idx="3">
                  <c:v>3.0</c:v>
                </c:pt>
                <c:pt idx="4">
                  <c:v>4.4</c:v>
                </c:pt>
                <c:pt idx="5">
                  <c:v>5.4</c:v>
                </c:pt>
                <c:pt idx="6">
                  <c:v>6.0</c:v>
                </c:pt>
                <c:pt idx="7">
                  <c:v>6.6</c:v>
                </c:pt>
                <c:pt idx="8">
                  <c:v>7.2</c:v>
                </c:pt>
                <c:pt idx="9">
                  <c:v>8.0</c:v>
                </c:pt>
              </c:numCache>
            </c:numRef>
          </c:yVal>
          <c:smooth val="0"/>
        </c:ser>
        <c:ser>
          <c:idx val="4"/>
          <c:order val="4"/>
          <c:tx>
            <c:v>2009</c:v>
          </c:tx>
          <c:spPr>
            <a:ln w="9525">
              <a:solidFill>
                <a:srgbClr val="FF9900"/>
              </a:solidFill>
            </a:ln>
          </c:spPr>
          <c:marker>
            <c:symbol val="square"/>
            <c:size val="4"/>
            <c:spPr>
              <a:noFill/>
              <a:ln>
                <a:solidFill>
                  <a:srgbClr val="FF9900"/>
                </a:solidFill>
              </a:ln>
            </c:spPr>
          </c:marker>
          <c:xVal>
            <c:numRef>
              <c:f>Picea_abies_Krutzsch!$BN$66:$BN$83</c:f>
              <c:numCache>
                <c:formatCode>General</c:formatCode>
                <c:ptCount val="18"/>
                <c:pt idx="0">
                  <c:v>116.0</c:v>
                </c:pt>
                <c:pt idx="1">
                  <c:v>121.0</c:v>
                </c:pt>
                <c:pt idx="2">
                  <c:v>127.0</c:v>
                </c:pt>
                <c:pt idx="3">
                  <c:v>133.0</c:v>
                </c:pt>
                <c:pt idx="4">
                  <c:v>142.0</c:v>
                </c:pt>
                <c:pt idx="5">
                  <c:v>151.0</c:v>
                </c:pt>
                <c:pt idx="6">
                  <c:v>159.0</c:v>
                </c:pt>
                <c:pt idx="7">
                  <c:v>168.0</c:v>
                </c:pt>
                <c:pt idx="8">
                  <c:v>180.0</c:v>
                </c:pt>
                <c:pt idx="9">
                  <c:v>189.0</c:v>
                </c:pt>
                <c:pt idx="10">
                  <c:v>202.0</c:v>
                </c:pt>
              </c:numCache>
            </c:numRef>
          </c:xVal>
          <c:yVal>
            <c:numRef>
              <c:f>Picea_abies_Krutzsch!$BO$66:$BO$83</c:f>
              <c:numCache>
                <c:formatCode>0.0</c:formatCode>
                <c:ptCount val="18"/>
                <c:pt idx="0">
                  <c:v>0.0</c:v>
                </c:pt>
                <c:pt idx="1">
                  <c:v>0.6</c:v>
                </c:pt>
                <c:pt idx="2">
                  <c:v>0.8</c:v>
                </c:pt>
                <c:pt idx="3">
                  <c:v>1.2</c:v>
                </c:pt>
                <c:pt idx="4">
                  <c:v>3.0</c:v>
                </c:pt>
                <c:pt idx="5">
                  <c:v>4.6</c:v>
                </c:pt>
                <c:pt idx="6">
                  <c:v>5.6</c:v>
                </c:pt>
                <c:pt idx="7">
                  <c:v>6.2</c:v>
                </c:pt>
                <c:pt idx="8">
                  <c:v>6.2</c:v>
                </c:pt>
                <c:pt idx="9">
                  <c:v>7.2</c:v>
                </c:pt>
                <c:pt idx="10">
                  <c:v>8.0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7305848"/>
        <c:axId val="-2133955608"/>
      </c:scatterChart>
      <c:valAx>
        <c:axId val="-2117305848"/>
        <c:scaling>
          <c:orientation val="minMax"/>
          <c:min val="106.0"/>
        </c:scaling>
        <c:delete val="0"/>
        <c:axPos val="b"/>
        <c:numFmt formatCode="d\/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33955608"/>
        <c:crosses val="autoZero"/>
        <c:crossBetween val="midCat"/>
        <c:majorUnit val="7.0"/>
      </c:valAx>
      <c:valAx>
        <c:axId val="-21339556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Knopp/skottutveckling enl. Krutzsch</a:t>
                </a:r>
              </a:p>
            </c:rich>
          </c:tx>
          <c:layout>
            <c:manualLayout>
              <c:xMode val="edge"/>
              <c:yMode val="edge"/>
              <c:x val="0.0226804570220802"/>
              <c:y val="0.04807686678570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7305848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0035344088186"/>
          <c:y val="0.405204460966547"/>
          <c:w val="0.120462385921345"/>
          <c:h val="0.4200743494423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9917695473254"/>
          <c:y val="0.0526315789473684"/>
          <c:w val="0.823045267489745"/>
          <c:h val="0.80382775119619"/>
        </c:manualLayout>
      </c:layout>
      <c:scatterChart>
        <c:scatterStyle val="lineMarker"/>
        <c:varyColors val="0"/>
        <c:ser>
          <c:idx val="2"/>
          <c:order val="0"/>
          <c:tx>
            <c:v>Årets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Picea_abies_Krutzsch!$AU$96:$AU$125</c:f>
              <c:numCache>
                <c:formatCode>0</c:formatCode>
                <c:ptCount val="30"/>
                <c:pt idx="0">
                  <c:v>149.0</c:v>
                </c:pt>
                <c:pt idx="1">
                  <c:v>156.0</c:v>
                </c:pt>
                <c:pt idx="2">
                  <c:v>164.0</c:v>
                </c:pt>
                <c:pt idx="3">
                  <c:v>170.0</c:v>
                </c:pt>
                <c:pt idx="4">
                  <c:v>170.0</c:v>
                </c:pt>
                <c:pt idx="5">
                  <c:v>170.0</c:v>
                </c:pt>
                <c:pt idx="6">
                  <c:v>170.0</c:v>
                </c:pt>
                <c:pt idx="7">
                  <c:v>170.0</c:v>
                </c:pt>
                <c:pt idx="8">
                  <c:v>170.0</c:v>
                </c:pt>
                <c:pt idx="9">
                  <c:v>170.0</c:v>
                </c:pt>
                <c:pt idx="10">
                  <c:v>170.0</c:v>
                </c:pt>
                <c:pt idx="11">
                  <c:v>170.0</c:v>
                </c:pt>
                <c:pt idx="12">
                  <c:v>170.0</c:v>
                </c:pt>
                <c:pt idx="13">
                  <c:v>170.0</c:v>
                </c:pt>
                <c:pt idx="14">
                  <c:v>170.0</c:v>
                </c:pt>
                <c:pt idx="15">
                  <c:v>170.0</c:v>
                </c:pt>
                <c:pt idx="16">
                  <c:v>170.0</c:v>
                </c:pt>
                <c:pt idx="17">
                  <c:v>170.0</c:v>
                </c:pt>
                <c:pt idx="18">
                  <c:v>170.0</c:v>
                </c:pt>
                <c:pt idx="19">
                  <c:v>170.0</c:v>
                </c:pt>
                <c:pt idx="20">
                  <c:v>170.0</c:v>
                </c:pt>
                <c:pt idx="21">
                  <c:v>170.0</c:v>
                </c:pt>
                <c:pt idx="22">
                  <c:v>170.0</c:v>
                </c:pt>
                <c:pt idx="23">
                  <c:v>170.0</c:v>
                </c:pt>
                <c:pt idx="24">
                  <c:v>170.0</c:v>
                </c:pt>
                <c:pt idx="25">
                  <c:v>170.0</c:v>
                </c:pt>
                <c:pt idx="26">
                  <c:v>170.0</c:v>
                </c:pt>
                <c:pt idx="27">
                  <c:v>170.0</c:v>
                </c:pt>
                <c:pt idx="28">
                  <c:v>170.0</c:v>
                </c:pt>
              </c:numCache>
            </c:numRef>
          </c:xVal>
          <c:yVal>
            <c:numRef>
              <c:f>Picea_abies_Krutzsch!$AT$96:$AT$125</c:f>
              <c:numCache>
                <c:formatCode>General</c:formatCode>
                <c:ptCount val="30"/>
                <c:pt idx="0">
                  <c:v>0.72</c:v>
                </c:pt>
                <c:pt idx="1">
                  <c:v>2.72</c:v>
                </c:pt>
                <c:pt idx="2">
                  <c:v>3.64</c:v>
                </c:pt>
                <c:pt idx="3">
                  <c:v>4.96</c:v>
                </c:pt>
                <c:pt idx="4">
                  <c:v>4.96</c:v>
                </c:pt>
                <c:pt idx="5">
                  <c:v>4.96</c:v>
                </c:pt>
                <c:pt idx="6">
                  <c:v>4.96</c:v>
                </c:pt>
                <c:pt idx="7">
                  <c:v>4.96</c:v>
                </c:pt>
                <c:pt idx="8">
                  <c:v>4.96</c:v>
                </c:pt>
                <c:pt idx="9">
                  <c:v>4.96</c:v>
                </c:pt>
                <c:pt idx="10">
                  <c:v>4.96</c:v>
                </c:pt>
                <c:pt idx="11">
                  <c:v>4.96</c:v>
                </c:pt>
                <c:pt idx="12">
                  <c:v>4.96</c:v>
                </c:pt>
                <c:pt idx="13">
                  <c:v>4.96</c:v>
                </c:pt>
                <c:pt idx="14">
                  <c:v>4.96</c:v>
                </c:pt>
                <c:pt idx="15">
                  <c:v>4.96</c:v>
                </c:pt>
                <c:pt idx="16">
                  <c:v>4.96</c:v>
                </c:pt>
                <c:pt idx="17">
                  <c:v>4.96</c:v>
                </c:pt>
                <c:pt idx="18">
                  <c:v>4.96</c:v>
                </c:pt>
                <c:pt idx="19">
                  <c:v>4.96</c:v>
                </c:pt>
                <c:pt idx="20">
                  <c:v>4.96</c:v>
                </c:pt>
                <c:pt idx="21">
                  <c:v>4.96</c:v>
                </c:pt>
                <c:pt idx="22">
                  <c:v>4.96</c:v>
                </c:pt>
                <c:pt idx="23">
                  <c:v>4.96</c:v>
                </c:pt>
                <c:pt idx="24">
                  <c:v>4.96</c:v>
                </c:pt>
                <c:pt idx="25">
                  <c:v>4.96</c:v>
                </c:pt>
                <c:pt idx="26">
                  <c:v>4.96</c:v>
                </c:pt>
                <c:pt idx="27">
                  <c:v>4.96</c:v>
                </c:pt>
                <c:pt idx="28">
                  <c:v>4.96</c:v>
                </c:pt>
              </c:numCache>
            </c:numRef>
          </c:yVal>
          <c:smooth val="0"/>
        </c:ser>
        <c:ser>
          <c:idx val="1"/>
          <c:order val="1"/>
          <c:tx>
            <c:v>2007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FF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Picea_abies_Krutzsch!$BH$97:$BH$103</c:f>
              <c:numCache>
                <c:formatCode>General</c:formatCode>
                <c:ptCount val="7"/>
                <c:pt idx="0">
                  <c:v>127.0</c:v>
                </c:pt>
                <c:pt idx="1">
                  <c:v>131.0</c:v>
                </c:pt>
                <c:pt idx="2">
                  <c:v>141.0</c:v>
                </c:pt>
                <c:pt idx="3">
                  <c:v>145.0</c:v>
                </c:pt>
                <c:pt idx="4">
                  <c:v>150.0</c:v>
                </c:pt>
                <c:pt idx="5">
                  <c:v>156.0</c:v>
                </c:pt>
              </c:numCache>
            </c:numRef>
          </c:xVal>
          <c:yVal>
            <c:numRef>
              <c:f>Picea_abies_Krutzsch!$BI$97:$BI$103</c:f>
              <c:numCache>
                <c:formatCode>0.0</c:formatCode>
                <c:ptCount val="7"/>
                <c:pt idx="0">
                  <c:v>0.0</c:v>
                </c:pt>
                <c:pt idx="1">
                  <c:v>0.0</c:v>
                </c:pt>
                <c:pt idx="2">
                  <c:v>0.6</c:v>
                </c:pt>
                <c:pt idx="3">
                  <c:v>2.4</c:v>
                </c:pt>
                <c:pt idx="4">
                  <c:v>2.92</c:v>
                </c:pt>
                <c:pt idx="5">
                  <c:v>4.4</c:v>
                </c:pt>
              </c:numCache>
            </c:numRef>
          </c:yVal>
          <c:smooth val="0"/>
        </c:ser>
        <c:ser>
          <c:idx val="0"/>
          <c:order val="2"/>
          <c:tx>
            <c:v>2008</c:v>
          </c:tx>
          <c:spPr>
            <a:ln w="9525">
              <a:solidFill>
                <a:srgbClr val="0000FF"/>
              </a:solidFill>
            </a:ln>
          </c:spPr>
          <c:marker>
            <c:symbol val="circle"/>
            <c:size val="5"/>
            <c:spPr>
              <a:noFill/>
              <a:ln>
                <a:solidFill>
                  <a:srgbClr val="0000FF"/>
                </a:solidFill>
              </a:ln>
            </c:spPr>
          </c:marker>
          <c:xVal>
            <c:numRef>
              <c:f>Picea_abies_Krutzsch!$BK$97:$BK$103</c:f>
              <c:numCache>
                <c:formatCode>General</c:formatCode>
                <c:ptCount val="7"/>
                <c:pt idx="0">
                  <c:v>140.0</c:v>
                </c:pt>
                <c:pt idx="1">
                  <c:v>144.0</c:v>
                </c:pt>
                <c:pt idx="2">
                  <c:v>154.0</c:v>
                </c:pt>
                <c:pt idx="3">
                  <c:v>168.0</c:v>
                </c:pt>
                <c:pt idx="4">
                  <c:v>179.0</c:v>
                </c:pt>
                <c:pt idx="5">
                  <c:v>186.0</c:v>
                </c:pt>
              </c:numCache>
            </c:numRef>
          </c:xVal>
          <c:yVal>
            <c:numRef>
              <c:f>Picea_abies_Krutzsch!$BL$97:$BL$103</c:f>
              <c:numCache>
                <c:formatCode>0.0</c:formatCode>
                <c:ptCount val="7"/>
                <c:pt idx="0">
                  <c:v>0.32</c:v>
                </c:pt>
                <c:pt idx="1">
                  <c:v>0.72</c:v>
                </c:pt>
                <c:pt idx="2">
                  <c:v>2.88</c:v>
                </c:pt>
                <c:pt idx="3">
                  <c:v>5.2</c:v>
                </c:pt>
                <c:pt idx="4">
                  <c:v>6.4</c:v>
                </c:pt>
                <c:pt idx="5">
                  <c:v>8.0</c:v>
                </c:pt>
              </c:numCache>
            </c:numRef>
          </c:yVal>
          <c:smooth val="0"/>
        </c:ser>
        <c:ser>
          <c:idx val="3"/>
          <c:order val="3"/>
          <c:tx>
            <c:v>2009</c:v>
          </c:tx>
          <c:spPr>
            <a:ln w="9525">
              <a:solidFill>
                <a:srgbClr val="0000FF"/>
              </a:solidFill>
            </a:ln>
          </c:spPr>
          <c:marker>
            <c:symbol val="square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Picea_abies_Krutzsch!$BN$97:$BN$107</c:f>
              <c:numCache>
                <c:formatCode>General</c:formatCode>
                <c:ptCount val="11"/>
                <c:pt idx="0">
                  <c:v>135.0</c:v>
                </c:pt>
                <c:pt idx="1">
                  <c:v>140.0</c:v>
                </c:pt>
                <c:pt idx="2">
                  <c:v>145.0</c:v>
                </c:pt>
                <c:pt idx="3">
                  <c:v>148.0</c:v>
                </c:pt>
                <c:pt idx="4">
                  <c:v>152.0</c:v>
                </c:pt>
                <c:pt idx="5">
                  <c:v>156.0</c:v>
                </c:pt>
                <c:pt idx="6">
                  <c:v>163.0</c:v>
                </c:pt>
                <c:pt idx="7">
                  <c:v>169.0</c:v>
                </c:pt>
                <c:pt idx="8">
                  <c:v>176.0</c:v>
                </c:pt>
                <c:pt idx="9">
                  <c:v>183.0</c:v>
                </c:pt>
                <c:pt idx="10">
                  <c:v>189.0</c:v>
                </c:pt>
              </c:numCache>
            </c:numRef>
          </c:xVal>
          <c:yVal>
            <c:numRef>
              <c:f>Picea_abies_Krutzsch!$BO$97:$BO$107</c:f>
              <c:numCache>
                <c:formatCode>0.0</c:formatCode>
                <c:ptCount val="11"/>
                <c:pt idx="0">
                  <c:v>0.0</c:v>
                </c:pt>
                <c:pt idx="1">
                  <c:v>0.76</c:v>
                </c:pt>
                <c:pt idx="2">
                  <c:v>0.76</c:v>
                </c:pt>
                <c:pt idx="3">
                  <c:v>1.52</c:v>
                </c:pt>
                <c:pt idx="4">
                  <c:v>3.28</c:v>
                </c:pt>
                <c:pt idx="5">
                  <c:v>4.2</c:v>
                </c:pt>
                <c:pt idx="6">
                  <c:v>5.24</c:v>
                </c:pt>
                <c:pt idx="7">
                  <c:v>6.08</c:v>
                </c:pt>
                <c:pt idx="8">
                  <c:v>6.88</c:v>
                </c:pt>
                <c:pt idx="9">
                  <c:v>7.64</c:v>
                </c:pt>
                <c:pt idx="10">
                  <c:v>8.0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8022872"/>
        <c:axId val="-2135292600"/>
      </c:scatterChart>
      <c:valAx>
        <c:axId val="2138022872"/>
        <c:scaling>
          <c:orientation val="minMax"/>
          <c:min val="106.0"/>
        </c:scaling>
        <c:delete val="0"/>
        <c:axPos val="b"/>
        <c:numFmt formatCode="d\/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35292600"/>
        <c:crosses val="autoZero"/>
        <c:crossBetween val="midCat"/>
        <c:majorUnit val="7.0"/>
      </c:valAx>
      <c:valAx>
        <c:axId val="-21352926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Knopp/skottutveckling enl. Krutzsch</a:t>
                </a:r>
              </a:p>
            </c:rich>
          </c:tx>
          <c:layout>
            <c:manualLayout>
              <c:xMode val="edge"/>
              <c:yMode val="edge"/>
              <c:x val="0.0226336942257223"/>
              <c:y val="0.05263147662097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2138022872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0592605546211"/>
          <c:y val="0.492593038007304"/>
          <c:w val="0.120065861791829"/>
          <c:h val="0.32962992768910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3737166324442"/>
          <c:y val="0.0523809523809524"/>
          <c:w val="0.819301848049282"/>
          <c:h val="0.804761904761905"/>
        </c:manualLayout>
      </c:layout>
      <c:scatterChart>
        <c:scatterStyle val="lineMarker"/>
        <c:varyColors val="0"/>
        <c:ser>
          <c:idx val="2"/>
          <c:order val="0"/>
          <c:tx>
            <c:v>Årets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Picea_abies_Krutzsch!$AU$126:$AU$155</c:f>
              <c:numCache>
                <c:formatCode>0</c:formatCode>
                <c:ptCount val="30"/>
                <c:pt idx="0">
                  <c:v>131.0</c:v>
                </c:pt>
                <c:pt idx="1">
                  <c:v>137.0</c:v>
                </c:pt>
                <c:pt idx="2">
                  <c:v>144.0</c:v>
                </c:pt>
                <c:pt idx="3">
                  <c:v>152.0</c:v>
                </c:pt>
                <c:pt idx="4">
                  <c:v>157.0</c:v>
                </c:pt>
                <c:pt idx="5">
                  <c:v>163.0</c:v>
                </c:pt>
                <c:pt idx="6">
                  <c:v>170.0</c:v>
                </c:pt>
                <c:pt idx="7">
                  <c:v>177.0</c:v>
                </c:pt>
                <c:pt idx="8">
                  <c:v>181.0</c:v>
                </c:pt>
                <c:pt idx="9">
                  <c:v>192.0</c:v>
                </c:pt>
                <c:pt idx="10">
                  <c:v>192.0</c:v>
                </c:pt>
                <c:pt idx="11">
                  <c:v>192.0</c:v>
                </c:pt>
                <c:pt idx="12">
                  <c:v>192.0</c:v>
                </c:pt>
                <c:pt idx="13">
                  <c:v>192.0</c:v>
                </c:pt>
                <c:pt idx="14">
                  <c:v>192.0</c:v>
                </c:pt>
                <c:pt idx="15">
                  <c:v>192.0</c:v>
                </c:pt>
                <c:pt idx="16">
                  <c:v>192.0</c:v>
                </c:pt>
                <c:pt idx="17">
                  <c:v>192.0</c:v>
                </c:pt>
                <c:pt idx="18">
                  <c:v>192.0</c:v>
                </c:pt>
                <c:pt idx="19">
                  <c:v>192.0</c:v>
                </c:pt>
                <c:pt idx="20">
                  <c:v>192.0</c:v>
                </c:pt>
                <c:pt idx="21">
                  <c:v>192.0</c:v>
                </c:pt>
                <c:pt idx="22">
                  <c:v>192.0</c:v>
                </c:pt>
                <c:pt idx="23">
                  <c:v>192.0</c:v>
                </c:pt>
                <c:pt idx="24">
                  <c:v>192.0</c:v>
                </c:pt>
                <c:pt idx="25">
                  <c:v>192.0</c:v>
                </c:pt>
                <c:pt idx="26">
                  <c:v>192.0</c:v>
                </c:pt>
                <c:pt idx="27">
                  <c:v>192.0</c:v>
                </c:pt>
                <c:pt idx="28">
                  <c:v>192.0</c:v>
                </c:pt>
                <c:pt idx="29">
                  <c:v>192.0</c:v>
                </c:pt>
              </c:numCache>
            </c:numRef>
          </c:xVal>
          <c:yVal>
            <c:numRef>
              <c:f>Picea_abies_Krutzsch!$AT$126:$AT$155</c:f>
              <c:numCache>
                <c:formatCode>General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1.428571428571429</c:v>
                </c:pt>
                <c:pt idx="4">
                  <c:v>2.085714285714286</c:v>
                </c:pt>
                <c:pt idx="5">
                  <c:v>2.971428571428572</c:v>
                </c:pt>
                <c:pt idx="6">
                  <c:v>3.971428571428572</c:v>
                </c:pt>
                <c:pt idx="7">
                  <c:v>5.371428571428571</c:v>
                </c:pt>
                <c:pt idx="8">
                  <c:v>7.457142857142857</c:v>
                </c:pt>
                <c:pt idx="9">
                  <c:v>8.0</c:v>
                </c:pt>
                <c:pt idx="10">
                  <c:v>8.0</c:v>
                </c:pt>
                <c:pt idx="11">
                  <c:v>8.0</c:v>
                </c:pt>
                <c:pt idx="12">
                  <c:v>8.0</c:v>
                </c:pt>
                <c:pt idx="13">
                  <c:v>8.0</c:v>
                </c:pt>
                <c:pt idx="14">
                  <c:v>8.0</c:v>
                </c:pt>
                <c:pt idx="15">
                  <c:v>8.0</c:v>
                </c:pt>
                <c:pt idx="16">
                  <c:v>8.0</c:v>
                </c:pt>
                <c:pt idx="17">
                  <c:v>8.0</c:v>
                </c:pt>
                <c:pt idx="18">
                  <c:v>8.0</c:v>
                </c:pt>
                <c:pt idx="19">
                  <c:v>8.0</c:v>
                </c:pt>
                <c:pt idx="20">
                  <c:v>8.0</c:v>
                </c:pt>
                <c:pt idx="21">
                  <c:v>8.0</c:v>
                </c:pt>
                <c:pt idx="22">
                  <c:v>8.0</c:v>
                </c:pt>
                <c:pt idx="23">
                  <c:v>8.0</c:v>
                </c:pt>
                <c:pt idx="24">
                  <c:v>8.0</c:v>
                </c:pt>
                <c:pt idx="25">
                  <c:v>8.0</c:v>
                </c:pt>
                <c:pt idx="26">
                  <c:v>8.0</c:v>
                </c:pt>
                <c:pt idx="27">
                  <c:v>8.0</c:v>
                </c:pt>
                <c:pt idx="28">
                  <c:v>8.0</c:v>
                </c:pt>
                <c:pt idx="29">
                  <c:v>8.0</c:v>
                </c:pt>
              </c:numCache>
            </c:numRef>
          </c:yVal>
          <c:smooth val="0"/>
        </c:ser>
        <c:ser>
          <c:idx val="0"/>
          <c:order val="1"/>
          <c:tx>
            <c:v>2006</c:v>
          </c:tx>
          <c:spPr>
            <a:ln w="9525">
              <a:solidFill>
                <a:srgbClr val="00FFFF"/>
              </a:solidFill>
            </a:ln>
          </c:spPr>
          <c:marker>
            <c:symbol val="x"/>
            <c:size val="4"/>
            <c:spPr>
              <a:noFill/>
              <a:ln>
                <a:solidFill>
                  <a:srgbClr val="00FFFF"/>
                </a:solidFill>
              </a:ln>
            </c:spPr>
          </c:marker>
          <c:xVal>
            <c:numRef>
              <c:f>Picea_abies_Krutzsch!$BE$126:$BE$139</c:f>
              <c:numCache>
                <c:formatCode>General</c:formatCode>
                <c:ptCount val="14"/>
                <c:pt idx="0">
                  <c:v>137.0</c:v>
                </c:pt>
                <c:pt idx="1">
                  <c:v>142.0</c:v>
                </c:pt>
                <c:pt idx="2">
                  <c:v>146.0</c:v>
                </c:pt>
                <c:pt idx="3">
                  <c:v>149.0</c:v>
                </c:pt>
                <c:pt idx="4">
                  <c:v>151.0</c:v>
                </c:pt>
                <c:pt idx="5">
                  <c:v>153.0</c:v>
                </c:pt>
                <c:pt idx="6">
                  <c:v>158.0</c:v>
                </c:pt>
                <c:pt idx="7">
                  <c:v>160.0</c:v>
                </c:pt>
                <c:pt idx="8">
                  <c:v>163.0</c:v>
                </c:pt>
                <c:pt idx="9">
                  <c:v>165.0</c:v>
                </c:pt>
                <c:pt idx="10">
                  <c:v>167.0</c:v>
                </c:pt>
                <c:pt idx="11">
                  <c:v>170.0</c:v>
                </c:pt>
                <c:pt idx="12">
                  <c:v>173.0</c:v>
                </c:pt>
                <c:pt idx="13">
                  <c:v>180.0</c:v>
                </c:pt>
              </c:numCache>
            </c:numRef>
          </c:xVal>
          <c:yVal>
            <c:numRef>
              <c:f>Picea_abies_Krutzsch!$BF$126:$BF$139</c:f>
              <c:numCache>
                <c:formatCode>0.0</c:formatCode>
                <c:ptCount val="14"/>
                <c:pt idx="0">
                  <c:v>1.0</c:v>
                </c:pt>
                <c:pt idx="1">
                  <c:v>1.0</c:v>
                </c:pt>
                <c:pt idx="2">
                  <c:v>1.4</c:v>
                </c:pt>
                <c:pt idx="3">
                  <c:v>1.6</c:v>
                </c:pt>
                <c:pt idx="4">
                  <c:v>1.72</c:v>
                </c:pt>
                <c:pt idx="5">
                  <c:v>2.4</c:v>
                </c:pt>
                <c:pt idx="6">
                  <c:v>3.2</c:v>
                </c:pt>
                <c:pt idx="7">
                  <c:v>4.52</c:v>
                </c:pt>
                <c:pt idx="8">
                  <c:v>5.0</c:v>
                </c:pt>
                <c:pt idx="9">
                  <c:v>5.2</c:v>
                </c:pt>
                <c:pt idx="10">
                  <c:v>5.8</c:v>
                </c:pt>
                <c:pt idx="11">
                  <c:v>6.8</c:v>
                </c:pt>
                <c:pt idx="12">
                  <c:v>7.8</c:v>
                </c:pt>
                <c:pt idx="13">
                  <c:v>8.0</c:v>
                </c:pt>
              </c:numCache>
            </c:numRef>
          </c:yVal>
          <c:smooth val="0"/>
        </c:ser>
        <c:ser>
          <c:idx val="1"/>
          <c:order val="2"/>
          <c:tx>
            <c:v>2007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circle"/>
            <c:size val="4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Picea_abies_Krutzsch!$BH$126:$BH$155</c:f>
              <c:numCache>
                <c:formatCode>General</c:formatCode>
                <c:ptCount val="30"/>
                <c:pt idx="0">
                  <c:v>120.0</c:v>
                </c:pt>
                <c:pt idx="1">
                  <c:v>123.0</c:v>
                </c:pt>
                <c:pt idx="2">
                  <c:v>127.0</c:v>
                </c:pt>
                <c:pt idx="3">
                  <c:v>130.0</c:v>
                </c:pt>
                <c:pt idx="4">
                  <c:v>134.0</c:v>
                </c:pt>
                <c:pt idx="5">
                  <c:v>136.0</c:v>
                </c:pt>
                <c:pt idx="6">
                  <c:v>138.0</c:v>
                </c:pt>
                <c:pt idx="7">
                  <c:v>141.0</c:v>
                </c:pt>
                <c:pt idx="8">
                  <c:v>143.0</c:v>
                </c:pt>
                <c:pt idx="9">
                  <c:v>145.0</c:v>
                </c:pt>
                <c:pt idx="10">
                  <c:v>148.0</c:v>
                </c:pt>
                <c:pt idx="11">
                  <c:v>151.0</c:v>
                </c:pt>
                <c:pt idx="12">
                  <c:v>155.0</c:v>
                </c:pt>
                <c:pt idx="13">
                  <c:v>159.0</c:v>
                </c:pt>
                <c:pt idx="14">
                  <c:v>162.0</c:v>
                </c:pt>
                <c:pt idx="15">
                  <c:v>169.0</c:v>
                </c:pt>
                <c:pt idx="16">
                  <c:v>176.0</c:v>
                </c:pt>
                <c:pt idx="17">
                  <c:v>183.0</c:v>
                </c:pt>
              </c:numCache>
            </c:numRef>
          </c:xVal>
          <c:yVal>
            <c:numRef>
              <c:f>Picea_abies_Krutzsch!$BI$126:$BI$155</c:f>
              <c:numCache>
                <c:formatCode>0.0</c:formatCode>
                <c:ptCount val="30"/>
                <c:pt idx="0">
                  <c:v>0.08</c:v>
                </c:pt>
                <c:pt idx="1">
                  <c:v>0.12</c:v>
                </c:pt>
                <c:pt idx="2">
                  <c:v>0.12</c:v>
                </c:pt>
                <c:pt idx="3">
                  <c:v>0.16</c:v>
                </c:pt>
                <c:pt idx="4">
                  <c:v>0.24</c:v>
                </c:pt>
                <c:pt idx="5">
                  <c:v>0.24</c:v>
                </c:pt>
                <c:pt idx="6">
                  <c:v>0.48</c:v>
                </c:pt>
                <c:pt idx="7">
                  <c:v>0.88</c:v>
                </c:pt>
                <c:pt idx="8">
                  <c:v>0.96</c:v>
                </c:pt>
                <c:pt idx="9">
                  <c:v>1.0</c:v>
                </c:pt>
                <c:pt idx="10">
                  <c:v>1.0</c:v>
                </c:pt>
                <c:pt idx="11">
                  <c:v>1.88</c:v>
                </c:pt>
                <c:pt idx="12">
                  <c:v>2.84</c:v>
                </c:pt>
                <c:pt idx="13">
                  <c:v>4.76</c:v>
                </c:pt>
                <c:pt idx="14">
                  <c:v>5.72</c:v>
                </c:pt>
                <c:pt idx="15">
                  <c:v>6.08</c:v>
                </c:pt>
                <c:pt idx="16">
                  <c:v>6.84</c:v>
                </c:pt>
                <c:pt idx="17">
                  <c:v>7.8</c:v>
                </c:pt>
              </c:numCache>
            </c:numRef>
          </c:yVal>
          <c:smooth val="0"/>
        </c:ser>
        <c:ser>
          <c:idx val="3"/>
          <c:order val="3"/>
          <c:tx>
            <c:v>2008</c:v>
          </c:tx>
          <c:spPr>
            <a:ln w="9525">
              <a:solidFill>
                <a:srgbClr val="00FFFF"/>
              </a:solidFill>
            </a:ln>
          </c:spPr>
          <c:marker>
            <c:symbol val="circle"/>
            <c:size val="5"/>
            <c:spPr>
              <a:noFill/>
              <a:ln>
                <a:solidFill>
                  <a:srgbClr val="00FFFF"/>
                </a:solidFill>
              </a:ln>
            </c:spPr>
          </c:marker>
          <c:xVal>
            <c:numRef>
              <c:f>Picea_abies_Krutzsch!$BK$126:$BK$143</c:f>
              <c:numCache>
                <c:formatCode>General</c:formatCode>
                <c:ptCount val="18"/>
                <c:pt idx="0">
                  <c:v>123.0</c:v>
                </c:pt>
                <c:pt idx="1">
                  <c:v>129.0</c:v>
                </c:pt>
                <c:pt idx="2">
                  <c:v>133.0</c:v>
                </c:pt>
                <c:pt idx="3">
                  <c:v>137.0</c:v>
                </c:pt>
                <c:pt idx="4">
                  <c:v>144.0</c:v>
                </c:pt>
                <c:pt idx="5">
                  <c:v>147.0</c:v>
                </c:pt>
                <c:pt idx="6">
                  <c:v>150.0</c:v>
                </c:pt>
                <c:pt idx="7">
                  <c:v>154.0</c:v>
                </c:pt>
                <c:pt idx="8">
                  <c:v>157.0</c:v>
                </c:pt>
                <c:pt idx="9">
                  <c:v>163.0</c:v>
                </c:pt>
                <c:pt idx="10">
                  <c:v>170.0</c:v>
                </c:pt>
                <c:pt idx="11">
                  <c:v>178.0</c:v>
                </c:pt>
                <c:pt idx="12">
                  <c:v>183.0</c:v>
                </c:pt>
              </c:numCache>
            </c:numRef>
          </c:xVal>
          <c:yVal>
            <c:numRef>
              <c:f>Picea_abies_Krutzsch!$BL$126:$BL$143</c:f>
              <c:numCache>
                <c:formatCode>0.0</c:formatCode>
                <c:ptCount val="18"/>
                <c:pt idx="0">
                  <c:v>0.0</c:v>
                </c:pt>
                <c:pt idx="1">
                  <c:v>0.72</c:v>
                </c:pt>
                <c:pt idx="2">
                  <c:v>0.96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1.16</c:v>
                </c:pt>
                <c:pt idx="7">
                  <c:v>2.12</c:v>
                </c:pt>
                <c:pt idx="8">
                  <c:v>3.32</c:v>
                </c:pt>
                <c:pt idx="9">
                  <c:v>4.32</c:v>
                </c:pt>
                <c:pt idx="10">
                  <c:v>5.2</c:v>
                </c:pt>
                <c:pt idx="11">
                  <c:v>7.32</c:v>
                </c:pt>
                <c:pt idx="12">
                  <c:v>8.0</c:v>
                </c:pt>
              </c:numCache>
            </c:numRef>
          </c:yVal>
          <c:smooth val="0"/>
        </c:ser>
        <c:ser>
          <c:idx val="4"/>
          <c:order val="4"/>
          <c:tx>
            <c:v>2009</c:v>
          </c:tx>
          <c:spPr>
            <a:ln w="9525">
              <a:solidFill>
                <a:srgbClr val="00FFFF"/>
              </a:solidFill>
            </a:ln>
          </c:spPr>
          <c:marker>
            <c:symbol val="square"/>
            <c:size val="4"/>
            <c:spPr>
              <a:noFill/>
              <a:ln>
                <a:solidFill>
                  <a:srgbClr val="00FFFF"/>
                </a:solidFill>
              </a:ln>
            </c:spPr>
          </c:marker>
          <c:xVal>
            <c:numRef>
              <c:f>Picea_abies_Krutzsch!$BN$126:$BN$143</c:f>
              <c:numCache>
                <c:formatCode>General</c:formatCode>
                <c:ptCount val="18"/>
                <c:pt idx="0">
                  <c:v>120.0</c:v>
                </c:pt>
                <c:pt idx="1">
                  <c:v>127.0</c:v>
                </c:pt>
                <c:pt idx="2">
                  <c:v>134.0</c:v>
                </c:pt>
                <c:pt idx="3">
                  <c:v>138.0</c:v>
                </c:pt>
                <c:pt idx="4">
                  <c:v>143.0</c:v>
                </c:pt>
                <c:pt idx="5">
                  <c:v>148.0</c:v>
                </c:pt>
                <c:pt idx="6">
                  <c:v>152.0</c:v>
                </c:pt>
                <c:pt idx="7">
                  <c:v>155.0</c:v>
                </c:pt>
                <c:pt idx="8">
                  <c:v>159.0</c:v>
                </c:pt>
                <c:pt idx="9">
                  <c:v>162.0</c:v>
                </c:pt>
                <c:pt idx="10">
                  <c:v>169.0</c:v>
                </c:pt>
                <c:pt idx="11">
                  <c:v>176.0</c:v>
                </c:pt>
                <c:pt idx="12">
                  <c:v>184.0</c:v>
                </c:pt>
                <c:pt idx="13">
                  <c:v>190.0</c:v>
                </c:pt>
              </c:numCache>
            </c:numRef>
          </c:xVal>
          <c:yVal>
            <c:numRef>
              <c:f>Picea_abies_Krutzsch!$BO$126:$BO$143</c:f>
              <c:numCache>
                <c:formatCode>0.0</c:formatCode>
                <c:ptCount val="18"/>
                <c:pt idx="0">
                  <c:v>0.0</c:v>
                </c:pt>
                <c:pt idx="1">
                  <c:v>0.0</c:v>
                </c:pt>
                <c:pt idx="2">
                  <c:v>0.192307692307692</c:v>
                </c:pt>
                <c:pt idx="3">
                  <c:v>0.923076923076923</c:v>
                </c:pt>
                <c:pt idx="4">
                  <c:v>1.038461538461539</c:v>
                </c:pt>
                <c:pt idx="5">
                  <c:v>1.961538461538461</c:v>
                </c:pt>
                <c:pt idx="6">
                  <c:v>3.0</c:v>
                </c:pt>
                <c:pt idx="7">
                  <c:v>3.153846153846154</c:v>
                </c:pt>
                <c:pt idx="8">
                  <c:v>3.884615384615385</c:v>
                </c:pt>
                <c:pt idx="9">
                  <c:v>4.2</c:v>
                </c:pt>
                <c:pt idx="10">
                  <c:v>4.904761904761905</c:v>
                </c:pt>
                <c:pt idx="11">
                  <c:v>6.666666666666667</c:v>
                </c:pt>
                <c:pt idx="12">
                  <c:v>6.944444444444444</c:v>
                </c:pt>
                <c:pt idx="13">
                  <c:v>7.611111111111111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3896536"/>
        <c:axId val="-2134373560"/>
      </c:scatterChart>
      <c:valAx>
        <c:axId val="-2133896536"/>
        <c:scaling>
          <c:orientation val="minMax"/>
          <c:min val="106.0"/>
        </c:scaling>
        <c:delete val="0"/>
        <c:axPos val="b"/>
        <c:numFmt formatCode="d\/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34373560"/>
        <c:crosses val="autoZero"/>
        <c:crossBetween val="midCat"/>
        <c:majorUnit val="7.0"/>
      </c:valAx>
      <c:valAx>
        <c:axId val="-21343735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Knopp/skottutveckling enl. Krutzsch</a:t>
                </a:r>
              </a:p>
            </c:rich>
          </c:tx>
          <c:layout>
            <c:manualLayout>
              <c:xMode val="edge"/>
              <c:yMode val="edge"/>
              <c:x val="0.0225872627990468"/>
              <c:y val="0.05238102130616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33896536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7734809697404"/>
          <c:y val="0.41544229514348"/>
          <c:w val="0.1198687572448"/>
          <c:h val="0.4154422951434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924369747899159"/>
          <c:y val="0.0843885333783845"/>
          <c:w val="0.876050420168108"/>
          <c:h val="0.8059104937636"/>
        </c:manualLayout>
      </c:layout>
      <c:scatterChart>
        <c:scatterStyle val="lineMarker"/>
        <c:varyColors val="0"/>
        <c:ser>
          <c:idx val="5"/>
          <c:order val="0"/>
          <c:tx>
            <c:v>Vindeln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Pca_abies_estimates!$B$125:$B$154</c:f>
              <c:numCache>
                <c:formatCode>m/d/yy</c:formatCode>
                <c:ptCount val="30"/>
                <c:pt idx="0">
                  <c:v>41039.0</c:v>
                </c:pt>
                <c:pt idx="1">
                  <c:v>41045.0</c:v>
                </c:pt>
                <c:pt idx="2">
                  <c:v>41052.0</c:v>
                </c:pt>
                <c:pt idx="3">
                  <c:v>41060.0</c:v>
                </c:pt>
                <c:pt idx="4">
                  <c:v>41065.0</c:v>
                </c:pt>
                <c:pt idx="5">
                  <c:v>41071.0</c:v>
                </c:pt>
                <c:pt idx="6">
                  <c:v>41078.0</c:v>
                </c:pt>
                <c:pt idx="7">
                  <c:v>41085.0</c:v>
                </c:pt>
                <c:pt idx="8">
                  <c:v>41089.0</c:v>
                </c:pt>
                <c:pt idx="9">
                  <c:v>41100.0</c:v>
                </c:pt>
                <c:pt idx="10">
                  <c:v>41106.0</c:v>
                </c:pt>
                <c:pt idx="11">
                  <c:v>41113.0</c:v>
                </c:pt>
              </c:numCache>
            </c:numRef>
          </c:xVal>
          <c:yVal>
            <c:numRef>
              <c:f>Pca_abies_estimates!$AJ$125:$AJ$154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0.6</c:v>
                </c:pt>
                <c:pt idx="4">
                  <c:v>0.7</c:v>
                </c:pt>
                <c:pt idx="5">
                  <c:v>1.3</c:v>
                </c:pt>
                <c:pt idx="6">
                  <c:v>2.5</c:v>
                </c:pt>
                <c:pt idx="7">
                  <c:v>3.8</c:v>
                </c:pt>
                <c:pt idx="8">
                  <c:v>4.4</c:v>
                </c:pt>
                <c:pt idx="9">
                  <c:v>6.4</c:v>
                </c:pt>
                <c:pt idx="10">
                  <c:v>6.7</c:v>
                </c:pt>
                <c:pt idx="11">
                  <c:v>7.2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0"/>
          <c:order val="1"/>
          <c:tx>
            <c:v>Umeå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Pca_abies_estimates!$B$95:$B$124</c:f>
              <c:numCache>
                <c:formatCode>m/d/yy</c:formatCode>
                <c:ptCount val="30"/>
                <c:pt idx="0">
                  <c:v>41057.0</c:v>
                </c:pt>
                <c:pt idx="1">
                  <c:v>41064.0</c:v>
                </c:pt>
                <c:pt idx="2">
                  <c:v>41072.0</c:v>
                </c:pt>
                <c:pt idx="3">
                  <c:v>41078.0</c:v>
                </c:pt>
              </c:numCache>
            </c:numRef>
          </c:xVal>
          <c:yVal>
            <c:numRef>
              <c:f>Pca_abies_estimates!$AJ$95:$AJ$124</c:f>
              <c:numCache>
                <c:formatCode>0.0</c:formatCode>
                <c:ptCount val="30"/>
                <c:pt idx="0">
                  <c:v>0.285714285714286</c:v>
                </c:pt>
                <c:pt idx="1">
                  <c:v>0.714285714285714</c:v>
                </c:pt>
                <c:pt idx="2">
                  <c:v>1.571428571428571</c:v>
                </c:pt>
                <c:pt idx="3">
                  <c:v>3.571428571428572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4"/>
          <c:order val="2"/>
          <c:tx>
            <c:v>Siljansfors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triangle"/>
            <c:size val="4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Pca_abies_estimates!$B$35:$B$64</c:f>
              <c:numCache>
                <c:formatCode>m/d/yy</c:formatCode>
                <c:ptCount val="30"/>
                <c:pt idx="0">
                  <c:v>41046.0</c:v>
                </c:pt>
                <c:pt idx="1">
                  <c:v>41050.0</c:v>
                </c:pt>
                <c:pt idx="2">
                  <c:v>41054.0</c:v>
                </c:pt>
                <c:pt idx="3">
                  <c:v>41057.0</c:v>
                </c:pt>
                <c:pt idx="4">
                  <c:v>41061.0</c:v>
                </c:pt>
                <c:pt idx="5">
                  <c:v>41067.0</c:v>
                </c:pt>
                <c:pt idx="6">
                  <c:v>41071.0</c:v>
                </c:pt>
                <c:pt idx="7">
                  <c:v>41075.0</c:v>
                </c:pt>
                <c:pt idx="8">
                  <c:v>41081.0</c:v>
                </c:pt>
                <c:pt idx="9">
                  <c:v>41089.0</c:v>
                </c:pt>
                <c:pt idx="10">
                  <c:v>41098.0</c:v>
                </c:pt>
                <c:pt idx="11">
                  <c:v>41105.0</c:v>
                </c:pt>
              </c:numCache>
            </c:numRef>
          </c:xVal>
          <c:yVal>
            <c:numRef>
              <c:f>Pca_abies_estimates!$AJ$35:$AJ$64</c:f>
              <c:numCache>
                <c:formatCode>0.0</c:formatCode>
                <c:ptCount val="30"/>
                <c:pt idx="0">
                  <c:v>0.0</c:v>
                </c:pt>
                <c:pt idx="1">
                  <c:v>0.1</c:v>
                </c:pt>
                <c:pt idx="2">
                  <c:v>1.2</c:v>
                </c:pt>
                <c:pt idx="3">
                  <c:v>1.7</c:v>
                </c:pt>
                <c:pt idx="4">
                  <c:v>2.0</c:v>
                </c:pt>
                <c:pt idx="5">
                  <c:v>2.6</c:v>
                </c:pt>
                <c:pt idx="6">
                  <c:v>0.0</c:v>
                </c:pt>
                <c:pt idx="7">
                  <c:v>3.9</c:v>
                </c:pt>
                <c:pt idx="8">
                  <c:v>5.0</c:v>
                </c:pt>
                <c:pt idx="9">
                  <c:v>6.4</c:v>
                </c:pt>
                <c:pt idx="10">
                  <c:v>7.8</c:v>
                </c:pt>
                <c:pt idx="11">
                  <c:v>8.0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2"/>
          <c:order val="3"/>
          <c:tx>
            <c:v>Asa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Pca_abies_estimates!$B$5:$B$34</c:f>
              <c:numCache>
                <c:formatCode>m/d/yy</c:formatCode>
                <c:ptCount val="30"/>
                <c:pt idx="0">
                  <c:v>41032.0</c:v>
                </c:pt>
                <c:pt idx="1">
                  <c:v>41040.0</c:v>
                </c:pt>
                <c:pt idx="2">
                  <c:v>41047.0</c:v>
                </c:pt>
                <c:pt idx="3">
                  <c:v>41054.0</c:v>
                </c:pt>
                <c:pt idx="4">
                  <c:v>41061.0</c:v>
                </c:pt>
                <c:pt idx="5">
                  <c:v>41068.0</c:v>
                </c:pt>
                <c:pt idx="6">
                  <c:v>41074.0</c:v>
                </c:pt>
                <c:pt idx="7">
                  <c:v>41079.0</c:v>
                </c:pt>
                <c:pt idx="8">
                  <c:v>41088.0</c:v>
                </c:pt>
              </c:numCache>
            </c:numRef>
          </c:xVal>
          <c:yVal>
            <c:numRef>
              <c:f>Pca_abies_estimates!$AJ$5:$AJ$34</c:f>
              <c:numCache>
                <c:formatCode>0.0</c:formatCode>
                <c:ptCount val="30"/>
                <c:pt idx="0">
                  <c:v>0.142857142857143</c:v>
                </c:pt>
                <c:pt idx="1">
                  <c:v>1.0</c:v>
                </c:pt>
                <c:pt idx="2">
                  <c:v>1.285714285714286</c:v>
                </c:pt>
                <c:pt idx="3">
                  <c:v>2.714285714285714</c:v>
                </c:pt>
                <c:pt idx="4">
                  <c:v>4.428571428571429</c:v>
                </c:pt>
                <c:pt idx="5">
                  <c:v>5.285714285714285</c:v>
                </c:pt>
                <c:pt idx="6">
                  <c:v>5.857142857142857</c:v>
                </c:pt>
                <c:pt idx="7">
                  <c:v>7.142857142857143</c:v>
                </c:pt>
                <c:pt idx="8">
                  <c:v>8.0</c:v>
                </c:pt>
                <c:pt idx="9">
                  <c:v>8.0</c:v>
                </c:pt>
                <c:pt idx="10">
                  <c:v>8.0</c:v>
                </c:pt>
                <c:pt idx="11">
                  <c:v>8.0</c:v>
                </c:pt>
                <c:pt idx="12">
                  <c:v>8.0</c:v>
                </c:pt>
                <c:pt idx="13">
                  <c:v>8.0</c:v>
                </c:pt>
              </c:numCache>
            </c:numRef>
          </c:yVal>
          <c:smooth val="0"/>
        </c:ser>
        <c:ser>
          <c:idx val="1"/>
          <c:order val="4"/>
          <c:tx>
            <c:v>Tönnersjöheden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Pca_abies_estimates!$B$65:$B$94</c:f>
              <c:numCache>
                <c:formatCode>m/d/yy</c:formatCode>
                <c:ptCount val="30"/>
                <c:pt idx="0">
                  <c:v>41022.0</c:v>
                </c:pt>
                <c:pt idx="1">
                  <c:v>41026.0</c:v>
                </c:pt>
                <c:pt idx="2">
                  <c:v>41031.0</c:v>
                </c:pt>
                <c:pt idx="3">
                  <c:v>41036.0</c:v>
                </c:pt>
                <c:pt idx="4">
                  <c:v>41039.0</c:v>
                </c:pt>
                <c:pt idx="5">
                  <c:v>41044.0</c:v>
                </c:pt>
                <c:pt idx="6">
                  <c:v>41053.0</c:v>
                </c:pt>
                <c:pt idx="7">
                  <c:v>41059.0</c:v>
                </c:pt>
                <c:pt idx="8">
                  <c:v>41073.0</c:v>
                </c:pt>
                <c:pt idx="9">
                  <c:v>41092.0</c:v>
                </c:pt>
              </c:numCache>
            </c:numRef>
          </c:xVal>
          <c:yVal>
            <c:numRef>
              <c:f>Pca_abies_estimates!$AJ$65:$AJ$94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0.285714285714286</c:v>
                </c:pt>
                <c:pt idx="4">
                  <c:v>0.571428571428571</c:v>
                </c:pt>
                <c:pt idx="5">
                  <c:v>1.0</c:v>
                </c:pt>
                <c:pt idx="6">
                  <c:v>2.0</c:v>
                </c:pt>
                <c:pt idx="7">
                  <c:v>3.714285714285714</c:v>
                </c:pt>
                <c:pt idx="8">
                  <c:v>5.285714285714285</c:v>
                </c:pt>
                <c:pt idx="9">
                  <c:v>7.285714285714285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4492296"/>
        <c:axId val="-2133977320"/>
      </c:scatterChart>
      <c:valAx>
        <c:axId val="-2134492296"/>
        <c:scaling>
          <c:orientation val="minMax"/>
          <c:min val="41000.0"/>
        </c:scaling>
        <c:delete val="0"/>
        <c:axPos val="b"/>
        <c:numFmt formatCode="d\/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33977320"/>
        <c:crosses val="autoZero"/>
        <c:crossBetween val="midCat"/>
        <c:majorUnit val="7.0"/>
      </c:valAx>
      <c:valAx>
        <c:axId val="-2133977320"/>
        <c:scaling>
          <c:orientation val="minMax"/>
          <c:min val="0.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Krutzsch index</a:t>
                </a:r>
              </a:p>
            </c:rich>
          </c:tx>
          <c:layout>
            <c:manualLayout>
              <c:xMode val="edge"/>
              <c:yMode val="edge"/>
              <c:x val="0.00630249343832024"/>
              <c:y val="0.32489578508569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34492296"/>
        <c:crosses val="autoZero"/>
        <c:crossBetween val="midCat"/>
        <c:majorUnit val="1.0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"/>
          <c:y val="0.065359477124183"/>
          <c:w val="0.268055555555556"/>
          <c:h val="0.3071895424836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344537815126"/>
          <c:y val="0.0886079600473053"/>
          <c:w val="0.857142857142858"/>
          <c:h val="0.801691067094654"/>
        </c:manualLayout>
      </c:layout>
      <c:scatterChart>
        <c:scatterStyle val="lineMarker"/>
        <c:varyColors val="0"/>
        <c:ser>
          <c:idx val="5"/>
          <c:order val="0"/>
          <c:tx>
            <c:v>Vindeln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Pca_abies_estimates!$B$125:$B$154</c:f>
              <c:numCache>
                <c:formatCode>m/d/yy</c:formatCode>
                <c:ptCount val="30"/>
                <c:pt idx="0">
                  <c:v>41039.0</c:v>
                </c:pt>
                <c:pt idx="1">
                  <c:v>41045.0</c:v>
                </c:pt>
                <c:pt idx="2">
                  <c:v>41052.0</c:v>
                </c:pt>
                <c:pt idx="3">
                  <c:v>41060.0</c:v>
                </c:pt>
                <c:pt idx="4">
                  <c:v>41065.0</c:v>
                </c:pt>
                <c:pt idx="5">
                  <c:v>41071.0</c:v>
                </c:pt>
                <c:pt idx="6">
                  <c:v>41078.0</c:v>
                </c:pt>
                <c:pt idx="7">
                  <c:v>41085.0</c:v>
                </c:pt>
                <c:pt idx="8">
                  <c:v>41089.0</c:v>
                </c:pt>
                <c:pt idx="9">
                  <c:v>41100.0</c:v>
                </c:pt>
                <c:pt idx="10">
                  <c:v>41106.0</c:v>
                </c:pt>
                <c:pt idx="11">
                  <c:v>41113.0</c:v>
                </c:pt>
              </c:numCache>
            </c:numRef>
          </c:xVal>
          <c:yVal>
            <c:numRef>
              <c:f>Pca_abies_estimates!$AK$125:$AK$154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0.9</c:v>
                </c:pt>
                <c:pt idx="7">
                  <c:v>1.4</c:v>
                </c:pt>
                <c:pt idx="8">
                  <c:v>1.5</c:v>
                </c:pt>
                <c:pt idx="9">
                  <c:v>2.4</c:v>
                </c:pt>
                <c:pt idx="10">
                  <c:v>2.5</c:v>
                </c:pt>
                <c:pt idx="11">
                  <c:v>2.7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0"/>
          <c:order val="1"/>
          <c:tx>
            <c:v>Umeå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Pca_abies_estimates!$B$95:$B$124</c:f>
              <c:numCache>
                <c:formatCode>m/d/yy</c:formatCode>
                <c:ptCount val="30"/>
                <c:pt idx="0">
                  <c:v>41057.0</c:v>
                </c:pt>
                <c:pt idx="1">
                  <c:v>41064.0</c:v>
                </c:pt>
                <c:pt idx="2">
                  <c:v>41072.0</c:v>
                </c:pt>
                <c:pt idx="3">
                  <c:v>41078.0</c:v>
                </c:pt>
              </c:numCache>
            </c:numRef>
          </c:xVal>
          <c:yVal>
            <c:numRef>
              <c:f>Pca_abies_estimates!$AK$95:$AK$124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0.285714285714286</c:v>
                </c:pt>
                <c:pt idx="3">
                  <c:v>1.0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4"/>
          <c:order val="2"/>
          <c:tx>
            <c:v>Siljansfors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triangle"/>
            <c:size val="4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Pca_abies_estimates!$B$35:$B$64</c:f>
              <c:numCache>
                <c:formatCode>m/d/yy</c:formatCode>
                <c:ptCount val="30"/>
                <c:pt idx="0">
                  <c:v>41046.0</c:v>
                </c:pt>
                <c:pt idx="1">
                  <c:v>41050.0</c:v>
                </c:pt>
                <c:pt idx="2">
                  <c:v>41054.0</c:v>
                </c:pt>
                <c:pt idx="3">
                  <c:v>41057.0</c:v>
                </c:pt>
                <c:pt idx="4">
                  <c:v>41061.0</c:v>
                </c:pt>
                <c:pt idx="5">
                  <c:v>41067.0</c:v>
                </c:pt>
                <c:pt idx="6">
                  <c:v>41071.0</c:v>
                </c:pt>
                <c:pt idx="7">
                  <c:v>41075.0</c:v>
                </c:pt>
                <c:pt idx="8">
                  <c:v>41081.0</c:v>
                </c:pt>
                <c:pt idx="9">
                  <c:v>41089.0</c:v>
                </c:pt>
                <c:pt idx="10">
                  <c:v>41098.0</c:v>
                </c:pt>
                <c:pt idx="11">
                  <c:v>41105.0</c:v>
                </c:pt>
              </c:numCache>
            </c:numRef>
          </c:xVal>
          <c:yVal>
            <c:numRef>
              <c:f>Pca_abies_estimates!$AK$35:$AK$64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0.1</c:v>
                </c:pt>
                <c:pt idx="4">
                  <c:v>0.4</c:v>
                </c:pt>
                <c:pt idx="5">
                  <c:v>1.1</c:v>
                </c:pt>
                <c:pt idx="6">
                  <c:v>0.0</c:v>
                </c:pt>
                <c:pt idx="7">
                  <c:v>1.9</c:v>
                </c:pt>
                <c:pt idx="8">
                  <c:v>2.0</c:v>
                </c:pt>
                <c:pt idx="9">
                  <c:v>2.0</c:v>
                </c:pt>
                <c:pt idx="10">
                  <c:v>2.0</c:v>
                </c:pt>
                <c:pt idx="11">
                  <c:v>2.0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2"/>
          <c:order val="3"/>
          <c:tx>
            <c:v>Asa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Pca_abies_estimates!$B$5:$B$34</c:f>
              <c:numCache>
                <c:formatCode>m/d/yy</c:formatCode>
                <c:ptCount val="30"/>
                <c:pt idx="0">
                  <c:v>41032.0</c:v>
                </c:pt>
                <c:pt idx="1">
                  <c:v>41040.0</c:v>
                </c:pt>
                <c:pt idx="2">
                  <c:v>41047.0</c:v>
                </c:pt>
                <c:pt idx="3">
                  <c:v>41054.0</c:v>
                </c:pt>
                <c:pt idx="4">
                  <c:v>41061.0</c:v>
                </c:pt>
                <c:pt idx="5">
                  <c:v>41068.0</c:v>
                </c:pt>
                <c:pt idx="6">
                  <c:v>41074.0</c:v>
                </c:pt>
                <c:pt idx="7">
                  <c:v>41079.0</c:v>
                </c:pt>
                <c:pt idx="8">
                  <c:v>41088.0</c:v>
                </c:pt>
              </c:numCache>
            </c:numRef>
          </c:xVal>
          <c:yVal>
            <c:numRef>
              <c:f>Pca_abies_estimates!$AK$5:$AK$34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0.428571428571429</c:v>
                </c:pt>
                <c:pt idx="4">
                  <c:v>1.714285714285714</c:v>
                </c:pt>
                <c:pt idx="5">
                  <c:v>2.0</c:v>
                </c:pt>
                <c:pt idx="6">
                  <c:v>2.0</c:v>
                </c:pt>
                <c:pt idx="7">
                  <c:v>2.142857142857143</c:v>
                </c:pt>
                <c:pt idx="8">
                  <c:v>3.0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1"/>
          <c:order val="4"/>
          <c:tx>
            <c:v>Tönnersjöheden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Pca_abies_estimates!$B$65:$B$94</c:f>
              <c:numCache>
                <c:formatCode>m/d/yy</c:formatCode>
                <c:ptCount val="30"/>
                <c:pt idx="0">
                  <c:v>41022.0</c:v>
                </c:pt>
                <c:pt idx="1">
                  <c:v>41026.0</c:v>
                </c:pt>
                <c:pt idx="2">
                  <c:v>41031.0</c:v>
                </c:pt>
                <c:pt idx="3">
                  <c:v>41036.0</c:v>
                </c:pt>
                <c:pt idx="4">
                  <c:v>41039.0</c:v>
                </c:pt>
                <c:pt idx="5">
                  <c:v>41044.0</c:v>
                </c:pt>
                <c:pt idx="6">
                  <c:v>41053.0</c:v>
                </c:pt>
                <c:pt idx="7">
                  <c:v>41059.0</c:v>
                </c:pt>
                <c:pt idx="8">
                  <c:v>41073.0</c:v>
                </c:pt>
                <c:pt idx="9">
                  <c:v>41092.0</c:v>
                </c:pt>
              </c:numCache>
            </c:numRef>
          </c:xVal>
          <c:yVal>
            <c:numRef>
              <c:f>Pca_abies_estimates!$AK$65:$AK$94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0.285714285714286</c:v>
                </c:pt>
                <c:pt idx="7">
                  <c:v>1.428571428571429</c:v>
                </c:pt>
                <c:pt idx="8">
                  <c:v>2.0</c:v>
                </c:pt>
                <c:pt idx="9">
                  <c:v>2.285714285714286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8495560"/>
        <c:axId val="-2118089928"/>
      </c:scatterChart>
      <c:valAx>
        <c:axId val="-2118495560"/>
        <c:scaling>
          <c:orientation val="minMax"/>
          <c:min val="41000.0"/>
        </c:scaling>
        <c:delete val="0"/>
        <c:axPos val="b"/>
        <c:numFmt formatCode="d\/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8089928"/>
        <c:crosses val="autoZero"/>
        <c:crossBetween val="midCat"/>
        <c:majorUnit val="7.0"/>
      </c:valAx>
      <c:valAx>
        <c:axId val="-2118089928"/>
        <c:scaling>
          <c:orientation val="minMax"/>
          <c:min val="0.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Skottskjutningsfas</a:t>
                </a:r>
              </a:p>
            </c:rich>
          </c:tx>
          <c:layout>
            <c:manualLayout>
              <c:xMode val="edge"/>
              <c:yMode val="edge"/>
              <c:x val="0.0147058180227472"/>
              <c:y val="0.2953602298084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8495560"/>
        <c:crosses val="autoZero"/>
        <c:crossBetween val="midCat"/>
        <c:majorUnit val="1.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924369747899159"/>
          <c:y val="0.0843885333783845"/>
          <c:w val="0.876050420168108"/>
          <c:h val="0.780593933750057"/>
        </c:manualLayout>
      </c:layout>
      <c:scatterChart>
        <c:scatterStyle val="lineMarker"/>
        <c:varyColors val="0"/>
        <c:ser>
          <c:idx val="5"/>
          <c:order val="0"/>
          <c:tx>
            <c:v>Vindeln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Pca_abies_estimates!$B$125:$B$154</c:f>
              <c:numCache>
                <c:formatCode>m/d/yy</c:formatCode>
                <c:ptCount val="30"/>
                <c:pt idx="0">
                  <c:v>41039.0</c:v>
                </c:pt>
                <c:pt idx="1">
                  <c:v>41045.0</c:v>
                </c:pt>
                <c:pt idx="2">
                  <c:v>41052.0</c:v>
                </c:pt>
                <c:pt idx="3">
                  <c:v>41060.0</c:v>
                </c:pt>
                <c:pt idx="4">
                  <c:v>41065.0</c:v>
                </c:pt>
                <c:pt idx="5">
                  <c:v>41071.0</c:v>
                </c:pt>
                <c:pt idx="6">
                  <c:v>41078.0</c:v>
                </c:pt>
                <c:pt idx="7">
                  <c:v>41085.0</c:v>
                </c:pt>
                <c:pt idx="8">
                  <c:v>41089.0</c:v>
                </c:pt>
                <c:pt idx="9">
                  <c:v>41100.0</c:v>
                </c:pt>
                <c:pt idx="10">
                  <c:v>41106.0</c:v>
                </c:pt>
                <c:pt idx="11">
                  <c:v>41113.0</c:v>
                </c:pt>
              </c:numCache>
            </c:numRef>
          </c:xVal>
          <c:yVal>
            <c:numRef>
              <c:f>Pca_abies_estimates!$AL$125:$AL$154</c:f>
              <c:numCache>
                <c:formatCode>0.0</c:formatCode>
                <c:ptCount val="30"/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0"/>
          <c:order val="1"/>
          <c:tx>
            <c:v>Umeå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Pca_abies_estimates!$B$95:$B$124</c:f>
              <c:numCache>
                <c:formatCode>m/d/yy</c:formatCode>
                <c:ptCount val="30"/>
                <c:pt idx="0">
                  <c:v>41057.0</c:v>
                </c:pt>
                <c:pt idx="1">
                  <c:v>41064.0</c:v>
                </c:pt>
                <c:pt idx="2">
                  <c:v>41072.0</c:v>
                </c:pt>
                <c:pt idx="3">
                  <c:v>41078.0</c:v>
                </c:pt>
              </c:numCache>
            </c:numRef>
          </c:xVal>
          <c:yVal>
            <c:numRef>
              <c:f>Pca_abies_estimates!$AL$95:$AL$124</c:f>
              <c:numCache>
                <c:formatCode>0.0</c:formatCode>
                <c:ptCount val="30"/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4"/>
          <c:order val="2"/>
          <c:tx>
            <c:v>Siljansfors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triangle"/>
            <c:size val="4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Pca_abies_estimates!$B$35:$B$64</c:f>
              <c:numCache>
                <c:formatCode>m/d/yy</c:formatCode>
                <c:ptCount val="30"/>
                <c:pt idx="0">
                  <c:v>41046.0</c:v>
                </c:pt>
                <c:pt idx="1">
                  <c:v>41050.0</c:v>
                </c:pt>
                <c:pt idx="2">
                  <c:v>41054.0</c:v>
                </c:pt>
                <c:pt idx="3">
                  <c:v>41057.0</c:v>
                </c:pt>
                <c:pt idx="4">
                  <c:v>41061.0</c:v>
                </c:pt>
                <c:pt idx="5">
                  <c:v>41067.0</c:v>
                </c:pt>
                <c:pt idx="6">
                  <c:v>41071.0</c:v>
                </c:pt>
                <c:pt idx="7">
                  <c:v>41075.0</c:v>
                </c:pt>
                <c:pt idx="8">
                  <c:v>41081.0</c:v>
                </c:pt>
                <c:pt idx="9">
                  <c:v>41089.0</c:v>
                </c:pt>
                <c:pt idx="10">
                  <c:v>41098.0</c:v>
                </c:pt>
                <c:pt idx="11">
                  <c:v>41105.0</c:v>
                </c:pt>
              </c:numCache>
            </c:numRef>
          </c:xVal>
          <c:yVal>
            <c:numRef>
              <c:f>Pca_abies_estimates!$AL$35:$AL$64</c:f>
              <c:numCache>
                <c:formatCode>0.0</c:formatCode>
                <c:ptCount val="30"/>
                <c:pt idx="0">
                  <c:v>0.0</c:v>
                </c:pt>
                <c:pt idx="1">
                  <c:v>0.2</c:v>
                </c:pt>
                <c:pt idx="2">
                  <c:v>0.6</c:v>
                </c:pt>
                <c:pt idx="3">
                  <c:v>0.8</c:v>
                </c:pt>
                <c:pt idx="4">
                  <c:v>1.4</c:v>
                </c:pt>
                <c:pt idx="5">
                  <c:v>2.2</c:v>
                </c:pt>
                <c:pt idx="6">
                  <c:v>2.4</c:v>
                </c:pt>
                <c:pt idx="7">
                  <c:v>2.4</c:v>
                </c:pt>
                <c:pt idx="8">
                  <c:v>2.4</c:v>
                </c:pt>
                <c:pt idx="9">
                  <c:v>2.4</c:v>
                </c:pt>
                <c:pt idx="10">
                  <c:v>2.4</c:v>
                </c:pt>
                <c:pt idx="11">
                  <c:v>2.4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2"/>
          <c:order val="3"/>
          <c:tx>
            <c:v>Asa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Pca_abies_estimates!$B$5:$B$34</c:f>
              <c:numCache>
                <c:formatCode>m/d/yy</c:formatCode>
                <c:ptCount val="30"/>
                <c:pt idx="0">
                  <c:v>41032.0</c:v>
                </c:pt>
                <c:pt idx="1">
                  <c:v>41040.0</c:v>
                </c:pt>
                <c:pt idx="2">
                  <c:v>41047.0</c:v>
                </c:pt>
                <c:pt idx="3">
                  <c:v>41054.0</c:v>
                </c:pt>
                <c:pt idx="4">
                  <c:v>41061.0</c:v>
                </c:pt>
                <c:pt idx="5">
                  <c:v>41068.0</c:v>
                </c:pt>
                <c:pt idx="6">
                  <c:v>41074.0</c:v>
                </c:pt>
                <c:pt idx="7">
                  <c:v>41079.0</c:v>
                </c:pt>
                <c:pt idx="8">
                  <c:v>41088.0</c:v>
                </c:pt>
              </c:numCache>
            </c:numRef>
          </c:xVal>
          <c:yVal>
            <c:numRef>
              <c:f>Pca_abies_estimates!$AL$5:$AL$34</c:f>
              <c:numCache>
                <c:formatCode>0.0</c:formatCode>
                <c:ptCount val="30"/>
                <c:pt idx="0">
                  <c:v>0.0</c:v>
                </c:pt>
                <c:pt idx="1">
                  <c:v>1.0</c:v>
                </c:pt>
                <c:pt idx="2">
                  <c:v>1.0</c:v>
                </c:pt>
                <c:pt idx="3">
                  <c:v>2.0</c:v>
                </c:pt>
                <c:pt idx="4">
                  <c:v>3.0</c:v>
                </c:pt>
                <c:pt idx="5">
                  <c:v>3.0</c:v>
                </c:pt>
                <c:pt idx="6">
                  <c:v>3.0</c:v>
                </c:pt>
                <c:pt idx="7">
                  <c:v>3.0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</c:numCache>
            </c:numRef>
          </c:yVal>
          <c:smooth val="0"/>
        </c:ser>
        <c:ser>
          <c:idx val="1"/>
          <c:order val="4"/>
          <c:tx>
            <c:v>Tönnersjöheden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Pca_abies_estimates!$B$65:$B$94</c:f>
              <c:numCache>
                <c:formatCode>m/d/yy</c:formatCode>
                <c:ptCount val="30"/>
                <c:pt idx="0">
                  <c:v>41022.0</c:v>
                </c:pt>
                <c:pt idx="1">
                  <c:v>41026.0</c:v>
                </c:pt>
                <c:pt idx="2">
                  <c:v>41031.0</c:v>
                </c:pt>
                <c:pt idx="3">
                  <c:v>41036.0</c:v>
                </c:pt>
                <c:pt idx="4">
                  <c:v>41039.0</c:v>
                </c:pt>
                <c:pt idx="5">
                  <c:v>41044.0</c:v>
                </c:pt>
                <c:pt idx="6">
                  <c:v>41053.0</c:v>
                </c:pt>
                <c:pt idx="7">
                  <c:v>41059.0</c:v>
                </c:pt>
                <c:pt idx="8">
                  <c:v>41073.0</c:v>
                </c:pt>
                <c:pt idx="9">
                  <c:v>41092.0</c:v>
                </c:pt>
              </c:numCache>
            </c:numRef>
          </c:xVal>
          <c:yVal>
            <c:numRef>
              <c:f>Pca_abies_estimates!$AL$65:$AL$94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3892456"/>
        <c:axId val="-2134051528"/>
      </c:scatterChart>
      <c:valAx>
        <c:axId val="-2133892456"/>
        <c:scaling>
          <c:orientation val="minMax"/>
          <c:min val="41000.0"/>
        </c:scaling>
        <c:delete val="0"/>
        <c:axPos val="b"/>
        <c:numFmt formatCode="d\/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34051528"/>
        <c:crosses val="autoZero"/>
        <c:crossBetween val="midCat"/>
        <c:majorUnit val="7.0"/>
      </c:valAx>
      <c:valAx>
        <c:axId val="-2134051528"/>
        <c:scaling>
          <c:orientation val="minMax"/>
          <c:max val="3.5"/>
          <c:min val="0.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Honblomningsfas</a:t>
                </a:r>
              </a:p>
            </c:rich>
          </c:tx>
          <c:layout>
            <c:manualLayout>
              <c:xMode val="edge"/>
              <c:yMode val="edge"/>
              <c:x val="0.0147058180227472"/>
              <c:y val="0.29114087454754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33892456"/>
        <c:crosses val="autoZero"/>
        <c:crossBetween val="midCat"/>
        <c:majorUnit val="1.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903361344537815"/>
          <c:y val="0.137255778031671"/>
          <c:w val="0.878151260504221"/>
          <c:h val="0.692814879588462"/>
        </c:manualLayout>
      </c:layout>
      <c:scatterChart>
        <c:scatterStyle val="lineMarker"/>
        <c:varyColors val="0"/>
        <c:ser>
          <c:idx val="5"/>
          <c:order val="0"/>
          <c:tx>
            <c:v>Vindeln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Pca_abies_estimates!$B$125:$B$154</c:f>
              <c:numCache>
                <c:formatCode>m/d/yy</c:formatCode>
                <c:ptCount val="30"/>
                <c:pt idx="0">
                  <c:v>41039.0</c:v>
                </c:pt>
                <c:pt idx="1">
                  <c:v>41045.0</c:v>
                </c:pt>
                <c:pt idx="2">
                  <c:v>41052.0</c:v>
                </c:pt>
                <c:pt idx="3">
                  <c:v>41060.0</c:v>
                </c:pt>
                <c:pt idx="4">
                  <c:v>41065.0</c:v>
                </c:pt>
                <c:pt idx="5">
                  <c:v>41071.0</c:v>
                </c:pt>
                <c:pt idx="6">
                  <c:v>41078.0</c:v>
                </c:pt>
                <c:pt idx="7">
                  <c:v>41085.0</c:v>
                </c:pt>
                <c:pt idx="8">
                  <c:v>41089.0</c:v>
                </c:pt>
                <c:pt idx="9">
                  <c:v>41100.0</c:v>
                </c:pt>
                <c:pt idx="10">
                  <c:v>41106.0</c:v>
                </c:pt>
                <c:pt idx="11">
                  <c:v>41113.0</c:v>
                </c:pt>
              </c:numCache>
            </c:numRef>
          </c:xVal>
          <c:yVal>
            <c:numRef>
              <c:f>Pca_abies_estimates!$AM$125:$AM$154</c:f>
              <c:numCache>
                <c:formatCode>0.0</c:formatCode>
                <c:ptCount val="30"/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0"/>
          <c:order val="1"/>
          <c:tx>
            <c:v>Umeå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Pca_abies_estimates!$B$95:$B$124</c:f>
              <c:numCache>
                <c:formatCode>m/d/yy</c:formatCode>
                <c:ptCount val="30"/>
                <c:pt idx="0">
                  <c:v>41057.0</c:v>
                </c:pt>
                <c:pt idx="1">
                  <c:v>41064.0</c:v>
                </c:pt>
                <c:pt idx="2">
                  <c:v>41072.0</c:v>
                </c:pt>
                <c:pt idx="3">
                  <c:v>41078.0</c:v>
                </c:pt>
              </c:numCache>
            </c:numRef>
          </c:xVal>
          <c:yVal>
            <c:numRef>
              <c:f>Pca_abies_estimates!$AM$95:$AM$124</c:f>
              <c:numCache>
                <c:formatCode>0.0</c:formatCode>
                <c:ptCount val="30"/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4"/>
          <c:order val="2"/>
          <c:tx>
            <c:v>Siljansfors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triangle"/>
            <c:size val="4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Pca_abies_estimates!$B$35:$B$64</c:f>
              <c:numCache>
                <c:formatCode>m/d/yy</c:formatCode>
                <c:ptCount val="30"/>
                <c:pt idx="0">
                  <c:v>41046.0</c:v>
                </c:pt>
                <c:pt idx="1">
                  <c:v>41050.0</c:v>
                </c:pt>
                <c:pt idx="2">
                  <c:v>41054.0</c:v>
                </c:pt>
                <c:pt idx="3">
                  <c:v>41057.0</c:v>
                </c:pt>
                <c:pt idx="4">
                  <c:v>41061.0</c:v>
                </c:pt>
                <c:pt idx="5">
                  <c:v>41067.0</c:v>
                </c:pt>
                <c:pt idx="6">
                  <c:v>41071.0</c:v>
                </c:pt>
                <c:pt idx="7">
                  <c:v>41075.0</c:v>
                </c:pt>
                <c:pt idx="8">
                  <c:v>41081.0</c:v>
                </c:pt>
                <c:pt idx="9">
                  <c:v>41089.0</c:v>
                </c:pt>
                <c:pt idx="10">
                  <c:v>41098.0</c:v>
                </c:pt>
                <c:pt idx="11">
                  <c:v>41105.0</c:v>
                </c:pt>
              </c:numCache>
            </c:numRef>
          </c:xVal>
          <c:yVal>
            <c:numRef>
              <c:f>Pca_abies_estimates!$AM$35:$AM$64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2"/>
          <c:order val="3"/>
          <c:tx>
            <c:v>Asa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Pca_abies_estimates!$B$5:$B$34</c:f>
              <c:numCache>
                <c:formatCode>m/d/yy</c:formatCode>
                <c:ptCount val="30"/>
                <c:pt idx="0">
                  <c:v>41032.0</c:v>
                </c:pt>
                <c:pt idx="1">
                  <c:v>41040.0</c:v>
                </c:pt>
                <c:pt idx="2">
                  <c:v>41047.0</c:v>
                </c:pt>
                <c:pt idx="3">
                  <c:v>41054.0</c:v>
                </c:pt>
                <c:pt idx="4">
                  <c:v>41061.0</c:v>
                </c:pt>
                <c:pt idx="5">
                  <c:v>41068.0</c:v>
                </c:pt>
                <c:pt idx="6">
                  <c:v>41074.0</c:v>
                </c:pt>
                <c:pt idx="7">
                  <c:v>41079.0</c:v>
                </c:pt>
                <c:pt idx="8">
                  <c:v>41088.0</c:v>
                </c:pt>
              </c:numCache>
            </c:numRef>
          </c:xVal>
          <c:yVal>
            <c:numRef>
              <c:f>Pca_abies_estimates!$AM$5:$AM$34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</c:numCache>
            </c:numRef>
          </c:yVal>
          <c:smooth val="0"/>
        </c:ser>
        <c:ser>
          <c:idx val="1"/>
          <c:order val="4"/>
          <c:tx>
            <c:v>Tönnersjöheden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Pca_abies_estimates!$B$65:$B$94</c:f>
              <c:numCache>
                <c:formatCode>m/d/yy</c:formatCode>
                <c:ptCount val="30"/>
                <c:pt idx="0">
                  <c:v>41022.0</c:v>
                </c:pt>
                <c:pt idx="1">
                  <c:v>41026.0</c:v>
                </c:pt>
                <c:pt idx="2">
                  <c:v>41031.0</c:v>
                </c:pt>
                <c:pt idx="3">
                  <c:v>41036.0</c:v>
                </c:pt>
                <c:pt idx="4">
                  <c:v>41039.0</c:v>
                </c:pt>
                <c:pt idx="5">
                  <c:v>41044.0</c:v>
                </c:pt>
                <c:pt idx="6">
                  <c:v>41053.0</c:v>
                </c:pt>
                <c:pt idx="7">
                  <c:v>41059.0</c:v>
                </c:pt>
                <c:pt idx="8">
                  <c:v>41073.0</c:v>
                </c:pt>
                <c:pt idx="9">
                  <c:v>41092.0</c:v>
                </c:pt>
              </c:numCache>
            </c:numRef>
          </c:xVal>
          <c:yVal>
            <c:numRef>
              <c:f>Pca_abies_estimates!$AM$65:$AM$94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3976440"/>
        <c:axId val="-2114648024"/>
      </c:scatterChart>
      <c:valAx>
        <c:axId val="-2113976440"/>
        <c:scaling>
          <c:orientation val="minMax"/>
          <c:min val="41000.0"/>
        </c:scaling>
        <c:delete val="0"/>
        <c:axPos val="b"/>
        <c:numFmt formatCode="d\/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4648024"/>
        <c:crosses val="autoZero"/>
        <c:crossBetween val="midCat"/>
        <c:majorUnit val="7.0"/>
      </c:valAx>
      <c:valAx>
        <c:axId val="-2114648024"/>
        <c:scaling>
          <c:orientation val="minMax"/>
          <c:max val="1.5"/>
          <c:min val="0.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Hanblomningsfas</a:t>
                </a:r>
              </a:p>
            </c:rich>
          </c:tx>
          <c:layout>
            <c:manualLayout>
              <c:xMode val="edge"/>
              <c:yMode val="edge"/>
              <c:x val="0.0126049868766404"/>
              <c:y val="0.2026160555688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3976440"/>
        <c:crosses val="autoZero"/>
        <c:crossBetween val="midCat"/>
        <c:majorUnit val="1.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5000136239337"/>
          <c:y val="0.0655023230722978"/>
          <c:w val="0.839286629035545"/>
          <c:h val="0.820962449172799"/>
        </c:manualLayout>
      </c:layout>
      <c:scatterChart>
        <c:scatterStyle val="lineMarker"/>
        <c:varyColors val="0"/>
        <c:ser>
          <c:idx val="5"/>
          <c:order val="0"/>
          <c:tx>
            <c:v>Vindeln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Vaccinium_myrtillus_abundance!$B$137:$B$166</c:f>
              <c:numCache>
                <c:formatCode>m/d/yy</c:formatCode>
                <c:ptCount val="30"/>
                <c:pt idx="0">
                  <c:v>41054.0</c:v>
                </c:pt>
                <c:pt idx="1">
                  <c:v>41060.0</c:v>
                </c:pt>
                <c:pt idx="2">
                  <c:v>41067.0</c:v>
                </c:pt>
                <c:pt idx="3">
                  <c:v>41072.0</c:v>
                </c:pt>
                <c:pt idx="4">
                  <c:v>41079.0</c:v>
                </c:pt>
                <c:pt idx="5">
                  <c:v>41088.0</c:v>
                </c:pt>
                <c:pt idx="6">
                  <c:v>41101.0</c:v>
                </c:pt>
                <c:pt idx="7">
                  <c:v>41107.0</c:v>
                </c:pt>
                <c:pt idx="8">
                  <c:v>41114.0</c:v>
                </c:pt>
                <c:pt idx="9">
                  <c:v>41121.0</c:v>
                </c:pt>
                <c:pt idx="10">
                  <c:v>41128.0</c:v>
                </c:pt>
                <c:pt idx="11">
                  <c:v>41134.0</c:v>
                </c:pt>
                <c:pt idx="12">
                  <c:v>41141.0</c:v>
                </c:pt>
                <c:pt idx="13">
                  <c:v>41149.0</c:v>
                </c:pt>
                <c:pt idx="14">
                  <c:v>41155.0</c:v>
                </c:pt>
                <c:pt idx="15">
                  <c:v>41162.0</c:v>
                </c:pt>
                <c:pt idx="16">
                  <c:v>41170.0</c:v>
                </c:pt>
                <c:pt idx="17">
                  <c:v>41176.0</c:v>
                </c:pt>
                <c:pt idx="18">
                  <c:v>41185.0</c:v>
                </c:pt>
                <c:pt idx="19">
                  <c:v>41192.0</c:v>
                </c:pt>
                <c:pt idx="20">
                  <c:v>41197.0</c:v>
                </c:pt>
              </c:numCache>
            </c:numRef>
          </c:xVal>
          <c:yVal>
            <c:numRef>
              <c:f>Vaccinium_myrtillus_abundance!$AK$137:$AK$166</c:f>
              <c:numCache>
                <c:formatCode>0.0</c:formatCode>
                <c:ptCount val="30"/>
                <c:pt idx="0">
                  <c:v>0.0</c:v>
                </c:pt>
                <c:pt idx="1">
                  <c:v>0.2</c:v>
                </c:pt>
                <c:pt idx="2">
                  <c:v>31.6</c:v>
                </c:pt>
                <c:pt idx="3">
                  <c:v>86.6</c:v>
                </c:pt>
                <c:pt idx="4">
                  <c:v>91.4</c:v>
                </c:pt>
                <c:pt idx="5">
                  <c:v>86.2</c:v>
                </c:pt>
                <c:pt idx="6">
                  <c:v>64.8</c:v>
                </c:pt>
                <c:pt idx="7">
                  <c:v>59.4</c:v>
                </c:pt>
                <c:pt idx="8">
                  <c:v>53.4</c:v>
                </c:pt>
                <c:pt idx="9">
                  <c:v>49.1</c:v>
                </c:pt>
                <c:pt idx="10">
                  <c:v>44.1</c:v>
                </c:pt>
                <c:pt idx="11">
                  <c:v>39.7</c:v>
                </c:pt>
                <c:pt idx="12">
                  <c:v>35.1</c:v>
                </c:pt>
                <c:pt idx="13">
                  <c:v>28.7</c:v>
                </c:pt>
                <c:pt idx="14">
                  <c:v>25.5</c:v>
                </c:pt>
                <c:pt idx="15">
                  <c:v>23.6</c:v>
                </c:pt>
                <c:pt idx="16">
                  <c:v>19.9</c:v>
                </c:pt>
                <c:pt idx="17">
                  <c:v>18.1</c:v>
                </c:pt>
                <c:pt idx="18">
                  <c:v>14.3</c:v>
                </c:pt>
                <c:pt idx="19">
                  <c:v>13.3</c:v>
                </c:pt>
                <c:pt idx="20">
                  <c:v>11.8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0"/>
          <c:order val="1"/>
          <c:tx>
            <c:v>Umeå</c:v>
          </c:tx>
          <c:spPr>
            <a:ln w="9525">
              <a:solidFill>
                <a:srgbClr val="0000FF"/>
              </a:solidFill>
            </a:ln>
          </c:spPr>
          <c:marker>
            <c:symbol val="diamond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Vaccinium_myrtillus_abundance!$B$107:$B$135</c:f>
              <c:numCache>
                <c:formatCode>m/d/yy</c:formatCode>
                <c:ptCount val="29"/>
                <c:pt idx="0">
                  <c:v>41064.0</c:v>
                </c:pt>
                <c:pt idx="1">
                  <c:v>41072.0</c:v>
                </c:pt>
                <c:pt idx="2">
                  <c:v>41078.0</c:v>
                </c:pt>
              </c:numCache>
            </c:numRef>
          </c:xVal>
          <c:yVal>
            <c:numRef>
              <c:f>Vaccinium_myrtillus_abundance!$AK$106:$AK$135</c:f>
              <c:numCache>
                <c:formatCode>0.0</c:formatCode>
                <c:ptCount val="30"/>
                <c:pt idx="0">
                  <c:v>50.5</c:v>
                </c:pt>
                <c:pt idx="1">
                  <c:v>82.60000000000001</c:v>
                </c:pt>
                <c:pt idx="2">
                  <c:v>59.0</c:v>
                </c:pt>
                <c:pt idx="3">
                  <c:v>53.2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4"/>
          <c:order val="2"/>
          <c:tx>
            <c:v>Siljansfors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triangle"/>
            <c:size val="4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Vaccinium_myrtillus_abundance!$B$44:$B$73</c:f>
              <c:numCache>
                <c:formatCode>m/d/yy</c:formatCode>
                <c:ptCount val="30"/>
                <c:pt idx="1">
                  <c:v>41050.0</c:v>
                </c:pt>
                <c:pt idx="2">
                  <c:v>41054.0</c:v>
                </c:pt>
                <c:pt idx="3">
                  <c:v>41061.0</c:v>
                </c:pt>
                <c:pt idx="4">
                  <c:v>41067.0</c:v>
                </c:pt>
                <c:pt idx="5">
                  <c:v>41075.0</c:v>
                </c:pt>
                <c:pt idx="6">
                  <c:v>41086.0</c:v>
                </c:pt>
                <c:pt idx="7">
                  <c:v>41098.0</c:v>
                </c:pt>
                <c:pt idx="8">
                  <c:v>41105.0</c:v>
                </c:pt>
                <c:pt idx="9">
                  <c:v>41113.0</c:v>
                </c:pt>
                <c:pt idx="10">
                  <c:v>41120.0</c:v>
                </c:pt>
                <c:pt idx="11">
                  <c:v>41127.0</c:v>
                </c:pt>
                <c:pt idx="12">
                  <c:v>41134.0</c:v>
                </c:pt>
                <c:pt idx="13">
                  <c:v>41141.0</c:v>
                </c:pt>
                <c:pt idx="14">
                  <c:v>41150.0</c:v>
                </c:pt>
                <c:pt idx="15">
                  <c:v>41158.0</c:v>
                </c:pt>
              </c:numCache>
            </c:numRef>
          </c:xVal>
          <c:yVal>
            <c:numRef>
              <c:f>Vaccinium_myrtillus_abundance!$AK$44:$AK$73</c:f>
              <c:numCache>
                <c:formatCode>0.0</c:formatCode>
                <c:ptCount val="30"/>
                <c:pt idx="0">
                  <c:v>0.0</c:v>
                </c:pt>
                <c:pt idx="1">
                  <c:v>1.0</c:v>
                </c:pt>
                <c:pt idx="2">
                  <c:v>87.5</c:v>
                </c:pt>
                <c:pt idx="3">
                  <c:v>99.69999999999998</c:v>
                </c:pt>
                <c:pt idx="4">
                  <c:v>105.6</c:v>
                </c:pt>
                <c:pt idx="5">
                  <c:v>89.0</c:v>
                </c:pt>
                <c:pt idx="6">
                  <c:v>46.3</c:v>
                </c:pt>
                <c:pt idx="7">
                  <c:v>50.1</c:v>
                </c:pt>
                <c:pt idx="8">
                  <c:v>45.6</c:v>
                </c:pt>
                <c:pt idx="9">
                  <c:v>40.6</c:v>
                </c:pt>
                <c:pt idx="10">
                  <c:v>33.9</c:v>
                </c:pt>
                <c:pt idx="11">
                  <c:v>30.9</c:v>
                </c:pt>
                <c:pt idx="12">
                  <c:v>28.5</c:v>
                </c:pt>
                <c:pt idx="13">
                  <c:v>26.9</c:v>
                </c:pt>
                <c:pt idx="14">
                  <c:v>21.1</c:v>
                </c:pt>
                <c:pt idx="15">
                  <c:v>17.8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2"/>
          <c:order val="3"/>
          <c:tx>
            <c:v>Asa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Vaccinium_myrtillus_abundance!$B$13:$B$42</c:f>
              <c:numCache>
                <c:formatCode>m/d/yy</c:formatCode>
                <c:ptCount val="30"/>
                <c:pt idx="0">
                  <c:v>41043.0</c:v>
                </c:pt>
                <c:pt idx="1">
                  <c:v>41053.0</c:v>
                </c:pt>
                <c:pt idx="2">
                  <c:v>41059.0</c:v>
                </c:pt>
                <c:pt idx="3">
                  <c:v>41068.0</c:v>
                </c:pt>
                <c:pt idx="4">
                  <c:v>41074.0</c:v>
                </c:pt>
                <c:pt idx="5">
                  <c:v>41079.0</c:v>
                </c:pt>
                <c:pt idx="6">
                  <c:v>41088.0</c:v>
                </c:pt>
                <c:pt idx="7">
                  <c:v>41096.0</c:v>
                </c:pt>
                <c:pt idx="8">
                  <c:v>41103.0</c:v>
                </c:pt>
                <c:pt idx="9">
                  <c:v>41110.0</c:v>
                </c:pt>
                <c:pt idx="10">
                  <c:v>41117.0</c:v>
                </c:pt>
                <c:pt idx="11">
                  <c:v>41123.0</c:v>
                </c:pt>
                <c:pt idx="12">
                  <c:v>41130.0</c:v>
                </c:pt>
                <c:pt idx="13">
                  <c:v>41137.0</c:v>
                </c:pt>
                <c:pt idx="14">
                  <c:v>41145.0</c:v>
                </c:pt>
                <c:pt idx="15">
                  <c:v>41152.0</c:v>
                </c:pt>
                <c:pt idx="16">
                  <c:v>41159.0</c:v>
                </c:pt>
                <c:pt idx="17">
                  <c:v>41166.0</c:v>
                </c:pt>
                <c:pt idx="18">
                  <c:v>41172.0</c:v>
                </c:pt>
                <c:pt idx="19">
                  <c:v>41180.0</c:v>
                </c:pt>
                <c:pt idx="20">
                  <c:v>41186.0</c:v>
                </c:pt>
                <c:pt idx="21">
                  <c:v>41193.0</c:v>
                </c:pt>
                <c:pt idx="22">
                  <c:v>41201.0</c:v>
                </c:pt>
              </c:numCache>
            </c:numRef>
          </c:xVal>
          <c:yVal>
            <c:numRef>
              <c:f>Vaccinium_myrtillus_abundance!$AK$13:$AK$42</c:f>
              <c:numCache>
                <c:formatCode>0.0</c:formatCode>
                <c:ptCount val="30"/>
                <c:pt idx="0">
                  <c:v>4.5</c:v>
                </c:pt>
                <c:pt idx="1">
                  <c:v>34.4</c:v>
                </c:pt>
                <c:pt idx="2">
                  <c:v>35.6</c:v>
                </c:pt>
                <c:pt idx="3">
                  <c:v>30.7</c:v>
                </c:pt>
                <c:pt idx="4">
                  <c:v>34.3</c:v>
                </c:pt>
                <c:pt idx="5">
                  <c:v>30.1</c:v>
                </c:pt>
                <c:pt idx="6">
                  <c:v>25.1</c:v>
                </c:pt>
                <c:pt idx="7">
                  <c:v>21.2</c:v>
                </c:pt>
                <c:pt idx="8">
                  <c:v>22.7</c:v>
                </c:pt>
                <c:pt idx="9">
                  <c:v>17.9</c:v>
                </c:pt>
                <c:pt idx="10">
                  <c:v>19.0</c:v>
                </c:pt>
                <c:pt idx="11">
                  <c:v>16.6</c:v>
                </c:pt>
                <c:pt idx="12">
                  <c:v>10.5</c:v>
                </c:pt>
                <c:pt idx="13">
                  <c:v>9.3</c:v>
                </c:pt>
                <c:pt idx="14">
                  <c:v>8.7</c:v>
                </c:pt>
                <c:pt idx="15">
                  <c:v>6.4</c:v>
                </c:pt>
                <c:pt idx="16">
                  <c:v>4.4</c:v>
                </c:pt>
                <c:pt idx="17">
                  <c:v>4.0</c:v>
                </c:pt>
                <c:pt idx="18">
                  <c:v>2.7</c:v>
                </c:pt>
                <c:pt idx="19">
                  <c:v>2.2</c:v>
                </c:pt>
                <c:pt idx="20">
                  <c:v>0.9</c:v>
                </c:pt>
                <c:pt idx="21">
                  <c:v>0.2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1"/>
          <c:order val="4"/>
          <c:tx>
            <c:v>Tönnersjöheden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Vaccinium_myrtillus_abundance!$B$75:$B$104</c:f>
              <c:numCache>
                <c:formatCode>m/d/yy</c:formatCode>
                <c:ptCount val="30"/>
                <c:pt idx="0">
                  <c:v>41022.0</c:v>
                </c:pt>
                <c:pt idx="1">
                  <c:v>41026.0</c:v>
                </c:pt>
                <c:pt idx="2">
                  <c:v>41031.0</c:v>
                </c:pt>
                <c:pt idx="3">
                  <c:v>41036.0</c:v>
                </c:pt>
                <c:pt idx="4">
                  <c:v>41039.0</c:v>
                </c:pt>
                <c:pt idx="5">
                  <c:v>41044.0</c:v>
                </c:pt>
                <c:pt idx="6">
                  <c:v>41053.0</c:v>
                </c:pt>
                <c:pt idx="7">
                  <c:v>41059.0</c:v>
                </c:pt>
                <c:pt idx="8">
                  <c:v>41073.0</c:v>
                </c:pt>
                <c:pt idx="9">
                  <c:v>41092.0</c:v>
                </c:pt>
              </c:numCache>
            </c:numRef>
          </c:xVal>
          <c:yVal>
            <c:numRef>
              <c:f>Vaccinium_myrtillus_abundance!$AK$75:$AK$104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0.9</c:v>
                </c:pt>
                <c:pt idx="4">
                  <c:v>15.6</c:v>
                </c:pt>
                <c:pt idx="5">
                  <c:v>39.4</c:v>
                </c:pt>
                <c:pt idx="6">
                  <c:v>39.1</c:v>
                </c:pt>
                <c:pt idx="7">
                  <c:v>29.8</c:v>
                </c:pt>
                <c:pt idx="8">
                  <c:v>33.5</c:v>
                </c:pt>
                <c:pt idx="9">
                  <c:v>33.5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20360216"/>
        <c:axId val="-2121004968"/>
      </c:scatterChart>
      <c:valAx>
        <c:axId val="-2120360216"/>
        <c:scaling>
          <c:orientation val="minMax"/>
          <c:min val="41000.0"/>
        </c:scaling>
        <c:delete val="0"/>
        <c:axPos val="b"/>
        <c:numFmt formatCode="d\/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21004968"/>
        <c:crosses val="autoZero"/>
        <c:crossBetween val="midCat"/>
        <c:majorUnit val="14.0"/>
      </c:valAx>
      <c:valAx>
        <c:axId val="-2121004968"/>
        <c:scaling>
          <c:orientation val="minMax"/>
          <c:min val="0.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Totalt antal blommor/bär</a:t>
                </a:r>
              </a:p>
            </c:rich>
          </c:tx>
          <c:layout>
            <c:manualLayout>
              <c:xMode val="edge"/>
              <c:yMode val="edge"/>
              <c:x val="0.015625"/>
              <c:y val="0.21834117025124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20360216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4642857142857"/>
          <c:y val="0.0742049469964664"/>
          <c:w val="0.280357142857143"/>
          <c:h val="0.34628975265017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sv-SE"/>
              <a:t>Siljansfors</a:t>
            </a:r>
          </a:p>
        </c:rich>
      </c:tx>
      <c:layout>
        <c:manualLayout>
          <c:xMode val="edge"/>
          <c:yMode val="edge"/>
          <c:x val="0.439732611548556"/>
          <c:y val="0.0391304715942765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07264499407"/>
          <c:y val="0.143478260869565"/>
          <c:w val="0.852679500775505"/>
          <c:h val="0.743478260869566"/>
        </c:manualLayout>
      </c:layout>
      <c:scatterChart>
        <c:scatterStyle val="lineMarker"/>
        <c:varyColors val="0"/>
        <c:ser>
          <c:idx val="5"/>
          <c:order val="0"/>
          <c:tx>
            <c:strRef>
              <c:f>Vaccinium_myrtillus_abundance!$AH$43</c:f>
              <c:strCache>
                <c:ptCount val="1"/>
                <c:pt idx="0">
                  <c:v>Blom</c:v>
                </c:pt>
              </c:strCache>
            </c:strRef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Vaccinium_myrtillus_abundance!$B$44:$B$73</c:f>
              <c:numCache>
                <c:formatCode>m/d/yy</c:formatCode>
                <c:ptCount val="30"/>
                <c:pt idx="1">
                  <c:v>41050.0</c:v>
                </c:pt>
                <c:pt idx="2">
                  <c:v>41054.0</c:v>
                </c:pt>
                <c:pt idx="3">
                  <c:v>41061.0</c:v>
                </c:pt>
                <c:pt idx="4">
                  <c:v>41067.0</c:v>
                </c:pt>
                <c:pt idx="5">
                  <c:v>41075.0</c:v>
                </c:pt>
                <c:pt idx="6">
                  <c:v>41086.0</c:v>
                </c:pt>
                <c:pt idx="7">
                  <c:v>41098.0</c:v>
                </c:pt>
                <c:pt idx="8">
                  <c:v>41105.0</c:v>
                </c:pt>
                <c:pt idx="9">
                  <c:v>41113.0</c:v>
                </c:pt>
                <c:pt idx="10">
                  <c:v>41120.0</c:v>
                </c:pt>
                <c:pt idx="11">
                  <c:v>41127.0</c:v>
                </c:pt>
                <c:pt idx="12">
                  <c:v>41134.0</c:v>
                </c:pt>
                <c:pt idx="13">
                  <c:v>41141.0</c:v>
                </c:pt>
                <c:pt idx="14">
                  <c:v>41150.0</c:v>
                </c:pt>
                <c:pt idx="15">
                  <c:v>41158.0</c:v>
                </c:pt>
              </c:numCache>
            </c:numRef>
          </c:xVal>
          <c:yVal>
            <c:numRef>
              <c:f>Vaccinium_myrtillus_abundance!$AH$44:$AH$73</c:f>
              <c:numCache>
                <c:formatCode>0.0</c:formatCode>
                <c:ptCount val="30"/>
                <c:pt idx="0">
                  <c:v>0.0</c:v>
                </c:pt>
                <c:pt idx="1">
                  <c:v>1.0</c:v>
                </c:pt>
                <c:pt idx="2">
                  <c:v>87.5</c:v>
                </c:pt>
                <c:pt idx="3">
                  <c:v>74.3</c:v>
                </c:pt>
                <c:pt idx="4">
                  <c:v>29.7</c:v>
                </c:pt>
                <c:pt idx="5">
                  <c:v>2.3</c:v>
                </c:pt>
                <c:pt idx="6">
                  <c:v>0.1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4"/>
          <c:order val="1"/>
          <c:tx>
            <c:strRef>
              <c:f>Vaccinium_myrtillus_abundance!$AI$43</c:f>
              <c:strCache>
                <c:ptCount val="1"/>
                <c:pt idx="0">
                  <c:v>Kart</c:v>
                </c:pt>
              </c:strCache>
            </c:strRef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triangle"/>
            <c:size val="4"/>
            <c:spPr>
              <a:solidFill>
                <a:srgbClr val="FFFFFF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Vaccinium_myrtillus_abundance!$B$44:$B$73</c:f>
              <c:numCache>
                <c:formatCode>m/d/yy</c:formatCode>
                <c:ptCount val="30"/>
                <c:pt idx="1">
                  <c:v>41050.0</c:v>
                </c:pt>
                <c:pt idx="2">
                  <c:v>41054.0</c:v>
                </c:pt>
                <c:pt idx="3">
                  <c:v>41061.0</c:v>
                </c:pt>
                <c:pt idx="4">
                  <c:v>41067.0</c:v>
                </c:pt>
                <c:pt idx="5">
                  <c:v>41075.0</c:v>
                </c:pt>
                <c:pt idx="6">
                  <c:v>41086.0</c:v>
                </c:pt>
                <c:pt idx="7">
                  <c:v>41098.0</c:v>
                </c:pt>
                <c:pt idx="8">
                  <c:v>41105.0</c:v>
                </c:pt>
                <c:pt idx="9">
                  <c:v>41113.0</c:v>
                </c:pt>
                <c:pt idx="10">
                  <c:v>41120.0</c:v>
                </c:pt>
                <c:pt idx="11">
                  <c:v>41127.0</c:v>
                </c:pt>
                <c:pt idx="12">
                  <c:v>41134.0</c:v>
                </c:pt>
                <c:pt idx="13">
                  <c:v>41141.0</c:v>
                </c:pt>
                <c:pt idx="14">
                  <c:v>41150.0</c:v>
                </c:pt>
                <c:pt idx="15">
                  <c:v>41158.0</c:v>
                </c:pt>
              </c:numCache>
            </c:numRef>
          </c:xVal>
          <c:yVal>
            <c:numRef>
              <c:f>Vaccinium_myrtillus_abundance!$AI$44:$AI$73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25.4</c:v>
                </c:pt>
                <c:pt idx="4">
                  <c:v>75.9</c:v>
                </c:pt>
                <c:pt idx="5">
                  <c:v>86.7</c:v>
                </c:pt>
                <c:pt idx="6">
                  <c:v>46.2</c:v>
                </c:pt>
                <c:pt idx="7">
                  <c:v>50.1</c:v>
                </c:pt>
                <c:pt idx="8">
                  <c:v>44.7</c:v>
                </c:pt>
                <c:pt idx="9">
                  <c:v>31.5</c:v>
                </c:pt>
                <c:pt idx="10">
                  <c:v>6.2</c:v>
                </c:pt>
                <c:pt idx="11">
                  <c:v>2.4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Vaccinium_myrtillus_abundance!$AJ$43</c:f>
              <c:strCache>
                <c:ptCount val="1"/>
                <c:pt idx="0">
                  <c:v>Bär</c:v>
                </c:pt>
              </c:strCache>
            </c:strRef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Vaccinium_myrtillus_abundance!$B$44:$B$73</c:f>
              <c:numCache>
                <c:formatCode>m/d/yy</c:formatCode>
                <c:ptCount val="30"/>
                <c:pt idx="1">
                  <c:v>41050.0</c:v>
                </c:pt>
                <c:pt idx="2">
                  <c:v>41054.0</c:v>
                </c:pt>
                <c:pt idx="3">
                  <c:v>41061.0</c:v>
                </c:pt>
                <c:pt idx="4">
                  <c:v>41067.0</c:v>
                </c:pt>
                <c:pt idx="5">
                  <c:v>41075.0</c:v>
                </c:pt>
                <c:pt idx="6">
                  <c:v>41086.0</c:v>
                </c:pt>
                <c:pt idx="7">
                  <c:v>41098.0</c:v>
                </c:pt>
                <c:pt idx="8">
                  <c:v>41105.0</c:v>
                </c:pt>
                <c:pt idx="9">
                  <c:v>41113.0</c:v>
                </c:pt>
                <c:pt idx="10">
                  <c:v>41120.0</c:v>
                </c:pt>
                <c:pt idx="11">
                  <c:v>41127.0</c:v>
                </c:pt>
                <c:pt idx="12">
                  <c:v>41134.0</c:v>
                </c:pt>
                <c:pt idx="13">
                  <c:v>41141.0</c:v>
                </c:pt>
                <c:pt idx="14">
                  <c:v>41150.0</c:v>
                </c:pt>
                <c:pt idx="15">
                  <c:v>41158.0</c:v>
                </c:pt>
              </c:numCache>
            </c:numRef>
          </c:xVal>
          <c:yVal>
            <c:numRef>
              <c:f>Vaccinium_myrtillus_abundance!$AJ$44:$AJ$73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0.9</c:v>
                </c:pt>
                <c:pt idx="9">
                  <c:v>9.1</c:v>
                </c:pt>
                <c:pt idx="10">
                  <c:v>27.7</c:v>
                </c:pt>
                <c:pt idx="11">
                  <c:v>28.5</c:v>
                </c:pt>
                <c:pt idx="12">
                  <c:v>28.5</c:v>
                </c:pt>
                <c:pt idx="13">
                  <c:v>26.9</c:v>
                </c:pt>
                <c:pt idx="14">
                  <c:v>21.1</c:v>
                </c:pt>
                <c:pt idx="15">
                  <c:v>17.8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2001800"/>
        <c:axId val="-2117974984"/>
      </c:scatterChart>
      <c:valAx>
        <c:axId val="-2132001800"/>
        <c:scaling>
          <c:orientation val="minMax"/>
          <c:min val="41000.0"/>
        </c:scaling>
        <c:delete val="0"/>
        <c:axPos val="b"/>
        <c:numFmt formatCode="d\/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7974984"/>
        <c:crosses val="autoZero"/>
        <c:crossBetween val="midCat"/>
        <c:majorUnit val="14.0"/>
      </c:valAx>
      <c:valAx>
        <c:axId val="-2117974984"/>
        <c:scaling>
          <c:orientation val="minMax"/>
          <c:min val="0.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Antal blommor/bär</a:t>
                </a:r>
              </a:p>
            </c:rich>
          </c:tx>
          <c:layout>
            <c:manualLayout>
              <c:xMode val="edge"/>
              <c:yMode val="edge"/>
              <c:x val="0.015625"/>
              <c:y val="0.31739141478283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32001800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1428571428573"/>
          <c:y val="0.158064516129032"/>
          <c:w val="0.133928571428571"/>
          <c:h val="0.22903225806451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sv-SE"/>
              <a:t>Tönnersjöheden</a:t>
            </a:r>
          </a:p>
        </c:rich>
      </c:tx>
      <c:layout>
        <c:manualLayout>
          <c:xMode val="edge"/>
          <c:yMode val="edge"/>
          <c:x val="0.408482611548563"/>
          <c:y val="0.0391304715942765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37511920942"/>
          <c:y val="0.143478260869565"/>
          <c:w val="0.857143791355451"/>
          <c:h val="0.743478260869566"/>
        </c:manualLayout>
      </c:layout>
      <c:scatterChart>
        <c:scatterStyle val="lineMarker"/>
        <c:varyColors val="0"/>
        <c:ser>
          <c:idx val="5"/>
          <c:order val="0"/>
          <c:tx>
            <c:strRef>
              <c:f>Vaccinium_myrtillus_abundance!$AH$43</c:f>
              <c:strCache>
                <c:ptCount val="1"/>
                <c:pt idx="0">
                  <c:v>Blom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Vaccinium_myrtillus_abundance!$B$75:$B$104</c:f>
              <c:numCache>
                <c:formatCode>m/d/yy</c:formatCode>
                <c:ptCount val="30"/>
                <c:pt idx="0">
                  <c:v>41022.0</c:v>
                </c:pt>
                <c:pt idx="1">
                  <c:v>41026.0</c:v>
                </c:pt>
                <c:pt idx="2">
                  <c:v>41031.0</c:v>
                </c:pt>
                <c:pt idx="3">
                  <c:v>41036.0</c:v>
                </c:pt>
                <c:pt idx="4">
                  <c:v>41039.0</c:v>
                </c:pt>
                <c:pt idx="5">
                  <c:v>41044.0</c:v>
                </c:pt>
                <c:pt idx="6">
                  <c:v>41053.0</c:v>
                </c:pt>
                <c:pt idx="7">
                  <c:v>41059.0</c:v>
                </c:pt>
                <c:pt idx="8">
                  <c:v>41073.0</c:v>
                </c:pt>
                <c:pt idx="9">
                  <c:v>41092.0</c:v>
                </c:pt>
              </c:numCache>
            </c:numRef>
          </c:xVal>
          <c:yVal>
            <c:numRef>
              <c:f>Vaccinium_myrtillus_abundance!$AH$75:$AH$104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0.9</c:v>
                </c:pt>
                <c:pt idx="4">
                  <c:v>15.6</c:v>
                </c:pt>
                <c:pt idx="5">
                  <c:v>39.4</c:v>
                </c:pt>
                <c:pt idx="6">
                  <c:v>15.6</c:v>
                </c:pt>
                <c:pt idx="7">
                  <c:v>2.2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4"/>
          <c:order val="1"/>
          <c:tx>
            <c:strRef>
              <c:f>Vaccinium_myrtillus_abundance!$AI$43</c:f>
              <c:strCache>
                <c:ptCount val="1"/>
                <c:pt idx="0">
                  <c:v>Kart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4"/>
            <c:spPr>
              <a:solidFill>
                <a:srgbClr val="FFFFFF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Vaccinium_myrtillus_abundance!$B$75:$B$104</c:f>
              <c:numCache>
                <c:formatCode>m/d/yy</c:formatCode>
                <c:ptCount val="30"/>
                <c:pt idx="0">
                  <c:v>41022.0</c:v>
                </c:pt>
                <c:pt idx="1">
                  <c:v>41026.0</c:v>
                </c:pt>
                <c:pt idx="2">
                  <c:v>41031.0</c:v>
                </c:pt>
                <c:pt idx="3">
                  <c:v>41036.0</c:v>
                </c:pt>
                <c:pt idx="4">
                  <c:v>41039.0</c:v>
                </c:pt>
                <c:pt idx="5">
                  <c:v>41044.0</c:v>
                </c:pt>
                <c:pt idx="6">
                  <c:v>41053.0</c:v>
                </c:pt>
                <c:pt idx="7">
                  <c:v>41059.0</c:v>
                </c:pt>
                <c:pt idx="8">
                  <c:v>41073.0</c:v>
                </c:pt>
                <c:pt idx="9">
                  <c:v>41092.0</c:v>
                </c:pt>
              </c:numCache>
            </c:numRef>
          </c:xVal>
          <c:yVal>
            <c:numRef>
              <c:f>Vaccinium_myrtillus_abundance!$AI$75:$AI$104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23.5</c:v>
                </c:pt>
                <c:pt idx="7">
                  <c:v>27.6</c:v>
                </c:pt>
                <c:pt idx="8">
                  <c:v>33.5</c:v>
                </c:pt>
                <c:pt idx="9">
                  <c:v>33.5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Vaccinium_myrtillus_abundance!$AJ$43</c:f>
              <c:strCache>
                <c:ptCount val="1"/>
                <c:pt idx="0">
                  <c:v>Bär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Vaccinium_myrtillus_abundance!$B$75:$B$104</c:f>
              <c:numCache>
                <c:formatCode>m/d/yy</c:formatCode>
                <c:ptCount val="30"/>
                <c:pt idx="0">
                  <c:v>41022.0</c:v>
                </c:pt>
                <c:pt idx="1">
                  <c:v>41026.0</c:v>
                </c:pt>
                <c:pt idx="2">
                  <c:v>41031.0</c:v>
                </c:pt>
                <c:pt idx="3">
                  <c:v>41036.0</c:v>
                </c:pt>
                <c:pt idx="4">
                  <c:v>41039.0</c:v>
                </c:pt>
                <c:pt idx="5">
                  <c:v>41044.0</c:v>
                </c:pt>
                <c:pt idx="6">
                  <c:v>41053.0</c:v>
                </c:pt>
                <c:pt idx="7">
                  <c:v>41059.0</c:v>
                </c:pt>
                <c:pt idx="8">
                  <c:v>41073.0</c:v>
                </c:pt>
                <c:pt idx="9">
                  <c:v>41092.0</c:v>
                </c:pt>
              </c:numCache>
            </c:numRef>
          </c:xVal>
          <c:yVal>
            <c:numRef>
              <c:f>Vaccinium_myrtillus_abundance!$AJ$75:$AJ$104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4306184"/>
        <c:axId val="-2114228296"/>
      </c:scatterChart>
      <c:valAx>
        <c:axId val="-2114306184"/>
        <c:scaling>
          <c:orientation val="minMax"/>
          <c:min val="41000.0"/>
        </c:scaling>
        <c:delete val="0"/>
        <c:axPos val="b"/>
        <c:numFmt formatCode="d\/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4228296"/>
        <c:crosses val="autoZero"/>
        <c:crossBetween val="midCat"/>
        <c:majorUnit val="14.0"/>
      </c:valAx>
      <c:valAx>
        <c:axId val="-2114228296"/>
        <c:scaling>
          <c:orientation val="minMax"/>
          <c:min val="0.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Antal blommor/bär</a:t>
                </a:r>
              </a:p>
            </c:rich>
          </c:tx>
          <c:layout>
            <c:manualLayout>
              <c:xMode val="edge"/>
              <c:yMode val="edge"/>
              <c:x val="0.0133928571428574"/>
              <c:y val="0.31739141478283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4306184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2857142857146"/>
          <c:y val="0.164516129032258"/>
          <c:w val="0.130357142857145"/>
          <c:h val="0.1903225806451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sv-SE"/>
              <a:t>Umeå</a:t>
            </a:r>
          </a:p>
        </c:rich>
      </c:tx>
      <c:layout>
        <c:manualLayout>
          <c:xMode val="edge"/>
          <c:yMode val="edge"/>
          <c:x val="0.455357611548556"/>
          <c:y val="0.0391304715942765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37511920942"/>
          <c:y val="0.143478260869565"/>
          <c:w val="0.857143791355451"/>
          <c:h val="0.743478260869566"/>
        </c:manualLayout>
      </c:layout>
      <c:scatterChart>
        <c:scatterStyle val="lineMarker"/>
        <c:varyColors val="0"/>
        <c:ser>
          <c:idx val="5"/>
          <c:order val="0"/>
          <c:tx>
            <c:strRef>
              <c:f>Vaccinium_myrtillus_abundance!$AH$105</c:f>
              <c:strCache>
                <c:ptCount val="1"/>
                <c:pt idx="0">
                  <c:v>Blom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Vaccinium_myrtillus_abundance!$B$106:$B$135</c:f>
              <c:numCache>
                <c:formatCode>m/d/yy</c:formatCode>
                <c:ptCount val="30"/>
                <c:pt idx="0">
                  <c:v>41057.0</c:v>
                </c:pt>
                <c:pt idx="1">
                  <c:v>41064.0</c:v>
                </c:pt>
                <c:pt idx="2">
                  <c:v>41072.0</c:v>
                </c:pt>
                <c:pt idx="3">
                  <c:v>41078.0</c:v>
                </c:pt>
              </c:numCache>
            </c:numRef>
          </c:xVal>
          <c:yVal>
            <c:numRef>
              <c:f>Vaccinium_myrtillus_abundance!$AH$106:$AH$135</c:f>
              <c:numCache>
                <c:formatCode>0.0</c:formatCode>
                <c:ptCount val="30"/>
                <c:pt idx="0">
                  <c:v>50.5</c:v>
                </c:pt>
                <c:pt idx="1">
                  <c:v>76.9</c:v>
                </c:pt>
                <c:pt idx="2">
                  <c:v>10.4</c:v>
                </c:pt>
                <c:pt idx="3">
                  <c:v>0.2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4"/>
          <c:order val="1"/>
          <c:tx>
            <c:strRef>
              <c:f>Vaccinium_myrtillus_abundance!$AI$105</c:f>
              <c:strCache>
                <c:ptCount val="1"/>
                <c:pt idx="0">
                  <c:v>Kart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4"/>
            <c:spPr>
              <a:solidFill>
                <a:srgbClr val="FF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Vaccinium_myrtillus_abundance!$B$106:$B$135</c:f>
              <c:numCache>
                <c:formatCode>m/d/yy</c:formatCode>
                <c:ptCount val="30"/>
                <c:pt idx="0">
                  <c:v>41057.0</c:v>
                </c:pt>
                <c:pt idx="1">
                  <c:v>41064.0</c:v>
                </c:pt>
                <c:pt idx="2">
                  <c:v>41072.0</c:v>
                </c:pt>
                <c:pt idx="3">
                  <c:v>41078.0</c:v>
                </c:pt>
              </c:numCache>
            </c:numRef>
          </c:xVal>
          <c:yVal>
            <c:numRef>
              <c:f>Vaccinium_myrtillus_abundance!$AI$106:$AI$135</c:f>
              <c:numCache>
                <c:formatCode>0.0</c:formatCode>
                <c:ptCount val="30"/>
                <c:pt idx="0">
                  <c:v>0.0</c:v>
                </c:pt>
                <c:pt idx="1">
                  <c:v>5.7</c:v>
                </c:pt>
                <c:pt idx="2">
                  <c:v>48.6</c:v>
                </c:pt>
                <c:pt idx="3">
                  <c:v>53.0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Vaccinium_myrtillus_abundance!$AJ$105</c:f>
              <c:strCache>
                <c:ptCount val="1"/>
                <c:pt idx="0">
                  <c:v>Bär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Vaccinium_myrtillus_abundance!$B$106:$B$135</c:f>
              <c:numCache>
                <c:formatCode>m/d/yy</c:formatCode>
                <c:ptCount val="30"/>
                <c:pt idx="0">
                  <c:v>41057.0</c:v>
                </c:pt>
                <c:pt idx="1">
                  <c:v>41064.0</c:v>
                </c:pt>
                <c:pt idx="2">
                  <c:v>41072.0</c:v>
                </c:pt>
                <c:pt idx="3">
                  <c:v>41078.0</c:v>
                </c:pt>
              </c:numCache>
            </c:numRef>
          </c:xVal>
          <c:yVal>
            <c:numRef>
              <c:f>Vaccinium_myrtillus_abundance!$AJ$106:$AJ$135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4251288"/>
        <c:axId val="-2114245496"/>
      </c:scatterChart>
      <c:valAx>
        <c:axId val="-2114251288"/>
        <c:scaling>
          <c:orientation val="minMax"/>
          <c:min val="41000.0"/>
        </c:scaling>
        <c:delete val="0"/>
        <c:axPos val="b"/>
        <c:numFmt formatCode="d\/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4245496"/>
        <c:crosses val="autoZero"/>
        <c:crossBetween val="midCat"/>
        <c:majorUnit val="14.0"/>
      </c:valAx>
      <c:valAx>
        <c:axId val="-2114245496"/>
        <c:scaling>
          <c:orientation val="minMax"/>
          <c:min val="0.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Antal blommor/bär</a:t>
                </a:r>
              </a:p>
            </c:rich>
          </c:tx>
          <c:layout>
            <c:manualLayout>
              <c:xMode val="edge"/>
              <c:yMode val="edge"/>
              <c:x val="0.0133928571428574"/>
              <c:y val="0.31739141478283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4251288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232142857146"/>
          <c:y val="0.173912877825756"/>
          <c:w val="0.140625"/>
          <c:h val="0.19130429260858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sv-SE"/>
              <a:t>Vindeln</a:t>
            </a:r>
          </a:p>
        </c:rich>
      </c:tx>
      <c:layout>
        <c:manualLayout>
          <c:xMode val="edge"/>
          <c:yMode val="edge"/>
          <c:x val="0.455357611548556"/>
          <c:y val="0.0391304715942765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37511920942"/>
          <c:y val="0.143478260869565"/>
          <c:w val="0.857143791355451"/>
          <c:h val="0.743478260869566"/>
        </c:manualLayout>
      </c:layout>
      <c:scatterChart>
        <c:scatterStyle val="lineMarker"/>
        <c:varyColors val="0"/>
        <c:ser>
          <c:idx val="5"/>
          <c:order val="0"/>
          <c:tx>
            <c:strRef>
              <c:f>Vaccinium_myrtillus_abundance!$AH$136</c:f>
              <c:strCache>
                <c:ptCount val="1"/>
                <c:pt idx="0">
                  <c:v>Blom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Vaccinium_myrtillus_abundance!$B$137:$B$166</c:f>
              <c:numCache>
                <c:formatCode>m/d/yy</c:formatCode>
                <c:ptCount val="30"/>
                <c:pt idx="0">
                  <c:v>41054.0</c:v>
                </c:pt>
                <c:pt idx="1">
                  <c:v>41060.0</c:v>
                </c:pt>
                <c:pt idx="2">
                  <c:v>41067.0</c:v>
                </c:pt>
                <c:pt idx="3">
                  <c:v>41072.0</c:v>
                </c:pt>
                <c:pt idx="4">
                  <c:v>41079.0</c:v>
                </c:pt>
                <c:pt idx="5">
                  <c:v>41088.0</c:v>
                </c:pt>
                <c:pt idx="6">
                  <c:v>41101.0</c:v>
                </c:pt>
                <c:pt idx="7">
                  <c:v>41107.0</c:v>
                </c:pt>
                <c:pt idx="8">
                  <c:v>41114.0</c:v>
                </c:pt>
                <c:pt idx="9">
                  <c:v>41121.0</c:v>
                </c:pt>
                <c:pt idx="10">
                  <c:v>41128.0</c:v>
                </c:pt>
                <c:pt idx="11">
                  <c:v>41134.0</c:v>
                </c:pt>
                <c:pt idx="12">
                  <c:v>41141.0</c:v>
                </c:pt>
                <c:pt idx="13">
                  <c:v>41149.0</c:v>
                </c:pt>
                <c:pt idx="14">
                  <c:v>41155.0</c:v>
                </c:pt>
                <c:pt idx="15">
                  <c:v>41162.0</c:v>
                </c:pt>
                <c:pt idx="16">
                  <c:v>41170.0</c:v>
                </c:pt>
                <c:pt idx="17">
                  <c:v>41176.0</c:v>
                </c:pt>
                <c:pt idx="18">
                  <c:v>41185.0</c:v>
                </c:pt>
                <c:pt idx="19">
                  <c:v>41192.0</c:v>
                </c:pt>
                <c:pt idx="20">
                  <c:v>41197.0</c:v>
                </c:pt>
              </c:numCache>
            </c:numRef>
          </c:xVal>
          <c:yVal>
            <c:numRef>
              <c:f>Vaccinium_myrtillus_abundance!$AH$137:$AH$166</c:f>
              <c:numCache>
                <c:formatCode>0.0</c:formatCode>
                <c:ptCount val="30"/>
                <c:pt idx="0">
                  <c:v>0.0</c:v>
                </c:pt>
                <c:pt idx="1">
                  <c:v>0.2</c:v>
                </c:pt>
                <c:pt idx="2">
                  <c:v>31.6</c:v>
                </c:pt>
                <c:pt idx="3">
                  <c:v>85.8</c:v>
                </c:pt>
                <c:pt idx="4">
                  <c:v>1.0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4"/>
          <c:order val="1"/>
          <c:tx>
            <c:strRef>
              <c:f>Vaccinium_myrtillus_abundance!$AI$136</c:f>
              <c:strCache>
                <c:ptCount val="1"/>
                <c:pt idx="0">
                  <c:v>Kart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triangle"/>
            <c:size val="4"/>
            <c:spPr>
              <a:solidFill>
                <a:srgbClr val="FFFF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Vaccinium_myrtillus_abundance!$B$137:$B$166</c:f>
              <c:numCache>
                <c:formatCode>m/d/yy</c:formatCode>
                <c:ptCount val="30"/>
                <c:pt idx="0">
                  <c:v>41054.0</c:v>
                </c:pt>
                <c:pt idx="1">
                  <c:v>41060.0</c:v>
                </c:pt>
                <c:pt idx="2">
                  <c:v>41067.0</c:v>
                </c:pt>
                <c:pt idx="3">
                  <c:v>41072.0</c:v>
                </c:pt>
                <c:pt idx="4">
                  <c:v>41079.0</c:v>
                </c:pt>
                <c:pt idx="5">
                  <c:v>41088.0</c:v>
                </c:pt>
                <c:pt idx="6">
                  <c:v>41101.0</c:v>
                </c:pt>
                <c:pt idx="7">
                  <c:v>41107.0</c:v>
                </c:pt>
                <c:pt idx="8">
                  <c:v>41114.0</c:v>
                </c:pt>
                <c:pt idx="9">
                  <c:v>41121.0</c:v>
                </c:pt>
                <c:pt idx="10">
                  <c:v>41128.0</c:v>
                </c:pt>
                <c:pt idx="11">
                  <c:v>41134.0</c:v>
                </c:pt>
                <c:pt idx="12">
                  <c:v>41141.0</c:v>
                </c:pt>
                <c:pt idx="13">
                  <c:v>41149.0</c:v>
                </c:pt>
                <c:pt idx="14">
                  <c:v>41155.0</c:v>
                </c:pt>
                <c:pt idx="15">
                  <c:v>41162.0</c:v>
                </c:pt>
                <c:pt idx="16">
                  <c:v>41170.0</c:v>
                </c:pt>
                <c:pt idx="17">
                  <c:v>41176.0</c:v>
                </c:pt>
                <c:pt idx="18">
                  <c:v>41185.0</c:v>
                </c:pt>
                <c:pt idx="19">
                  <c:v>41192.0</c:v>
                </c:pt>
                <c:pt idx="20">
                  <c:v>41197.0</c:v>
                </c:pt>
              </c:numCache>
            </c:numRef>
          </c:xVal>
          <c:yVal>
            <c:numRef>
              <c:f>Vaccinium_myrtillus_abundance!$AI$137:$AI$166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0.8</c:v>
                </c:pt>
                <c:pt idx="4">
                  <c:v>90.4</c:v>
                </c:pt>
                <c:pt idx="5">
                  <c:v>86.2</c:v>
                </c:pt>
                <c:pt idx="6">
                  <c:v>64.8</c:v>
                </c:pt>
                <c:pt idx="7">
                  <c:v>59.4</c:v>
                </c:pt>
                <c:pt idx="8">
                  <c:v>53.4</c:v>
                </c:pt>
                <c:pt idx="9">
                  <c:v>47.2</c:v>
                </c:pt>
                <c:pt idx="10">
                  <c:v>21.3</c:v>
                </c:pt>
                <c:pt idx="11">
                  <c:v>7.4</c:v>
                </c:pt>
                <c:pt idx="12">
                  <c:v>1.4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Vaccinium_myrtillus_abundance!$AJ$136</c:f>
              <c:strCache>
                <c:ptCount val="1"/>
                <c:pt idx="0">
                  <c:v>Bär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Vaccinium_myrtillus_abundance!$B$137:$B$166</c:f>
              <c:numCache>
                <c:formatCode>m/d/yy</c:formatCode>
                <c:ptCount val="30"/>
                <c:pt idx="0">
                  <c:v>41054.0</c:v>
                </c:pt>
                <c:pt idx="1">
                  <c:v>41060.0</c:v>
                </c:pt>
                <c:pt idx="2">
                  <c:v>41067.0</c:v>
                </c:pt>
                <c:pt idx="3">
                  <c:v>41072.0</c:v>
                </c:pt>
                <c:pt idx="4">
                  <c:v>41079.0</c:v>
                </c:pt>
                <c:pt idx="5">
                  <c:v>41088.0</c:v>
                </c:pt>
                <c:pt idx="6">
                  <c:v>41101.0</c:v>
                </c:pt>
                <c:pt idx="7">
                  <c:v>41107.0</c:v>
                </c:pt>
                <c:pt idx="8">
                  <c:v>41114.0</c:v>
                </c:pt>
                <c:pt idx="9">
                  <c:v>41121.0</c:v>
                </c:pt>
                <c:pt idx="10">
                  <c:v>41128.0</c:v>
                </c:pt>
                <c:pt idx="11">
                  <c:v>41134.0</c:v>
                </c:pt>
                <c:pt idx="12">
                  <c:v>41141.0</c:v>
                </c:pt>
                <c:pt idx="13">
                  <c:v>41149.0</c:v>
                </c:pt>
                <c:pt idx="14">
                  <c:v>41155.0</c:v>
                </c:pt>
                <c:pt idx="15">
                  <c:v>41162.0</c:v>
                </c:pt>
                <c:pt idx="16">
                  <c:v>41170.0</c:v>
                </c:pt>
                <c:pt idx="17">
                  <c:v>41176.0</c:v>
                </c:pt>
                <c:pt idx="18">
                  <c:v>41185.0</c:v>
                </c:pt>
                <c:pt idx="19">
                  <c:v>41192.0</c:v>
                </c:pt>
                <c:pt idx="20">
                  <c:v>41197.0</c:v>
                </c:pt>
              </c:numCache>
            </c:numRef>
          </c:xVal>
          <c:yVal>
            <c:numRef>
              <c:f>Vaccinium_myrtillus_abundance!$AJ$137:$AJ$166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1.9</c:v>
                </c:pt>
                <c:pt idx="10">
                  <c:v>22.8</c:v>
                </c:pt>
                <c:pt idx="11">
                  <c:v>32.3</c:v>
                </c:pt>
                <c:pt idx="12">
                  <c:v>33.7</c:v>
                </c:pt>
                <c:pt idx="13">
                  <c:v>28.7</c:v>
                </c:pt>
                <c:pt idx="14">
                  <c:v>25.5</c:v>
                </c:pt>
                <c:pt idx="15">
                  <c:v>23.6</c:v>
                </c:pt>
                <c:pt idx="16">
                  <c:v>19.9</c:v>
                </c:pt>
                <c:pt idx="17">
                  <c:v>18.1</c:v>
                </c:pt>
                <c:pt idx="18">
                  <c:v>14.3</c:v>
                </c:pt>
                <c:pt idx="19">
                  <c:v>13.3</c:v>
                </c:pt>
                <c:pt idx="20">
                  <c:v>11.8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4298024"/>
        <c:axId val="-2114197224"/>
      </c:scatterChart>
      <c:valAx>
        <c:axId val="-2114298024"/>
        <c:scaling>
          <c:orientation val="minMax"/>
          <c:min val="41000.0"/>
        </c:scaling>
        <c:delete val="0"/>
        <c:axPos val="b"/>
        <c:numFmt formatCode="d\/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4197224"/>
        <c:crosses val="autoZero"/>
        <c:crossBetween val="midCat"/>
        <c:majorUnit val="14.0"/>
      </c:valAx>
      <c:valAx>
        <c:axId val="-2114197224"/>
        <c:scaling>
          <c:orientation val="minMax"/>
          <c:min val="0.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Antal blommor/bär</a:t>
                </a:r>
              </a:p>
            </c:rich>
          </c:tx>
          <c:layout>
            <c:manualLayout>
              <c:xMode val="edge"/>
              <c:yMode val="edge"/>
              <c:x val="0.0133928571428574"/>
              <c:y val="0.31739141478283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4298024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51785714285714"/>
          <c:y val="0.164516129032258"/>
          <c:w val="0.139285714285714"/>
          <c:h val="0.1903225806451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sv-SE"/>
              <a:t>Asa</a:t>
            </a:r>
          </a:p>
        </c:rich>
      </c:tx>
      <c:layout>
        <c:manualLayout>
          <c:xMode val="edge"/>
          <c:yMode val="edge"/>
          <c:x val="0.439732611548556"/>
          <c:y val="0.039130545575007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07264499407"/>
          <c:y val="0.143478260869565"/>
          <c:w val="0.852679500775505"/>
          <c:h val="0.743478260869566"/>
        </c:manualLayout>
      </c:layout>
      <c:scatterChart>
        <c:scatterStyle val="lineMarker"/>
        <c:varyColors val="0"/>
        <c:ser>
          <c:idx val="5"/>
          <c:order val="0"/>
          <c:tx>
            <c:strRef>
              <c:f>Vaccinium_myrtillus_abundance!$AH$12</c:f>
              <c:strCache>
                <c:ptCount val="1"/>
                <c:pt idx="0">
                  <c:v>Blom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Vaccinium_myrtillus_abundance!$B$13:$B$42</c:f>
              <c:numCache>
                <c:formatCode>m/d/yy</c:formatCode>
                <c:ptCount val="30"/>
                <c:pt idx="0">
                  <c:v>41043.0</c:v>
                </c:pt>
                <c:pt idx="1">
                  <c:v>41053.0</c:v>
                </c:pt>
                <c:pt idx="2">
                  <c:v>41059.0</c:v>
                </c:pt>
                <c:pt idx="3">
                  <c:v>41068.0</c:v>
                </c:pt>
                <c:pt idx="4">
                  <c:v>41074.0</c:v>
                </c:pt>
                <c:pt idx="5">
                  <c:v>41079.0</c:v>
                </c:pt>
                <c:pt idx="6">
                  <c:v>41088.0</c:v>
                </c:pt>
                <c:pt idx="7">
                  <c:v>41096.0</c:v>
                </c:pt>
                <c:pt idx="8">
                  <c:v>41103.0</c:v>
                </c:pt>
                <c:pt idx="9">
                  <c:v>41110.0</c:v>
                </c:pt>
                <c:pt idx="10">
                  <c:v>41117.0</c:v>
                </c:pt>
                <c:pt idx="11">
                  <c:v>41123.0</c:v>
                </c:pt>
                <c:pt idx="12">
                  <c:v>41130.0</c:v>
                </c:pt>
                <c:pt idx="13">
                  <c:v>41137.0</c:v>
                </c:pt>
                <c:pt idx="14">
                  <c:v>41145.0</c:v>
                </c:pt>
                <c:pt idx="15">
                  <c:v>41152.0</c:v>
                </c:pt>
                <c:pt idx="16">
                  <c:v>41159.0</c:v>
                </c:pt>
                <c:pt idx="17">
                  <c:v>41166.0</c:v>
                </c:pt>
                <c:pt idx="18">
                  <c:v>41172.0</c:v>
                </c:pt>
                <c:pt idx="19">
                  <c:v>41180.0</c:v>
                </c:pt>
                <c:pt idx="20">
                  <c:v>41186.0</c:v>
                </c:pt>
                <c:pt idx="21">
                  <c:v>41193.0</c:v>
                </c:pt>
                <c:pt idx="22">
                  <c:v>41201.0</c:v>
                </c:pt>
              </c:numCache>
            </c:numRef>
          </c:xVal>
          <c:yVal>
            <c:numRef>
              <c:f>Vaccinium_myrtillus_abundance!$AH$13:$AH$42</c:f>
              <c:numCache>
                <c:formatCode>0.0</c:formatCode>
                <c:ptCount val="30"/>
                <c:pt idx="0">
                  <c:v>4.5</c:v>
                </c:pt>
                <c:pt idx="1">
                  <c:v>24.0</c:v>
                </c:pt>
                <c:pt idx="2">
                  <c:v>6.2</c:v>
                </c:pt>
                <c:pt idx="3">
                  <c:v>0.3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4"/>
          <c:order val="1"/>
          <c:tx>
            <c:strRef>
              <c:f>Vaccinium_myrtillus_abundance!$AI$12</c:f>
              <c:strCache>
                <c:ptCount val="1"/>
                <c:pt idx="0">
                  <c:v>Kart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4"/>
            <c:spPr>
              <a:solidFill>
                <a:srgbClr val="FFFFFF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Vaccinium_myrtillus_abundance!$B$13:$B$42</c:f>
              <c:numCache>
                <c:formatCode>m/d/yy</c:formatCode>
                <c:ptCount val="30"/>
                <c:pt idx="0">
                  <c:v>41043.0</c:v>
                </c:pt>
                <c:pt idx="1">
                  <c:v>41053.0</c:v>
                </c:pt>
                <c:pt idx="2">
                  <c:v>41059.0</c:v>
                </c:pt>
                <c:pt idx="3">
                  <c:v>41068.0</c:v>
                </c:pt>
                <c:pt idx="4">
                  <c:v>41074.0</c:v>
                </c:pt>
                <c:pt idx="5">
                  <c:v>41079.0</c:v>
                </c:pt>
                <c:pt idx="6">
                  <c:v>41088.0</c:v>
                </c:pt>
                <c:pt idx="7">
                  <c:v>41096.0</c:v>
                </c:pt>
                <c:pt idx="8">
                  <c:v>41103.0</c:v>
                </c:pt>
                <c:pt idx="9">
                  <c:v>41110.0</c:v>
                </c:pt>
                <c:pt idx="10">
                  <c:v>41117.0</c:v>
                </c:pt>
                <c:pt idx="11">
                  <c:v>41123.0</c:v>
                </c:pt>
                <c:pt idx="12">
                  <c:v>41130.0</c:v>
                </c:pt>
                <c:pt idx="13">
                  <c:v>41137.0</c:v>
                </c:pt>
                <c:pt idx="14">
                  <c:v>41145.0</c:v>
                </c:pt>
                <c:pt idx="15">
                  <c:v>41152.0</c:v>
                </c:pt>
                <c:pt idx="16">
                  <c:v>41159.0</c:v>
                </c:pt>
                <c:pt idx="17">
                  <c:v>41166.0</c:v>
                </c:pt>
                <c:pt idx="18">
                  <c:v>41172.0</c:v>
                </c:pt>
                <c:pt idx="19">
                  <c:v>41180.0</c:v>
                </c:pt>
                <c:pt idx="20">
                  <c:v>41186.0</c:v>
                </c:pt>
                <c:pt idx="21">
                  <c:v>41193.0</c:v>
                </c:pt>
                <c:pt idx="22">
                  <c:v>41201.0</c:v>
                </c:pt>
              </c:numCache>
            </c:numRef>
          </c:xVal>
          <c:yVal>
            <c:numRef>
              <c:f>Vaccinium_myrtillus_abundance!$AI$13:$AI$42</c:f>
              <c:numCache>
                <c:formatCode>0.0</c:formatCode>
                <c:ptCount val="30"/>
                <c:pt idx="0">
                  <c:v>0.0</c:v>
                </c:pt>
                <c:pt idx="1">
                  <c:v>10.4</c:v>
                </c:pt>
                <c:pt idx="2">
                  <c:v>29.4</c:v>
                </c:pt>
                <c:pt idx="3">
                  <c:v>30.4</c:v>
                </c:pt>
                <c:pt idx="4">
                  <c:v>34.3</c:v>
                </c:pt>
                <c:pt idx="5">
                  <c:v>30.1</c:v>
                </c:pt>
                <c:pt idx="6">
                  <c:v>25.0</c:v>
                </c:pt>
                <c:pt idx="7">
                  <c:v>21.0</c:v>
                </c:pt>
                <c:pt idx="8">
                  <c:v>19.4</c:v>
                </c:pt>
                <c:pt idx="9">
                  <c:v>5.7</c:v>
                </c:pt>
                <c:pt idx="10">
                  <c:v>0.6</c:v>
                </c:pt>
                <c:pt idx="11">
                  <c:v>0.1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Vaccinium_myrtillus_abundance!$AJ$12</c:f>
              <c:strCache>
                <c:ptCount val="1"/>
                <c:pt idx="0">
                  <c:v>Bär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Vaccinium_myrtillus_abundance!$B$13:$B$42</c:f>
              <c:numCache>
                <c:formatCode>m/d/yy</c:formatCode>
                <c:ptCount val="30"/>
                <c:pt idx="0">
                  <c:v>41043.0</c:v>
                </c:pt>
                <c:pt idx="1">
                  <c:v>41053.0</c:v>
                </c:pt>
                <c:pt idx="2">
                  <c:v>41059.0</c:v>
                </c:pt>
                <c:pt idx="3">
                  <c:v>41068.0</c:v>
                </c:pt>
                <c:pt idx="4">
                  <c:v>41074.0</c:v>
                </c:pt>
                <c:pt idx="5">
                  <c:v>41079.0</c:v>
                </c:pt>
                <c:pt idx="6">
                  <c:v>41088.0</c:v>
                </c:pt>
                <c:pt idx="7">
                  <c:v>41096.0</c:v>
                </c:pt>
                <c:pt idx="8">
                  <c:v>41103.0</c:v>
                </c:pt>
                <c:pt idx="9">
                  <c:v>41110.0</c:v>
                </c:pt>
                <c:pt idx="10">
                  <c:v>41117.0</c:v>
                </c:pt>
                <c:pt idx="11">
                  <c:v>41123.0</c:v>
                </c:pt>
                <c:pt idx="12">
                  <c:v>41130.0</c:v>
                </c:pt>
                <c:pt idx="13">
                  <c:v>41137.0</c:v>
                </c:pt>
                <c:pt idx="14">
                  <c:v>41145.0</c:v>
                </c:pt>
                <c:pt idx="15">
                  <c:v>41152.0</c:v>
                </c:pt>
                <c:pt idx="16">
                  <c:v>41159.0</c:v>
                </c:pt>
                <c:pt idx="17">
                  <c:v>41166.0</c:v>
                </c:pt>
                <c:pt idx="18">
                  <c:v>41172.0</c:v>
                </c:pt>
                <c:pt idx="19">
                  <c:v>41180.0</c:v>
                </c:pt>
                <c:pt idx="20">
                  <c:v>41186.0</c:v>
                </c:pt>
                <c:pt idx="21">
                  <c:v>41193.0</c:v>
                </c:pt>
                <c:pt idx="22">
                  <c:v>41201.0</c:v>
                </c:pt>
              </c:numCache>
            </c:numRef>
          </c:xVal>
          <c:yVal>
            <c:numRef>
              <c:f>Vaccinium_myrtillus_abundance!$AJ$13:$AJ$42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0.1</c:v>
                </c:pt>
                <c:pt idx="7">
                  <c:v>0.2</c:v>
                </c:pt>
                <c:pt idx="8">
                  <c:v>3.3</c:v>
                </c:pt>
                <c:pt idx="9">
                  <c:v>12.2</c:v>
                </c:pt>
                <c:pt idx="10">
                  <c:v>18.4</c:v>
                </c:pt>
                <c:pt idx="11">
                  <c:v>16.5</c:v>
                </c:pt>
                <c:pt idx="12">
                  <c:v>10.5</c:v>
                </c:pt>
                <c:pt idx="13">
                  <c:v>9.3</c:v>
                </c:pt>
                <c:pt idx="14">
                  <c:v>8.7</c:v>
                </c:pt>
                <c:pt idx="15">
                  <c:v>6.4</c:v>
                </c:pt>
                <c:pt idx="16">
                  <c:v>4.4</c:v>
                </c:pt>
                <c:pt idx="17">
                  <c:v>4.0</c:v>
                </c:pt>
                <c:pt idx="18">
                  <c:v>2.7</c:v>
                </c:pt>
                <c:pt idx="19">
                  <c:v>2.2</c:v>
                </c:pt>
                <c:pt idx="20">
                  <c:v>0.9</c:v>
                </c:pt>
                <c:pt idx="21">
                  <c:v>0.2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4153672"/>
        <c:axId val="-2114147880"/>
      </c:scatterChart>
      <c:valAx>
        <c:axId val="-2114153672"/>
        <c:scaling>
          <c:orientation val="minMax"/>
          <c:min val="41000.0"/>
        </c:scaling>
        <c:delete val="0"/>
        <c:axPos val="b"/>
        <c:numFmt formatCode="d\/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4147880"/>
        <c:crosses val="autoZero"/>
        <c:crossBetween val="midCat"/>
        <c:majorUnit val="14.0"/>
      </c:valAx>
      <c:valAx>
        <c:axId val="-2114147880"/>
        <c:scaling>
          <c:orientation val="minMax"/>
          <c:min val="0.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Antal blommor/bär</a:t>
                </a:r>
              </a:p>
            </c:rich>
          </c:tx>
          <c:layout>
            <c:manualLayout>
              <c:xMode val="edge"/>
              <c:yMode val="edge"/>
              <c:x val="0.015625"/>
              <c:y val="0.31739121202082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4153672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7390326209225"/>
          <c:y val="0.19130418163749"/>
          <c:w val="0.145089285714288"/>
          <c:h val="0.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5000136239337"/>
          <c:y val="0.0655023230722978"/>
          <c:w val="0.839286629035545"/>
          <c:h val="0.820962449172799"/>
        </c:manualLayout>
      </c:layout>
      <c:scatterChart>
        <c:scatterStyle val="lineMarker"/>
        <c:varyColors val="0"/>
        <c:ser>
          <c:idx val="5"/>
          <c:order val="0"/>
          <c:tx>
            <c:v>Vindeln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'Vaccinium_vitis-idea_abundance'!$B$137:$B$166</c:f>
              <c:numCache>
                <c:formatCode>m/d/yy</c:formatCode>
                <c:ptCount val="30"/>
                <c:pt idx="0">
                  <c:v>41080.0</c:v>
                </c:pt>
                <c:pt idx="1">
                  <c:v>41089.0</c:v>
                </c:pt>
                <c:pt idx="2">
                  <c:v>41094.0</c:v>
                </c:pt>
                <c:pt idx="3">
                  <c:v>41102.0</c:v>
                </c:pt>
                <c:pt idx="4">
                  <c:v>41108.0</c:v>
                </c:pt>
                <c:pt idx="5">
                  <c:v>41113.0</c:v>
                </c:pt>
                <c:pt idx="6">
                  <c:v>41120.0</c:v>
                </c:pt>
                <c:pt idx="7">
                  <c:v>41129.0</c:v>
                </c:pt>
                <c:pt idx="8">
                  <c:v>41135.0</c:v>
                </c:pt>
                <c:pt idx="9">
                  <c:v>41141.0</c:v>
                </c:pt>
                <c:pt idx="10">
                  <c:v>41149.0</c:v>
                </c:pt>
                <c:pt idx="11">
                  <c:v>41155.0</c:v>
                </c:pt>
                <c:pt idx="12">
                  <c:v>41162.0</c:v>
                </c:pt>
                <c:pt idx="13">
                  <c:v>41169.0</c:v>
                </c:pt>
                <c:pt idx="14">
                  <c:v>41176.0</c:v>
                </c:pt>
                <c:pt idx="15">
                  <c:v>41183.0</c:v>
                </c:pt>
                <c:pt idx="16">
                  <c:v>41190.0</c:v>
                </c:pt>
                <c:pt idx="17">
                  <c:v>41197.0</c:v>
                </c:pt>
              </c:numCache>
            </c:numRef>
          </c:xVal>
          <c:yVal>
            <c:numRef>
              <c:f>'Vaccinium_vitis-idea_abundance'!$AK$137:$AK$166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1.6</c:v>
                </c:pt>
                <c:pt idx="3">
                  <c:v>9.6</c:v>
                </c:pt>
                <c:pt idx="4">
                  <c:v>3.1</c:v>
                </c:pt>
                <c:pt idx="5">
                  <c:v>1.6</c:v>
                </c:pt>
                <c:pt idx="6">
                  <c:v>1.4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0"/>
          <c:order val="1"/>
          <c:tx>
            <c:v>Umeå</c:v>
          </c:tx>
          <c:spPr>
            <a:ln w="9525">
              <a:solidFill>
                <a:srgbClr val="0000FF"/>
              </a:solidFill>
            </a:ln>
          </c:spPr>
          <c:marker>
            <c:symbol val="diamond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'Vaccinium_vitis-idea_abundance'!$B$106:$B$135</c:f>
              <c:numCache>
                <c:formatCode>m/d/yy</c:formatCode>
                <c:ptCount val="30"/>
                <c:pt idx="0">
                  <c:v>41072.0</c:v>
                </c:pt>
                <c:pt idx="1">
                  <c:v>41078.0</c:v>
                </c:pt>
              </c:numCache>
            </c:numRef>
          </c:xVal>
          <c:yVal>
            <c:numRef>
              <c:f>'Vaccinium_vitis-idea_abundance'!$AK$106:$AK$135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4"/>
          <c:order val="2"/>
          <c:tx>
            <c:v>Siljansfors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triangle"/>
            <c:size val="4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'Vaccinium_vitis-idea_abundance'!$B$44:$B$73</c:f>
              <c:numCache>
                <c:formatCode>m/d/yy</c:formatCode>
                <c:ptCount val="30"/>
                <c:pt idx="0">
                  <c:v>41067.0</c:v>
                </c:pt>
                <c:pt idx="1">
                  <c:v>41071.0</c:v>
                </c:pt>
                <c:pt idx="2">
                  <c:v>41078.0</c:v>
                </c:pt>
                <c:pt idx="3">
                  <c:v>41086.0</c:v>
                </c:pt>
                <c:pt idx="4">
                  <c:v>41098.0</c:v>
                </c:pt>
                <c:pt idx="5">
                  <c:v>41105.0</c:v>
                </c:pt>
                <c:pt idx="6">
                  <c:v>41113.0</c:v>
                </c:pt>
                <c:pt idx="7">
                  <c:v>41120.0</c:v>
                </c:pt>
                <c:pt idx="8">
                  <c:v>41127.0</c:v>
                </c:pt>
                <c:pt idx="9">
                  <c:v>41134.0</c:v>
                </c:pt>
                <c:pt idx="10">
                  <c:v>41141.0</c:v>
                </c:pt>
                <c:pt idx="11">
                  <c:v>41150.0</c:v>
                </c:pt>
                <c:pt idx="12">
                  <c:v>41158.0</c:v>
                </c:pt>
                <c:pt idx="13">
                  <c:v>41170.0</c:v>
                </c:pt>
              </c:numCache>
            </c:numRef>
          </c:xVal>
          <c:yVal>
            <c:numRef>
              <c:f>'Vaccinium_vitis-idea_abundance'!$AK$44:$AK$73</c:f>
              <c:numCache>
                <c:formatCode>0.0</c:formatCode>
                <c:ptCount val="30"/>
                <c:pt idx="0">
                  <c:v>0.0</c:v>
                </c:pt>
                <c:pt idx="1">
                  <c:v>0.9</c:v>
                </c:pt>
                <c:pt idx="2">
                  <c:v>9.0</c:v>
                </c:pt>
                <c:pt idx="3">
                  <c:v>36.8</c:v>
                </c:pt>
                <c:pt idx="4">
                  <c:v>22.9</c:v>
                </c:pt>
                <c:pt idx="5">
                  <c:v>17.0</c:v>
                </c:pt>
                <c:pt idx="6">
                  <c:v>14.8</c:v>
                </c:pt>
                <c:pt idx="7">
                  <c:v>9.5</c:v>
                </c:pt>
                <c:pt idx="8">
                  <c:v>8.8</c:v>
                </c:pt>
                <c:pt idx="9">
                  <c:v>9.8</c:v>
                </c:pt>
                <c:pt idx="10">
                  <c:v>8.8</c:v>
                </c:pt>
                <c:pt idx="11">
                  <c:v>8.5</c:v>
                </c:pt>
                <c:pt idx="12">
                  <c:v>7.2</c:v>
                </c:pt>
                <c:pt idx="13">
                  <c:v>4.9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2"/>
          <c:order val="3"/>
          <c:tx>
            <c:v>Asa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'Vaccinium_vitis-idea_abundance'!$B$13:$B$42</c:f>
              <c:numCache>
                <c:formatCode>m/d/yy</c:formatCode>
                <c:ptCount val="30"/>
                <c:pt idx="0">
                  <c:v>41054.0</c:v>
                </c:pt>
                <c:pt idx="1">
                  <c:v>41059.0</c:v>
                </c:pt>
                <c:pt idx="2">
                  <c:v>41068.0</c:v>
                </c:pt>
                <c:pt idx="3">
                  <c:v>41074.0</c:v>
                </c:pt>
                <c:pt idx="4">
                  <c:v>41079.0</c:v>
                </c:pt>
                <c:pt idx="5">
                  <c:v>41088.0</c:v>
                </c:pt>
                <c:pt idx="6">
                  <c:v>41096.0</c:v>
                </c:pt>
                <c:pt idx="7">
                  <c:v>41103.0</c:v>
                </c:pt>
                <c:pt idx="8">
                  <c:v>41110.0</c:v>
                </c:pt>
                <c:pt idx="9">
                  <c:v>41117.0</c:v>
                </c:pt>
              </c:numCache>
            </c:numRef>
          </c:xVal>
          <c:yVal>
            <c:numRef>
              <c:f>'Vaccinium_vitis-idea_abundance'!$AK$13:$AK$42</c:f>
              <c:numCache>
                <c:formatCode>0.0</c:formatCode>
                <c:ptCount val="30"/>
                <c:pt idx="0">
                  <c:v>0.0</c:v>
                </c:pt>
                <c:pt idx="1">
                  <c:v>0.2</c:v>
                </c:pt>
                <c:pt idx="2">
                  <c:v>0.5</c:v>
                </c:pt>
                <c:pt idx="3">
                  <c:v>1.0</c:v>
                </c:pt>
                <c:pt idx="4">
                  <c:v>1.0</c:v>
                </c:pt>
                <c:pt idx="5">
                  <c:v>0.5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1"/>
          <c:order val="4"/>
          <c:tx>
            <c:v>Tönnersjöheden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'Vaccinium_vitis-idea_abundance'!$B$75:$B$104</c:f>
              <c:numCache>
                <c:formatCode>m/d/yy</c:formatCode>
                <c:ptCount val="30"/>
                <c:pt idx="0">
                  <c:v>41022.0</c:v>
                </c:pt>
                <c:pt idx="1">
                  <c:v>41026.0</c:v>
                </c:pt>
                <c:pt idx="2">
                  <c:v>41031.0</c:v>
                </c:pt>
                <c:pt idx="3">
                  <c:v>41036.0</c:v>
                </c:pt>
                <c:pt idx="4">
                  <c:v>41039.0</c:v>
                </c:pt>
                <c:pt idx="5">
                  <c:v>41044.0</c:v>
                </c:pt>
                <c:pt idx="6">
                  <c:v>41053.0</c:v>
                </c:pt>
                <c:pt idx="7">
                  <c:v>41059.0</c:v>
                </c:pt>
                <c:pt idx="8">
                  <c:v>41073.0</c:v>
                </c:pt>
                <c:pt idx="9">
                  <c:v>41092.0</c:v>
                </c:pt>
              </c:numCache>
            </c:numRef>
          </c:xVal>
          <c:yVal>
            <c:numRef>
              <c:f>'Vaccinium_vitis-idea_abundance'!$AK$75:$AK$104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10.2</c:v>
                </c:pt>
                <c:pt idx="8">
                  <c:v>96.2</c:v>
                </c:pt>
                <c:pt idx="9">
                  <c:v>81.1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4187896"/>
        <c:axId val="-2114395768"/>
      </c:scatterChart>
      <c:valAx>
        <c:axId val="2054187896"/>
        <c:scaling>
          <c:orientation val="minMax"/>
          <c:min val="41000.0"/>
        </c:scaling>
        <c:delete val="0"/>
        <c:axPos val="b"/>
        <c:numFmt formatCode="d\/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4395768"/>
        <c:crosses val="autoZero"/>
        <c:crossBetween val="midCat"/>
        <c:majorUnit val="14.0"/>
      </c:valAx>
      <c:valAx>
        <c:axId val="-2114395768"/>
        <c:scaling>
          <c:orientation val="minMax"/>
          <c:min val="0.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Totalt antal blommor/bär</a:t>
                </a:r>
              </a:p>
            </c:rich>
          </c:tx>
          <c:layout>
            <c:manualLayout>
              <c:xMode val="edge"/>
              <c:yMode val="edge"/>
              <c:x val="0.015625"/>
              <c:y val="0.21834135780798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2054187896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49553571428584"/>
          <c:y val="0.0830039955196709"/>
          <c:w val="0.279017857142864"/>
          <c:h val="0.34782628684153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sv-SE"/>
              <a:t>Siljansfors</a:t>
            </a:r>
          </a:p>
        </c:rich>
      </c:tx>
      <c:layout>
        <c:manualLayout>
          <c:xMode val="edge"/>
          <c:yMode val="edge"/>
          <c:x val="0.439732611548556"/>
          <c:y val="0.0391304715942765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07264499407"/>
          <c:y val="0.143478260869565"/>
          <c:w val="0.852679500775505"/>
          <c:h val="0.743478260869566"/>
        </c:manualLayout>
      </c:layout>
      <c:scatterChart>
        <c:scatterStyle val="lineMarker"/>
        <c:varyColors val="0"/>
        <c:ser>
          <c:idx val="5"/>
          <c:order val="0"/>
          <c:tx>
            <c:strRef>
              <c:f>'Vaccinium_vitis-idea_abundance'!$AH$43</c:f>
              <c:strCache>
                <c:ptCount val="1"/>
                <c:pt idx="0">
                  <c:v>Blom</c:v>
                </c:pt>
              </c:strCache>
            </c:strRef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'Vaccinium_vitis-idea_abundance'!$B$44:$B$73</c:f>
              <c:numCache>
                <c:formatCode>m/d/yy</c:formatCode>
                <c:ptCount val="30"/>
                <c:pt idx="0">
                  <c:v>41067.0</c:v>
                </c:pt>
                <c:pt idx="1">
                  <c:v>41071.0</c:v>
                </c:pt>
                <c:pt idx="2">
                  <c:v>41078.0</c:v>
                </c:pt>
                <c:pt idx="3">
                  <c:v>41086.0</c:v>
                </c:pt>
                <c:pt idx="4">
                  <c:v>41098.0</c:v>
                </c:pt>
                <c:pt idx="5">
                  <c:v>41105.0</c:v>
                </c:pt>
                <c:pt idx="6">
                  <c:v>41113.0</c:v>
                </c:pt>
                <c:pt idx="7">
                  <c:v>41120.0</c:v>
                </c:pt>
                <c:pt idx="8">
                  <c:v>41127.0</c:v>
                </c:pt>
                <c:pt idx="9">
                  <c:v>41134.0</c:v>
                </c:pt>
                <c:pt idx="10">
                  <c:v>41141.0</c:v>
                </c:pt>
                <c:pt idx="11">
                  <c:v>41150.0</c:v>
                </c:pt>
                <c:pt idx="12">
                  <c:v>41158.0</c:v>
                </c:pt>
                <c:pt idx="13">
                  <c:v>41170.0</c:v>
                </c:pt>
              </c:numCache>
            </c:numRef>
          </c:xVal>
          <c:yVal>
            <c:numRef>
              <c:f>'Vaccinium_vitis-idea_abundance'!$AH$44:$AH$73</c:f>
              <c:numCache>
                <c:formatCode>0.0</c:formatCode>
                <c:ptCount val="30"/>
                <c:pt idx="0">
                  <c:v>0.0</c:v>
                </c:pt>
                <c:pt idx="1">
                  <c:v>0.9</c:v>
                </c:pt>
                <c:pt idx="2">
                  <c:v>9.0</c:v>
                </c:pt>
                <c:pt idx="3">
                  <c:v>34.2</c:v>
                </c:pt>
                <c:pt idx="4">
                  <c:v>2.4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4"/>
          <c:order val="1"/>
          <c:tx>
            <c:strRef>
              <c:f>'Vaccinium_vitis-idea_abundance'!$AI$43</c:f>
              <c:strCache>
                <c:ptCount val="1"/>
                <c:pt idx="0">
                  <c:v>Kart</c:v>
                </c:pt>
              </c:strCache>
            </c:strRef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triangle"/>
            <c:size val="4"/>
            <c:spPr>
              <a:solidFill>
                <a:srgbClr val="FFFFFF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'Vaccinium_vitis-idea_abundance'!$B$44:$B$73</c:f>
              <c:numCache>
                <c:formatCode>m/d/yy</c:formatCode>
                <c:ptCount val="30"/>
                <c:pt idx="0">
                  <c:v>41067.0</c:v>
                </c:pt>
                <c:pt idx="1">
                  <c:v>41071.0</c:v>
                </c:pt>
                <c:pt idx="2">
                  <c:v>41078.0</c:v>
                </c:pt>
                <c:pt idx="3">
                  <c:v>41086.0</c:v>
                </c:pt>
                <c:pt idx="4">
                  <c:v>41098.0</c:v>
                </c:pt>
                <c:pt idx="5">
                  <c:v>41105.0</c:v>
                </c:pt>
                <c:pt idx="6">
                  <c:v>41113.0</c:v>
                </c:pt>
                <c:pt idx="7">
                  <c:v>41120.0</c:v>
                </c:pt>
                <c:pt idx="8">
                  <c:v>41127.0</c:v>
                </c:pt>
                <c:pt idx="9">
                  <c:v>41134.0</c:v>
                </c:pt>
                <c:pt idx="10">
                  <c:v>41141.0</c:v>
                </c:pt>
                <c:pt idx="11">
                  <c:v>41150.0</c:v>
                </c:pt>
                <c:pt idx="12">
                  <c:v>41158.0</c:v>
                </c:pt>
                <c:pt idx="13">
                  <c:v>41170.0</c:v>
                </c:pt>
              </c:numCache>
            </c:numRef>
          </c:xVal>
          <c:yVal>
            <c:numRef>
              <c:f>'Vaccinium_vitis-idea_abundance'!$AI$44:$AI$73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2.6</c:v>
                </c:pt>
                <c:pt idx="4">
                  <c:v>20.5</c:v>
                </c:pt>
                <c:pt idx="5">
                  <c:v>17.0</c:v>
                </c:pt>
                <c:pt idx="6">
                  <c:v>14.8</c:v>
                </c:pt>
                <c:pt idx="7">
                  <c:v>9.5</c:v>
                </c:pt>
                <c:pt idx="8">
                  <c:v>8.8</c:v>
                </c:pt>
                <c:pt idx="9">
                  <c:v>9.8</c:v>
                </c:pt>
                <c:pt idx="10">
                  <c:v>8.8</c:v>
                </c:pt>
                <c:pt idx="11">
                  <c:v>4.2</c:v>
                </c:pt>
                <c:pt idx="12">
                  <c:v>0.7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'Vaccinium_vitis-idea_abundance'!$AJ$43</c:f>
              <c:strCache>
                <c:ptCount val="1"/>
                <c:pt idx="0">
                  <c:v>Bär</c:v>
                </c:pt>
              </c:strCache>
            </c:strRef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'Vaccinium_vitis-idea_abundance'!$B$44:$B$73</c:f>
              <c:numCache>
                <c:formatCode>m/d/yy</c:formatCode>
                <c:ptCount val="30"/>
                <c:pt idx="0">
                  <c:v>41067.0</c:v>
                </c:pt>
                <c:pt idx="1">
                  <c:v>41071.0</c:v>
                </c:pt>
                <c:pt idx="2">
                  <c:v>41078.0</c:v>
                </c:pt>
                <c:pt idx="3">
                  <c:v>41086.0</c:v>
                </c:pt>
                <c:pt idx="4">
                  <c:v>41098.0</c:v>
                </c:pt>
                <c:pt idx="5">
                  <c:v>41105.0</c:v>
                </c:pt>
                <c:pt idx="6">
                  <c:v>41113.0</c:v>
                </c:pt>
                <c:pt idx="7">
                  <c:v>41120.0</c:v>
                </c:pt>
                <c:pt idx="8">
                  <c:v>41127.0</c:v>
                </c:pt>
                <c:pt idx="9">
                  <c:v>41134.0</c:v>
                </c:pt>
                <c:pt idx="10">
                  <c:v>41141.0</c:v>
                </c:pt>
                <c:pt idx="11">
                  <c:v>41150.0</c:v>
                </c:pt>
                <c:pt idx="12">
                  <c:v>41158.0</c:v>
                </c:pt>
                <c:pt idx="13">
                  <c:v>41170.0</c:v>
                </c:pt>
              </c:numCache>
            </c:numRef>
          </c:xVal>
          <c:yVal>
            <c:numRef>
              <c:f>'Vaccinium_vitis-idea_abundance'!$AJ$44:$AJ$73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4.3</c:v>
                </c:pt>
                <c:pt idx="12">
                  <c:v>6.5</c:v>
                </c:pt>
                <c:pt idx="13">
                  <c:v>4.9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7362216"/>
        <c:axId val="-2118639944"/>
      </c:scatterChart>
      <c:valAx>
        <c:axId val="-2117362216"/>
        <c:scaling>
          <c:orientation val="minMax"/>
          <c:min val="41000.0"/>
        </c:scaling>
        <c:delete val="0"/>
        <c:axPos val="b"/>
        <c:numFmt formatCode="d\/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8639944"/>
        <c:crosses val="autoZero"/>
        <c:crossBetween val="midCat"/>
        <c:majorUnit val="14.0"/>
      </c:valAx>
      <c:valAx>
        <c:axId val="-2118639944"/>
        <c:scaling>
          <c:orientation val="minMax"/>
          <c:min val="0.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Antal blommor/bär</a:t>
                </a:r>
              </a:p>
            </c:rich>
          </c:tx>
          <c:layout>
            <c:manualLayout>
              <c:xMode val="edge"/>
              <c:yMode val="edge"/>
              <c:x val="0.015625"/>
              <c:y val="0.31739141478283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7362216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5"/>
          <c:y val="0.160869528405723"/>
          <c:w val="0.133928571428571"/>
          <c:h val="0.23043476420286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sv-SE"/>
              <a:t>Tönnersjöheden</a:t>
            </a:r>
          </a:p>
        </c:rich>
      </c:tx>
      <c:layout>
        <c:manualLayout>
          <c:xMode val="edge"/>
          <c:yMode val="edge"/>
          <c:x val="0.408482611548563"/>
          <c:y val="0.0391304715942765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37511920942"/>
          <c:y val="0.143478260869565"/>
          <c:w val="0.857143791355451"/>
          <c:h val="0.743478260869566"/>
        </c:manualLayout>
      </c:layout>
      <c:scatterChart>
        <c:scatterStyle val="lineMarker"/>
        <c:varyColors val="0"/>
        <c:ser>
          <c:idx val="5"/>
          <c:order val="0"/>
          <c:tx>
            <c:strRef>
              <c:f>'Vaccinium_vitis-idea_abundance'!$AH$43</c:f>
              <c:strCache>
                <c:ptCount val="1"/>
                <c:pt idx="0">
                  <c:v>Blom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'Vaccinium_vitis-idea_abundance'!$B$75:$B$104</c:f>
              <c:numCache>
                <c:formatCode>m/d/yy</c:formatCode>
                <c:ptCount val="30"/>
                <c:pt idx="0">
                  <c:v>41022.0</c:v>
                </c:pt>
                <c:pt idx="1">
                  <c:v>41026.0</c:v>
                </c:pt>
                <c:pt idx="2">
                  <c:v>41031.0</c:v>
                </c:pt>
                <c:pt idx="3">
                  <c:v>41036.0</c:v>
                </c:pt>
                <c:pt idx="4">
                  <c:v>41039.0</c:v>
                </c:pt>
                <c:pt idx="5">
                  <c:v>41044.0</c:v>
                </c:pt>
                <c:pt idx="6">
                  <c:v>41053.0</c:v>
                </c:pt>
                <c:pt idx="7">
                  <c:v>41059.0</c:v>
                </c:pt>
                <c:pt idx="8">
                  <c:v>41073.0</c:v>
                </c:pt>
                <c:pt idx="9">
                  <c:v>41092.0</c:v>
                </c:pt>
              </c:numCache>
            </c:numRef>
          </c:xVal>
          <c:yVal>
            <c:numRef>
              <c:f>'Vaccinium_vitis-idea_abundance'!$AH$75:$AH$104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10.2</c:v>
                </c:pt>
                <c:pt idx="8">
                  <c:v>92.2</c:v>
                </c:pt>
                <c:pt idx="9">
                  <c:v>18.9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4"/>
          <c:order val="1"/>
          <c:tx>
            <c:strRef>
              <c:f>'Vaccinium_vitis-idea_abundance'!$AI$43</c:f>
              <c:strCache>
                <c:ptCount val="1"/>
                <c:pt idx="0">
                  <c:v>Kart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4"/>
            <c:spPr>
              <a:solidFill>
                <a:srgbClr val="FFFFFF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'Vaccinium_vitis-idea_abundance'!$B$75:$B$104</c:f>
              <c:numCache>
                <c:formatCode>m/d/yy</c:formatCode>
                <c:ptCount val="30"/>
                <c:pt idx="0">
                  <c:v>41022.0</c:v>
                </c:pt>
                <c:pt idx="1">
                  <c:v>41026.0</c:v>
                </c:pt>
                <c:pt idx="2">
                  <c:v>41031.0</c:v>
                </c:pt>
                <c:pt idx="3">
                  <c:v>41036.0</c:v>
                </c:pt>
                <c:pt idx="4">
                  <c:v>41039.0</c:v>
                </c:pt>
                <c:pt idx="5">
                  <c:v>41044.0</c:v>
                </c:pt>
                <c:pt idx="6">
                  <c:v>41053.0</c:v>
                </c:pt>
                <c:pt idx="7">
                  <c:v>41059.0</c:v>
                </c:pt>
                <c:pt idx="8">
                  <c:v>41073.0</c:v>
                </c:pt>
                <c:pt idx="9">
                  <c:v>41092.0</c:v>
                </c:pt>
              </c:numCache>
            </c:numRef>
          </c:xVal>
          <c:yVal>
            <c:numRef>
              <c:f>'Vaccinium_vitis-idea_abundance'!$AI$75:$AI$104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4.0</c:v>
                </c:pt>
                <c:pt idx="9">
                  <c:v>62.2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'Vaccinium_vitis-idea_abundance'!$AJ$43</c:f>
              <c:strCache>
                <c:ptCount val="1"/>
                <c:pt idx="0">
                  <c:v>Bär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'Vaccinium_vitis-idea_abundance'!$B$75:$B$104</c:f>
              <c:numCache>
                <c:formatCode>m/d/yy</c:formatCode>
                <c:ptCount val="30"/>
                <c:pt idx="0">
                  <c:v>41022.0</c:v>
                </c:pt>
                <c:pt idx="1">
                  <c:v>41026.0</c:v>
                </c:pt>
                <c:pt idx="2">
                  <c:v>41031.0</c:v>
                </c:pt>
                <c:pt idx="3">
                  <c:v>41036.0</c:v>
                </c:pt>
                <c:pt idx="4">
                  <c:v>41039.0</c:v>
                </c:pt>
                <c:pt idx="5">
                  <c:v>41044.0</c:v>
                </c:pt>
                <c:pt idx="6">
                  <c:v>41053.0</c:v>
                </c:pt>
                <c:pt idx="7">
                  <c:v>41059.0</c:v>
                </c:pt>
                <c:pt idx="8">
                  <c:v>41073.0</c:v>
                </c:pt>
                <c:pt idx="9">
                  <c:v>41092.0</c:v>
                </c:pt>
              </c:numCache>
            </c:numRef>
          </c:xVal>
          <c:yVal>
            <c:numRef>
              <c:f>'Vaccinium_vitis-idea_abundance'!$AJ$75:$AJ$104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8529592"/>
        <c:axId val="-2117324696"/>
      </c:scatterChart>
      <c:valAx>
        <c:axId val="-2118529592"/>
        <c:scaling>
          <c:orientation val="minMax"/>
          <c:min val="41000.0"/>
        </c:scaling>
        <c:delete val="0"/>
        <c:axPos val="b"/>
        <c:numFmt formatCode="d\/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7324696"/>
        <c:crosses val="autoZero"/>
        <c:crossBetween val="midCat"/>
        <c:majorUnit val="14.0"/>
      </c:valAx>
      <c:valAx>
        <c:axId val="-2117324696"/>
        <c:scaling>
          <c:orientation val="minMax"/>
          <c:min val="0.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Antal blommor/bär</a:t>
                </a:r>
              </a:p>
            </c:rich>
          </c:tx>
          <c:layout>
            <c:manualLayout>
              <c:xMode val="edge"/>
              <c:yMode val="edge"/>
              <c:x val="0.0133928571428574"/>
              <c:y val="0.31739141478283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8529592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2857142857146"/>
          <c:y val="0.165217593768521"/>
          <c:w val="0.131696428571432"/>
          <c:h val="0.19565235797138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sv-SE"/>
              <a:t>Umeå</a:t>
            </a:r>
          </a:p>
        </c:rich>
      </c:tx>
      <c:layout>
        <c:manualLayout>
          <c:xMode val="edge"/>
          <c:yMode val="edge"/>
          <c:x val="0.455357611548556"/>
          <c:y val="0.0391304715942765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37511920942"/>
          <c:y val="0.143478260869565"/>
          <c:w val="0.857143791355451"/>
          <c:h val="0.743478260869566"/>
        </c:manualLayout>
      </c:layout>
      <c:scatterChart>
        <c:scatterStyle val="lineMarker"/>
        <c:varyColors val="0"/>
        <c:ser>
          <c:idx val="5"/>
          <c:order val="0"/>
          <c:tx>
            <c:strRef>
              <c:f>'Vaccinium_vitis-idea_abundance'!$AH$105</c:f>
              <c:strCache>
                <c:ptCount val="1"/>
                <c:pt idx="0">
                  <c:v>Blom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'Vaccinium_vitis-idea_abundance'!$B$106:$B$135</c:f>
              <c:numCache>
                <c:formatCode>m/d/yy</c:formatCode>
                <c:ptCount val="30"/>
                <c:pt idx="0">
                  <c:v>41072.0</c:v>
                </c:pt>
                <c:pt idx="1">
                  <c:v>41078.0</c:v>
                </c:pt>
              </c:numCache>
            </c:numRef>
          </c:xVal>
          <c:yVal>
            <c:numRef>
              <c:f>'Vaccinium_vitis-idea_abundance'!$AH$106:$AH$135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4"/>
          <c:order val="1"/>
          <c:tx>
            <c:strRef>
              <c:f>'Vaccinium_vitis-idea_abundance'!$AI$105</c:f>
              <c:strCache>
                <c:ptCount val="1"/>
                <c:pt idx="0">
                  <c:v>Kart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4"/>
            <c:spPr>
              <a:solidFill>
                <a:srgbClr val="FF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'Vaccinium_vitis-idea_abundance'!$B$106:$B$135</c:f>
              <c:numCache>
                <c:formatCode>m/d/yy</c:formatCode>
                <c:ptCount val="30"/>
                <c:pt idx="0">
                  <c:v>41072.0</c:v>
                </c:pt>
                <c:pt idx="1">
                  <c:v>41078.0</c:v>
                </c:pt>
              </c:numCache>
            </c:numRef>
          </c:xVal>
          <c:yVal>
            <c:numRef>
              <c:f>'Vaccinium_vitis-idea_abundance'!$AI$106:$AI$135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'Vaccinium_vitis-idea_abundance'!$AJ$105</c:f>
              <c:strCache>
                <c:ptCount val="1"/>
                <c:pt idx="0">
                  <c:v>Bär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'Vaccinium_vitis-idea_abundance'!$B$106:$B$135</c:f>
              <c:numCache>
                <c:formatCode>m/d/yy</c:formatCode>
                <c:ptCount val="30"/>
                <c:pt idx="0">
                  <c:v>41072.0</c:v>
                </c:pt>
                <c:pt idx="1">
                  <c:v>41078.0</c:v>
                </c:pt>
              </c:numCache>
            </c:numRef>
          </c:xVal>
          <c:yVal>
            <c:numRef>
              <c:f>'Vaccinium_vitis-idea_abundance'!$AJ$106:$AJ$135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8923704"/>
        <c:axId val="-2132377752"/>
      </c:scatterChart>
      <c:valAx>
        <c:axId val="-2118923704"/>
        <c:scaling>
          <c:orientation val="minMax"/>
          <c:min val="41000.0"/>
        </c:scaling>
        <c:delete val="0"/>
        <c:axPos val="b"/>
        <c:numFmt formatCode="d\/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32377752"/>
        <c:crosses val="autoZero"/>
        <c:crossBetween val="midCat"/>
        <c:majorUnit val="14.0"/>
      </c:valAx>
      <c:valAx>
        <c:axId val="-2132377752"/>
        <c:scaling>
          <c:orientation val="minMax"/>
          <c:min val="0.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Antal blommor/bär</a:t>
                </a:r>
              </a:p>
            </c:rich>
          </c:tx>
          <c:layout>
            <c:manualLayout>
              <c:xMode val="edge"/>
              <c:yMode val="edge"/>
              <c:x val="0.0133928571428574"/>
              <c:y val="0.31739141478283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8923704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232142857146"/>
          <c:y val="0.173912877825756"/>
          <c:w val="0.140625"/>
          <c:h val="0.19130429260858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sv-SE"/>
              <a:t>Vindeln</a:t>
            </a:r>
          </a:p>
        </c:rich>
      </c:tx>
      <c:layout>
        <c:manualLayout>
          <c:xMode val="edge"/>
          <c:yMode val="edge"/>
          <c:x val="0.455357611548556"/>
          <c:y val="0.0391304715942765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37511920942"/>
          <c:y val="0.143478260869565"/>
          <c:w val="0.857143791355451"/>
          <c:h val="0.743478260869566"/>
        </c:manualLayout>
      </c:layout>
      <c:scatterChart>
        <c:scatterStyle val="lineMarker"/>
        <c:varyColors val="0"/>
        <c:ser>
          <c:idx val="5"/>
          <c:order val="0"/>
          <c:tx>
            <c:strRef>
              <c:f>'Vaccinium_vitis-idea_abundance'!$AH$136</c:f>
              <c:strCache>
                <c:ptCount val="1"/>
                <c:pt idx="0">
                  <c:v>Blom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'Vaccinium_vitis-idea_abundance'!$B$137:$B$166</c:f>
              <c:numCache>
                <c:formatCode>m/d/yy</c:formatCode>
                <c:ptCount val="30"/>
                <c:pt idx="0">
                  <c:v>41080.0</c:v>
                </c:pt>
                <c:pt idx="1">
                  <c:v>41089.0</c:v>
                </c:pt>
                <c:pt idx="2">
                  <c:v>41094.0</c:v>
                </c:pt>
                <c:pt idx="3">
                  <c:v>41102.0</c:v>
                </c:pt>
                <c:pt idx="4">
                  <c:v>41108.0</c:v>
                </c:pt>
                <c:pt idx="5">
                  <c:v>41113.0</c:v>
                </c:pt>
                <c:pt idx="6">
                  <c:v>41120.0</c:v>
                </c:pt>
                <c:pt idx="7">
                  <c:v>41129.0</c:v>
                </c:pt>
                <c:pt idx="8">
                  <c:v>41135.0</c:v>
                </c:pt>
                <c:pt idx="9">
                  <c:v>41141.0</c:v>
                </c:pt>
                <c:pt idx="10">
                  <c:v>41149.0</c:v>
                </c:pt>
                <c:pt idx="11">
                  <c:v>41155.0</c:v>
                </c:pt>
                <c:pt idx="12">
                  <c:v>41162.0</c:v>
                </c:pt>
                <c:pt idx="13">
                  <c:v>41169.0</c:v>
                </c:pt>
                <c:pt idx="14">
                  <c:v>41176.0</c:v>
                </c:pt>
                <c:pt idx="15">
                  <c:v>41183.0</c:v>
                </c:pt>
                <c:pt idx="16">
                  <c:v>41190.0</c:v>
                </c:pt>
                <c:pt idx="17">
                  <c:v>41197.0</c:v>
                </c:pt>
              </c:numCache>
            </c:numRef>
          </c:xVal>
          <c:yVal>
            <c:numRef>
              <c:f>'Vaccinium_vitis-idea_abundance'!$AH$137:$AH$166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1.6</c:v>
                </c:pt>
                <c:pt idx="3">
                  <c:v>4.1</c:v>
                </c:pt>
                <c:pt idx="4">
                  <c:v>1.4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4"/>
          <c:order val="1"/>
          <c:tx>
            <c:strRef>
              <c:f>'Vaccinium_vitis-idea_abundance'!$AI$136</c:f>
              <c:strCache>
                <c:ptCount val="1"/>
                <c:pt idx="0">
                  <c:v>Kart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triangle"/>
            <c:size val="4"/>
            <c:spPr>
              <a:solidFill>
                <a:srgbClr val="FFFF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'Vaccinium_vitis-idea_abundance'!$B$137:$B$166</c:f>
              <c:numCache>
                <c:formatCode>m/d/yy</c:formatCode>
                <c:ptCount val="30"/>
                <c:pt idx="0">
                  <c:v>41080.0</c:v>
                </c:pt>
                <c:pt idx="1">
                  <c:v>41089.0</c:v>
                </c:pt>
                <c:pt idx="2">
                  <c:v>41094.0</c:v>
                </c:pt>
                <c:pt idx="3">
                  <c:v>41102.0</c:v>
                </c:pt>
                <c:pt idx="4">
                  <c:v>41108.0</c:v>
                </c:pt>
                <c:pt idx="5">
                  <c:v>41113.0</c:v>
                </c:pt>
                <c:pt idx="6">
                  <c:v>41120.0</c:v>
                </c:pt>
                <c:pt idx="7">
                  <c:v>41129.0</c:v>
                </c:pt>
                <c:pt idx="8">
                  <c:v>41135.0</c:v>
                </c:pt>
                <c:pt idx="9">
                  <c:v>41141.0</c:v>
                </c:pt>
                <c:pt idx="10">
                  <c:v>41149.0</c:v>
                </c:pt>
                <c:pt idx="11">
                  <c:v>41155.0</c:v>
                </c:pt>
                <c:pt idx="12">
                  <c:v>41162.0</c:v>
                </c:pt>
                <c:pt idx="13">
                  <c:v>41169.0</c:v>
                </c:pt>
                <c:pt idx="14">
                  <c:v>41176.0</c:v>
                </c:pt>
                <c:pt idx="15">
                  <c:v>41183.0</c:v>
                </c:pt>
                <c:pt idx="16">
                  <c:v>41190.0</c:v>
                </c:pt>
                <c:pt idx="17">
                  <c:v>41197.0</c:v>
                </c:pt>
              </c:numCache>
            </c:numRef>
          </c:xVal>
          <c:yVal>
            <c:numRef>
              <c:f>'Vaccinium_vitis-idea_abundance'!$AI$137:$AI$166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5.5</c:v>
                </c:pt>
                <c:pt idx="4">
                  <c:v>1.7</c:v>
                </c:pt>
                <c:pt idx="5">
                  <c:v>1.6</c:v>
                </c:pt>
                <c:pt idx="6">
                  <c:v>1.4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0.2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'Vaccinium_vitis-idea_abundance'!$AJ$136</c:f>
              <c:strCache>
                <c:ptCount val="1"/>
                <c:pt idx="0">
                  <c:v>Bär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'Vaccinium_vitis-idea_abundance'!$B$137:$B$166</c:f>
              <c:numCache>
                <c:formatCode>m/d/yy</c:formatCode>
                <c:ptCount val="30"/>
                <c:pt idx="0">
                  <c:v>41080.0</c:v>
                </c:pt>
                <c:pt idx="1">
                  <c:v>41089.0</c:v>
                </c:pt>
                <c:pt idx="2">
                  <c:v>41094.0</c:v>
                </c:pt>
                <c:pt idx="3">
                  <c:v>41102.0</c:v>
                </c:pt>
                <c:pt idx="4">
                  <c:v>41108.0</c:v>
                </c:pt>
                <c:pt idx="5">
                  <c:v>41113.0</c:v>
                </c:pt>
                <c:pt idx="6">
                  <c:v>41120.0</c:v>
                </c:pt>
                <c:pt idx="7">
                  <c:v>41129.0</c:v>
                </c:pt>
                <c:pt idx="8">
                  <c:v>41135.0</c:v>
                </c:pt>
                <c:pt idx="9">
                  <c:v>41141.0</c:v>
                </c:pt>
                <c:pt idx="10">
                  <c:v>41149.0</c:v>
                </c:pt>
                <c:pt idx="11">
                  <c:v>41155.0</c:v>
                </c:pt>
                <c:pt idx="12">
                  <c:v>41162.0</c:v>
                </c:pt>
                <c:pt idx="13">
                  <c:v>41169.0</c:v>
                </c:pt>
                <c:pt idx="14">
                  <c:v>41176.0</c:v>
                </c:pt>
                <c:pt idx="15">
                  <c:v>41183.0</c:v>
                </c:pt>
                <c:pt idx="16">
                  <c:v>41190.0</c:v>
                </c:pt>
                <c:pt idx="17">
                  <c:v>41197.0</c:v>
                </c:pt>
              </c:numCache>
            </c:numRef>
          </c:xVal>
          <c:yVal>
            <c:numRef>
              <c:f>'Vaccinium_vitis-idea_abundance'!$AJ$137:$AJ$166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0.1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21927032"/>
        <c:axId val="2054628344"/>
      </c:scatterChart>
      <c:valAx>
        <c:axId val="-2121927032"/>
        <c:scaling>
          <c:orientation val="minMax"/>
          <c:min val="41000.0"/>
        </c:scaling>
        <c:delete val="0"/>
        <c:axPos val="b"/>
        <c:numFmt formatCode="d\/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2054628344"/>
        <c:crosses val="autoZero"/>
        <c:crossBetween val="midCat"/>
        <c:majorUnit val="14.0"/>
      </c:valAx>
      <c:valAx>
        <c:axId val="2054628344"/>
        <c:scaling>
          <c:orientation val="minMax"/>
          <c:min val="0.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Antal blommor/bär</a:t>
                </a:r>
              </a:p>
            </c:rich>
          </c:tx>
          <c:layout>
            <c:manualLayout>
              <c:xMode val="edge"/>
              <c:yMode val="edge"/>
              <c:x val="0.0133928571428574"/>
              <c:y val="0.31739141478283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21927032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37500003746578"/>
          <c:y val="0.170967750350841"/>
          <c:w val="0.139285718080949"/>
          <c:h val="0.19032259001320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sv-SE"/>
              <a:t>Asa</a:t>
            </a:r>
          </a:p>
        </c:rich>
      </c:tx>
      <c:layout>
        <c:manualLayout>
          <c:xMode val="edge"/>
          <c:yMode val="edge"/>
          <c:x val="0.439732611548556"/>
          <c:y val="0.0391304715942765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07264499407"/>
          <c:y val="0.143478260869565"/>
          <c:w val="0.852679500775505"/>
          <c:h val="0.743478260869566"/>
        </c:manualLayout>
      </c:layout>
      <c:scatterChart>
        <c:scatterStyle val="lineMarker"/>
        <c:varyColors val="0"/>
        <c:ser>
          <c:idx val="5"/>
          <c:order val="0"/>
          <c:tx>
            <c:strRef>
              <c:f>'Vaccinium_vitis-idea_abundance'!$AH$12</c:f>
              <c:strCache>
                <c:ptCount val="1"/>
                <c:pt idx="0">
                  <c:v>Blom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'Vaccinium_vitis-idea_abundance'!$B$13:$B$42</c:f>
              <c:numCache>
                <c:formatCode>m/d/yy</c:formatCode>
                <c:ptCount val="30"/>
                <c:pt idx="0">
                  <c:v>41054.0</c:v>
                </c:pt>
                <c:pt idx="1">
                  <c:v>41059.0</c:v>
                </c:pt>
                <c:pt idx="2">
                  <c:v>41068.0</c:v>
                </c:pt>
                <c:pt idx="3">
                  <c:v>41074.0</c:v>
                </c:pt>
                <c:pt idx="4">
                  <c:v>41079.0</c:v>
                </c:pt>
                <c:pt idx="5">
                  <c:v>41088.0</c:v>
                </c:pt>
                <c:pt idx="6">
                  <c:v>41096.0</c:v>
                </c:pt>
                <c:pt idx="7">
                  <c:v>41103.0</c:v>
                </c:pt>
                <c:pt idx="8">
                  <c:v>41110.0</c:v>
                </c:pt>
                <c:pt idx="9">
                  <c:v>41117.0</c:v>
                </c:pt>
              </c:numCache>
            </c:numRef>
          </c:xVal>
          <c:yVal>
            <c:numRef>
              <c:f>'Vaccinium_vitis-idea_abundance'!$AH$13:$AH$42</c:f>
              <c:numCache>
                <c:formatCode>0.0</c:formatCode>
                <c:ptCount val="30"/>
                <c:pt idx="0">
                  <c:v>0.0</c:v>
                </c:pt>
                <c:pt idx="1">
                  <c:v>0.2</c:v>
                </c:pt>
                <c:pt idx="2">
                  <c:v>0.5</c:v>
                </c:pt>
                <c:pt idx="3">
                  <c:v>1.0</c:v>
                </c:pt>
                <c:pt idx="4">
                  <c:v>1.0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4"/>
          <c:order val="1"/>
          <c:tx>
            <c:strRef>
              <c:f>'Vaccinium_vitis-idea_abundance'!$AI$12</c:f>
              <c:strCache>
                <c:ptCount val="1"/>
                <c:pt idx="0">
                  <c:v>Kart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4"/>
            <c:spPr>
              <a:solidFill>
                <a:srgbClr val="FFFFFF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'Vaccinium_vitis-idea_abundance'!$B$13:$B$42</c:f>
              <c:numCache>
                <c:formatCode>m/d/yy</c:formatCode>
                <c:ptCount val="30"/>
                <c:pt idx="0">
                  <c:v>41054.0</c:v>
                </c:pt>
                <c:pt idx="1">
                  <c:v>41059.0</c:v>
                </c:pt>
                <c:pt idx="2">
                  <c:v>41068.0</c:v>
                </c:pt>
                <c:pt idx="3">
                  <c:v>41074.0</c:v>
                </c:pt>
                <c:pt idx="4">
                  <c:v>41079.0</c:v>
                </c:pt>
                <c:pt idx="5">
                  <c:v>41088.0</c:v>
                </c:pt>
                <c:pt idx="6">
                  <c:v>41096.0</c:v>
                </c:pt>
                <c:pt idx="7">
                  <c:v>41103.0</c:v>
                </c:pt>
                <c:pt idx="8">
                  <c:v>41110.0</c:v>
                </c:pt>
                <c:pt idx="9">
                  <c:v>41117.0</c:v>
                </c:pt>
              </c:numCache>
            </c:numRef>
          </c:xVal>
          <c:yVal>
            <c:numRef>
              <c:f>'Vaccinium_vitis-idea_abundance'!$AI$13:$AI$42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0.5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'Vaccinium_vitis-idea_abundance'!$AJ$12</c:f>
              <c:strCache>
                <c:ptCount val="1"/>
                <c:pt idx="0">
                  <c:v>Bär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'Vaccinium_vitis-idea_abundance'!$B$13:$B$42</c:f>
              <c:numCache>
                <c:formatCode>m/d/yy</c:formatCode>
                <c:ptCount val="30"/>
                <c:pt idx="0">
                  <c:v>41054.0</c:v>
                </c:pt>
                <c:pt idx="1">
                  <c:v>41059.0</c:v>
                </c:pt>
                <c:pt idx="2">
                  <c:v>41068.0</c:v>
                </c:pt>
                <c:pt idx="3">
                  <c:v>41074.0</c:v>
                </c:pt>
                <c:pt idx="4">
                  <c:v>41079.0</c:v>
                </c:pt>
                <c:pt idx="5">
                  <c:v>41088.0</c:v>
                </c:pt>
                <c:pt idx="6">
                  <c:v>41096.0</c:v>
                </c:pt>
                <c:pt idx="7">
                  <c:v>41103.0</c:v>
                </c:pt>
                <c:pt idx="8">
                  <c:v>41110.0</c:v>
                </c:pt>
                <c:pt idx="9">
                  <c:v>41117.0</c:v>
                </c:pt>
              </c:numCache>
            </c:numRef>
          </c:xVal>
          <c:yVal>
            <c:numRef>
              <c:f>'Vaccinium_vitis-idea_abundance'!$AJ$13:$AJ$42</c:f>
              <c:numCache>
                <c:formatCode>0.0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8696280"/>
        <c:axId val="-2118947080"/>
      </c:scatterChart>
      <c:valAx>
        <c:axId val="-2118696280"/>
        <c:scaling>
          <c:orientation val="minMax"/>
          <c:min val="41000.0"/>
        </c:scaling>
        <c:delete val="0"/>
        <c:axPos val="b"/>
        <c:numFmt formatCode="d\/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8947080"/>
        <c:crosses val="autoZero"/>
        <c:crossBetween val="midCat"/>
        <c:majorUnit val="14.0"/>
      </c:valAx>
      <c:valAx>
        <c:axId val="-2118947080"/>
        <c:scaling>
          <c:orientation val="minMax"/>
          <c:min val="0.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/>
                  <a:t>Antal blommor/bär</a:t>
                </a:r>
              </a:p>
            </c:rich>
          </c:tx>
          <c:layout>
            <c:manualLayout>
              <c:xMode val="edge"/>
              <c:yMode val="edge"/>
              <c:x val="0.015625"/>
              <c:y val="0.31739141478283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-2118696280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57146068495"/>
          <c:y val="0.190322590013201"/>
          <c:w val="0.146428575418433"/>
          <c:h val="0.20322581645477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.0" l="0.750000000000015" r="0.75000000000001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/Relationships>
</file>

<file path=xl/drawings/_rels/drawing2.xml.rels><?xml version="1.0" encoding="UTF-8" standalone="yes"?>
<Relationships xmlns="http://schemas.openxmlformats.org/package/2006/relationships"><Relationship Id="rId11" Type="http://schemas.openxmlformats.org/officeDocument/2006/relationships/chart" Target="../charts/chart23.xml"/><Relationship Id="rId12" Type="http://schemas.openxmlformats.org/officeDocument/2006/relationships/chart" Target="../charts/chart24.xml"/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<Relationship Id="rId7" Type="http://schemas.openxmlformats.org/officeDocument/2006/relationships/chart" Target="../charts/chart19.xml"/><Relationship Id="rId8" Type="http://schemas.openxmlformats.org/officeDocument/2006/relationships/chart" Target="../charts/chart20.xml"/><Relationship Id="rId9" Type="http://schemas.openxmlformats.org/officeDocument/2006/relationships/chart" Target="../charts/chart21.xml"/><Relationship Id="rId10" Type="http://schemas.openxmlformats.org/officeDocument/2006/relationships/chart" Target="../charts/chart2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4" Type="http://schemas.openxmlformats.org/officeDocument/2006/relationships/chart" Target="../charts/chart28.xml"/><Relationship Id="rId1" Type="http://schemas.openxmlformats.org/officeDocument/2006/relationships/chart" Target="../charts/chart25.xml"/><Relationship Id="rId2" Type="http://schemas.openxmlformats.org/officeDocument/2006/relationships/chart" Target="../charts/chart2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4" Type="http://schemas.openxmlformats.org/officeDocument/2006/relationships/chart" Target="../charts/chart32.xml"/><Relationship Id="rId5" Type="http://schemas.openxmlformats.org/officeDocument/2006/relationships/chart" Target="../charts/chart33.xml"/><Relationship Id="rId6" Type="http://schemas.openxmlformats.org/officeDocument/2006/relationships/chart" Target="../charts/chart34.xml"/><Relationship Id="rId1" Type="http://schemas.openxmlformats.org/officeDocument/2006/relationships/chart" Target="../charts/chart29.xml"/><Relationship Id="rId2" Type="http://schemas.openxmlformats.org/officeDocument/2006/relationships/chart" Target="../charts/chart3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4" Type="http://schemas.openxmlformats.org/officeDocument/2006/relationships/chart" Target="../charts/chart38.xml"/><Relationship Id="rId1" Type="http://schemas.openxmlformats.org/officeDocument/2006/relationships/chart" Target="../charts/chart35.xml"/><Relationship Id="rId2" Type="http://schemas.openxmlformats.org/officeDocument/2006/relationships/chart" Target="../charts/chart3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4" Type="http://schemas.openxmlformats.org/officeDocument/2006/relationships/chart" Target="../charts/chart42.xml"/><Relationship Id="rId5" Type="http://schemas.openxmlformats.org/officeDocument/2006/relationships/chart" Target="../charts/chart43.xml"/><Relationship Id="rId6" Type="http://schemas.openxmlformats.org/officeDocument/2006/relationships/chart" Target="../charts/chart44.xml"/><Relationship Id="rId1" Type="http://schemas.openxmlformats.org/officeDocument/2006/relationships/chart" Target="../charts/chart39.xml"/><Relationship Id="rId2" Type="http://schemas.openxmlformats.org/officeDocument/2006/relationships/chart" Target="../charts/chart4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4" Type="http://schemas.openxmlformats.org/officeDocument/2006/relationships/chart" Target="../charts/chart48.xml"/><Relationship Id="rId5" Type="http://schemas.openxmlformats.org/officeDocument/2006/relationships/chart" Target="../charts/chart49.xml"/><Relationship Id="rId6" Type="http://schemas.openxmlformats.org/officeDocument/2006/relationships/chart" Target="../charts/chart50.xml"/><Relationship Id="rId1" Type="http://schemas.openxmlformats.org/officeDocument/2006/relationships/chart" Target="../charts/chart45.xml"/><Relationship Id="rId2" Type="http://schemas.openxmlformats.org/officeDocument/2006/relationships/chart" Target="../charts/chart4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22860</xdr:colOff>
      <xdr:row>0</xdr:row>
      <xdr:rowOff>0</xdr:rowOff>
    </xdr:from>
    <xdr:to>
      <xdr:col>59</xdr:col>
      <xdr:colOff>0</xdr:colOff>
      <xdr:row>4</xdr:row>
      <xdr:rowOff>160020</xdr:rowOff>
    </xdr:to>
    <xdr:graphicFrame macro="">
      <xdr:nvGraphicFramePr>
        <xdr:cNvPr id="2049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59</xdr:col>
      <xdr:colOff>0</xdr:colOff>
      <xdr:row>0</xdr:row>
      <xdr:rowOff>0</xdr:rowOff>
    </xdr:from>
    <xdr:to>
      <xdr:col>64</xdr:col>
      <xdr:colOff>563880</xdr:colOff>
      <xdr:row>4</xdr:row>
      <xdr:rowOff>160020</xdr:rowOff>
    </xdr:to>
    <xdr:graphicFrame macro="">
      <xdr:nvGraphicFramePr>
        <xdr:cNvPr id="2050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22860</xdr:colOff>
      <xdr:row>5</xdr:row>
      <xdr:rowOff>152400</xdr:rowOff>
    </xdr:from>
    <xdr:to>
      <xdr:col>58</xdr:col>
      <xdr:colOff>601980</xdr:colOff>
      <xdr:row>16</xdr:row>
      <xdr:rowOff>30480</xdr:rowOff>
    </xdr:to>
    <xdr:graphicFrame macro="">
      <xdr:nvGraphicFramePr>
        <xdr:cNvPr id="2051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53</xdr:col>
      <xdr:colOff>22860</xdr:colOff>
      <xdr:row>16</xdr:row>
      <xdr:rowOff>121920</xdr:rowOff>
    </xdr:from>
    <xdr:to>
      <xdr:col>59</xdr:col>
      <xdr:colOff>0</xdr:colOff>
      <xdr:row>27</xdr:row>
      <xdr:rowOff>0</xdr:rowOff>
    </xdr:to>
    <xdr:graphicFrame macro="">
      <xdr:nvGraphicFramePr>
        <xdr:cNvPr id="2052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53</xdr:col>
      <xdr:colOff>30480</xdr:colOff>
      <xdr:row>36</xdr:row>
      <xdr:rowOff>7620</xdr:rowOff>
    </xdr:from>
    <xdr:to>
      <xdr:col>58</xdr:col>
      <xdr:colOff>541020</xdr:colOff>
      <xdr:row>46</xdr:row>
      <xdr:rowOff>45720</xdr:rowOff>
    </xdr:to>
    <xdr:graphicFrame macro="">
      <xdr:nvGraphicFramePr>
        <xdr:cNvPr id="2053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53</xdr:col>
      <xdr:colOff>30480</xdr:colOff>
      <xdr:row>46</xdr:row>
      <xdr:rowOff>144780</xdr:rowOff>
    </xdr:from>
    <xdr:to>
      <xdr:col>58</xdr:col>
      <xdr:colOff>541020</xdr:colOff>
      <xdr:row>57</xdr:row>
      <xdr:rowOff>22860</xdr:rowOff>
    </xdr:to>
    <xdr:graphicFrame macro="">
      <xdr:nvGraphicFramePr>
        <xdr:cNvPr id="2054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53</xdr:col>
      <xdr:colOff>30480</xdr:colOff>
      <xdr:row>66</xdr:row>
      <xdr:rowOff>7620</xdr:rowOff>
    </xdr:from>
    <xdr:to>
      <xdr:col>58</xdr:col>
      <xdr:colOff>541020</xdr:colOff>
      <xdr:row>76</xdr:row>
      <xdr:rowOff>45720</xdr:rowOff>
    </xdr:to>
    <xdr:graphicFrame macro="">
      <xdr:nvGraphicFramePr>
        <xdr:cNvPr id="2055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53</xdr:col>
      <xdr:colOff>30480</xdr:colOff>
      <xdr:row>76</xdr:row>
      <xdr:rowOff>144780</xdr:rowOff>
    </xdr:from>
    <xdr:to>
      <xdr:col>58</xdr:col>
      <xdr:colOff>541020</xdr:colOff>
      <xdr:row>87</xdr:row>
      <xdr:rowOff>22860</xdr:rowOff>
    </xdr:to>
    <xdr:graphicFrame macro="">
      <xdr:nvGraphicFramePr>
        <xdr:cNvPr id="2056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53</xdr:col>
      <xdr:colOff>30480</xdr:colOff>
      <xdr:row>96</xdr:row>
      <xdr:rowOff>7620</xdr:rowOff>
    </xdr:from>
    <xdr:to>
      <xdr:col>58</xdr:col>
      <xdr:colOff>541020</xdr:colOff>
      <xdr:row>106</xdr:row>
      <xdr:rowOff>45720</xdr:rowOff>
    </xdr:to>
    <xdr:graphicFrame macro="">
      <xdr:nvGraphicFramePr>
        <xdr:cNvPr id="2057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53</xdr:col>
      <xdr:colOff>30480</xdr:colOff>
      <xdr:row>106</xdr:row>
      <xdr:rowOff>144780</xdr:rowOff>
    </xdr:from>
    <xdr:to>
      <xdr:col>58</xdr:col>
      <xdr:colOff>541020</xdr:colOff>
      <xdr:row>117</xdr:row>
      <xdr:rowOff>22860</xdr:rowOff>
    </xdr:to>
    <xdr:graphicFrame macro="">
      <xdr:nvGraphicFramePr>
        <xdr:cNvPr id="2058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53</xdr:col>
      <xdr:colOff>30480</xdr:colOff>
      <xdr:row>126</xdr:row>
      <xdr:rowOff>7620</xdr:rowOff>
    </xdr:from>
    <xdr:to>
      <xdr:col>58</xdr:col>
      <xdr:colOff>541020</xdr:colOff>
      <xdr:row>136</xdr:row>
      <xdr:rowOff>45720</xdr:rowOff>
    </xdr:to>
    <xdr:graphicFrame macro="">
      <xdr:nvGraphicFramePr>
        <xdr:cNvPr id="2059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53</xdr:col>
      <xdr:colOff>30480</xdr:colOff>
      <xdr:row>136</xdr:row>
      <xdr:rowOff>144780</xdr:rowOff>
    </xdr:from>
    <xdr:to>
      <xdr:col>58</xdr:col>
      <xdr:colOff>541020</xdr:colOff>
      <xdr:row>147</xdr:row>
      <xdr:rowOff>22860</xdr:rowOff>
    </xdr:to>
    <xdr:graphicFrame macro="">
      <xdr:nvGraphicFramePr>
        <xdr:cNvPr id="2060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22860</xdr:colOff>
      <xdr:row>0</xdr:row>
      <xdr:rowOff>0</xdr:rowOff>
    </xdr:from>
    <xdr:to>
      <xdr:col>59</xdr:col>
      <xdr:colOff>0</xdr:colOff>
      <xdr:row>4</xdr:row>
      <xdr:rowOff>160020</xdr:rowOff>
    </xdr:to>
    <xdr:graphicFrame macro="">
      <xdr:nvGraphicFramePr>
        <xdr:cNvPr id="1536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59</xdr:col>
      <xdr:colOff>0</xdr:colOff>
      <xdr:row>0</xdr:row>
      <xdr:rowOff>0</xdr:rowOff>
    </xdr:from>
    <xdr:to>
      <xdr:col>64</xdr:col>
      <xdr:colOff>563880</xdr:colOff>
      <xdr:row>4</xdr:row>
      <xdr:rowOff>160020</xdr:rowOff>
    </xdr:to>
    <xdr:graphicFrame macro="">
      <xdr:nvGraphicFramePr>
        <xdr:cNvPr id="1536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22860</xdr:colOff>
      <xdr:row>5</xdr:row>
      <xdr:rowOff>152400</xdr:rowOff>
    </xdr:from>
    <xdr:to>
      <xdr:col>58</xdr:col>
      <xdr:colOff>601980</xdr:colOff>
      <xdr:row>16</xdr:row>
      <xdr:rowOff>30480</xdr:rowOff>
    </xdr:to>
    <xdr:graphicFrame macro="">
      <xdr:nvGraphicFramePr>
        <xdr:cNvPr id="1536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53</xdr:col>
      <xdr:colOff>22860</xdr:colOff>
      <xdr:row>16</xdr:row>
      <xdr:rowOff>121920</xdr:rowOff>
    </xdr:from>
    <xdr:to>
      <xdr:col>59</xdr:col>
      <xdr:colOff>0</xdr:colOff>
      <xdr:row>27</xdr:row>
      <xdr:rowOff>0</xdr:rowOff>
    </xdr:to>
    <xdr:graphicFrame macro="">
      <xdr:nvGraphicFramePr>
        <xdr:cNvPr id="1536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53</xdr:col>
      <xdr:colOff>30480</xdr:colOff>
      <xdr:row>36</xdr:row>
      <xdr:rowOff>7620</xdr:rowOff>
    </xdr:from>
    <xdr:to>
      <xdr:col>58</xdr:col>
      <xdr:colOff>541020</xdr:colOff>
      <xdr:row>46</xdr:row>
      <xdr:rowOff>45720</xdr:rowOff>
    </xdr:to>
    <xdr:graphicFrame macro="">
      <xdr:nvGraphicFramePr>
        <xdr:cNvPr id="1536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53</xdr:col>
      <xdr:colOff>30480</xdr:colOff>
      <xdr:row>46</xdr:row>
      <xdr:rowOff>144780</xdr:rowOff>
    </xdr:from>
    <xdr:to>
      <xdr:col>58</xdr:col>
      <xdr:colOff>541020</xdr:colOff>
      <xdr:row>57</xdr:row>
      <xdr:rowOff>22860</xdr:rowOff>
    </xdr:to>
    <xdr:graphicFrame macro="">
      <xdr:nvGraphicFramePr>
        <xdr:cNvPr id="1536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53</xdr:col>
      <xdr:colOff>30480</xdr:colOff>
      <xdr:row>66</xdr:row>
      <xdr:rowOff>7620</xdr:rowOff>
    </xdr:from>
    <xdr:to>
      <xdr:col>58</xdr:col>
      <xdr:colOff>541020</xdr:colOff>
      <xdr:row>76</xdr:row>
      <xdr:rowOff>45720</xdr:rowOff>
    </xdr:to>
    <xdr:graphicFrame macro="">
      <xdr:nvGraphicFramePr>
        <xdr:cNvPr id="15367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53</xdr:col>
      <xdr:colOff>30480</xdr:colOff>
      <xdr:row>76</xdr:row>
      <xdr:rowOff>144780</xdr:rowOff>
    </xdr:from>
    <xdr:to>
      <xdr:col>58</xdr:col>
      <xdr:colOff>541020</xdr:colOff>
      <xdr:row>87</xdr:row>
      <xdr:rowOff>22860</xdr:rowOff>
    </xdr:to>
    <xdr:graphicFrame macro="">
      <xdr:nvGraphicFramePr>
        <xdr:cNvPr id="15368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53</xdr:col>
      <xdr:colOff>30480</xdr:colOff>
      <xdr:row>96</xdr:row>
      <xdr:rowOff>7620</xdr:rowOff>
    </xdr:from>
    <xdr:to>
      <xdr:col>58</xdr:col>
      <xdr:colOff>541020</xdr:colOff>
      <xdr:row>106</xdr:row>
      <xdr:rowOff>45720</xdr:rowOff>
    </xdr:to>
    <xdr:graphicFrame macro="">
      <xdr:nvGraphicFramePr>
        <xdr:cNvPr id="15369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53</xdr:col>
      <xdr:colOff>30480</xdr:colOff>
      <xdr:row>106</xdr:row>
      <xdr:rowOff>144780</xdr:rowOff>
    </xdr:from>
    <xdr:to>
      <xdr:col>58</xdr:col>
      <xdr:colOff>541020</xdr:colOff>
      <xdr:row>117</xdr:row>
      <xdr:rowOff>22860</xdr:rowOff>
    </xdr:to>
    <xdr:graphicFrame macro="">
      <xdr:nvGraphicFramePr>
        <xdr:cNvPr id="15370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53</xdr:col>
      <xdr:colOff>30480</xdr:colOff>
      <xdr:row>126</xdr:row>
      <xdr:rowOff>7620</xdr:rowOff>
    </xdr:from>
    <xdr:to>
      <xdr:col>58</xdr:col>
      <xdr:colOff>541020</xdr:colOff>
      <xdr:row>136</xdr:row>
      <xdr:rowOff>45720</xdr:rowOff>
    </xdr:to>
    <xdr:graphicFrame macro="">
      <xdr:nvGraphicFramePr>
        <xdr:cNvPr id="15371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53</xdr:col>
      <xdr:colOff>30480</xdr:colOff>
      <xdr:row>136</xdr:row>
      <xdr:rowOff>144780</xdr:rowOff>
    </xdr:from>
    <xdr:to>
      <xdr:col>58</xdr:col>
      <xdr:colOff>541020</xdr:colOff>
      <xdr:row>147</xdr:row>
      <xdr:rowOff>22860</xdr:rowOff>
    </xdr:to>
    <xdr:graphicFrame macro="">
      <xdr:nvGraphicFramePr>
        <xdr:cNvPr id="15372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0</xdr:colOff>
      <xdr:row>4</xdr:row>
      <xdr:rowOff>0</xdr:rowOff>
    </xdr:from>
    <xdr:to>
      <xdr:col>47</xdr:col>
      <xdr:colOff>0</xdr:colOff>
      <xdr:row>18</xdr:row>
      <xdr:rowOff>0</xdr:rowOff>
    </xdr:to>
    <xdr:graphicFrame macro="">
      <xdr:nvGraphicFramePr>
        <xdr:cNvPr id="102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0</xdr:colOff>
      <xdr:row>18</xdr:row>
      <xdr:rowOff>0</xdr:rowOff>
    </xdr:from>
    <xdr:to>
      <xdr:col>47</xdr:col>
      <xdr:colOff>0</xdr:colOff>
      <xdr:row>32</xdr:row>
      <xdr:rowOff>0</xdr:rowOff>
    </xdr:to>
    <xdr:graphicFrame macro="">
      <xdr:nvGraphicFramePr>
        <xdr:cNvPr id="102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0</xdr:colOff>
      <xdr:row>32</xdr:row>
      <xdr:rowOff>0</xdr:rowOff>
    </xdr:from>
    <xdr:to>
      <xdr:col>47</xdr:col>
      <xdr:colOff>0</xdr:colOff>
      <xdr:row>45</xdr:row>
      <xdr:rowOff>152400</xdr:rowOff>
    </xdr:to>
    <xdr:graphicFrame macro="">
      <xdr:nvGraphicFramePr>
        <xdr:cNvPr id="102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0</xdr:colOff>
      <xdr:row>45</xdr:row>
      <xdr:rowOff>152400</xdr:rowOff>
    </xdr:from>
    <xdr:to>
      <xdr:col>47</xdr:col>
      <xdr:colOff>0</xdr:colOff>
      <xdr:row>56</xdr:row>
      <xdr:rowOff>7620</xdr:rowOff>
    </xdr:to>
    <xdr:graphicFrame macro="">
      <xdr:nvGraphicFramePr>
        <xdr:cNvPr id="1028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38100</xdr:colOff>
      <xdr:row>0</xdr:row>
      <xdr:rowOff>0</xdr:rowOff>
    </xdr:from>
    <xdr:to>
      <xdr:col>54</xdr:col>
      <xdr:colOff>373380</xdr:colOff>
      <xdr:row>4</xdr:row>
      <xdr:rowOff>160020</xdr:rowOff>
    </xdr:to>
    <xdr:graphicFrame macro="">
      <xdr:nvGraphicFramePr>
        <xdr:cNvPr id="32769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47</xdr:col>
      <xdr:colOff>0</xdr:colOff>
      <xdr:row>36</xdr:row>
      <xdr:rowOff>0</xdr:rowOff>
    </xdr:from>
    <xdr:to>
      <xdr:col>54</xdr:col>
      <xdr:colOff>335280</xdr:colOff>
      <xdr:row>48</xdr:row>
      <xdr:rowOff>144780</xdr:rowOff>
    </xdr:to>
    <xdr:graphicFrame macro="">
      <xdr:nvGraphicFramePr>
        <xdr:cNvPr id="32770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47</xdr:col>
      <xdr:colOff>7620</xdr:colOff>
      <xdr:row>5</xdr:row>
      <xdr:rowOff>144780</xdr:rowOff>
    </xdr:from>
    <xdr:to>
      <xdr:col>54</xdr:col>
      <xdr:colOff>297180</xdr:colOff>
      <xdr:row>18</xdr:row>
      <xdr:rowOff>0</xdr:rowOff>
    </xdr:to>
    <xdr:graphicFrame macro="">
      <xdr:nvGraphicFramePr>
        <xdr:cNvPr id="32771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0</xdr:colOff>
      <xdr:row>66</xdr:row>
      <xdr:rowOff>0</xdr:rowOff>
    </xdr:from>
    <xdr:to>
      <xdr:col>54</xdr:col>
      <xdr:colOff>350520</xdr:colOff>
      <xdr:row>78</xdr:row>
      <xdr:rowOff>38100</xdr:rowOff>
    </xdr:to>
    <xdr:graphicFrame macro="">
      <xdr:nvGraphicFramePr>
        <xdr:cNvPr id="32772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47</xdr:col>
      <xdr:colOff>0</xdr:colOff>
      <xdr:row>96</xdr:row>
      <xdr:rowOff>0</xdr:rowOff>
    </xdr:from>
    <xdr:to>
      <xdr:col>54</xdr:col>
      <xdr:colOff>365760</xdr:colOff>
      <xdr:row>108</xdr:row>
      <xdr:rowOff>45720</xdr:rowOff>
    </xdr:to>
    <xdr:graphicFrame macro="">
      <xdr:nvGraphicFramePr>
        <xdr:cNvPr id="32773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47</xdr:col>
      <xdr:colOff>0</xdr:colOff>
      <xdr:row>126</xdr:row>
      <xdr:rowOff>0</xdr:rowOff>
    </xdr:from>
    <xdr:to>
      <xdr:col>54</xdr:col>
      <xdr:colOff>373380</xdr:colOff>
      <xdr:row>138</xdr:row>
      <xdr:rowOff>60960</xdr:rowOff>
    </xdr:to>
    <xdr:graphicFrame macro="">
      <xdr:nvGraphicFramePr>
        <xdr:cNvPr id="32774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99060</xdr:colOff>
      <xdr:row>4</xdr:row>
      <xdr:rowOff>0</xdr:rowOff>
    </xdr:from>
    <xdr:to>
      <xdr:col>48</xdr:col>
      <xdr:colOff>0</xdr:colOff>
      <xdr:row>17</xdr:row>
      <xdr:rowOff>152400</xdr:rowOff>
    </xdr:to>
    <xdr:graphicFrame macro="">
      <xdr:nvGraphicFramePr>
        <xdr:cNvPr id="3993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106680</xdr:colOff>
      <xdr:row>18</xdr:row>
      <xdr:rowOff>38100</xdr:rowOff>
    </xdr:from>
    <xdr:to>
      <xdr:col>48</xdr:col>
      <xdr:colOff>7620</xdr:colOff>
      <xdr:row>32</xdr:row>
      <xdr:rowOff>30480</xdr:rowOff>
    </xdr:to>
    <xdr:graphicFrame macro="">
      <xdr:nvGraphicFramePr>
        <xdr:cNvPr id="39938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99060</xdr:colOff>
      <xdr:row>31</xdr:row>
      <xdr:rowOff>144780</xdr:rowOff>
    </xdr:from>
    <xdr:to>
      <xdr:col>48</xdr:col>
      <xdr:colOff>0</xdr:colOff>
      <xdr:row>45</xdr:row>
      <xdr:rowOff>121920</xdr:rowOff>
    </xdr:to>
    <xdr:graphicFrame macro="">
      <xdr:nvGraphicFramePr>
        <xdr:cNvPr id="39939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99060</xdr:colOff>
      <xdr:row>45</xdr:row>
      <xdr:rowOff>121920</xdr:rowOff>
    </xdr:from>
    <xdr:to>
      <xdr:col>48</xdr:col>
      <xdr:colOff>0</xdr:colOff>
      <xdr:row>54</xdr:row>
      <xdr:rowOff>121920</xdr:rowOff>
    </xdr:to>
    <xdr:graphicFrame macro="">
      <xdr:nvGraphicFramePr>
        <xdr:cNvPr id="39940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0</xdr:row>
      <xdr:rowOff>0</xdr:rowOff>
    </xdr:from>
    <xdr:to>
      <xdr:col>45</xdr:col>
      <xdr:colOff>0</xdr:colOff>
      <xdr:row>9</xdr:row>
      <xdr:rowOff>106680</xdr:rowOff>
    </xdr:to>
    <xdr:graphicFrame macro="">
      <xdr:nvGraphicFramePr>
        <xdr:cNvPr id="4505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0</xdr:colOff>
      <xdr:row>42</xdr:row>
      <xdr:rowOff>0</xdr:rowOff>
    </xdr:from>
    <xdr:to>
      <xdr:col>45</xdr:col>
      <xdr:colOff>0</xdr:colOff>
      <xdr:row>55</xdr:row>
      <xdr:rowOff>76200</xdr:rowOff>
    </xdr:to>
    <xdr:graphicFrame macro="">
      <xdr:nvGraphicFramePr>
        <xdr:cNvPr id="45058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0</xdr:colOff>
      <xdr:row>73</xdr:row>
      <xdr:rowOff>0</xdr:rowOff>
    </xdr:from>
    <xdr:to>
      <xdr:col>45</xdr:col>
      <xdr:colOff>0</xdr:colOff>
      <xdr:row>86</xdr:row>
      <xdr:rowOff>76200</xdr:rowOff>
    </xdr:to>
    <xdr:graphicFrame macro="">
      <xdr:nvGraphicFramePr>
        <xdr:cNvPr id="45059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104</xdr:row>
      <xdr:rowOff>0</xdr:rowOff>
    </xdr:from>
    <xdr:to>
      <xdr:col>45</xdr:col>
      <xdr:colOff>0</xdr:colOff>
      <xdr:row>117</xdr:row>
      <xdr:rowOff>76200</xdr:rowOff>
    </xdr:to>
    <xdr:graphicFrame macro="">
      <xdr:nvGraphicFramePr>
        <xdr:cNvPr id="45060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38</xdr:col>
      <xdr:colOff>0</xdr:colOff>
      <xdr:row>135</xdr:row>
      <xdr:rowOff>0</xdr:rowOff>
    </xdr:from>
    <xdr:to>
      <xdr:col>45</xdr:col>
      <xdr:colOff>0</xdr:colOff>
      <xdr:row>148</xdr:row>
      <xdr:rowOff>76200</xdr:rowOff>
    </xdr:to>
    <xdr:graphicFrame macro="">
      <xdr:nvGraphicFramePr>
        <xdr:cNvPr id="45061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0</xdr:colOff>
      <xdr:row>11</xdr:row>
      <xdr:rowOff>0</xdr:rowOff>
    </xdr:from>
    <xdr:to>
      <xdr:col>45</xdr:col>
      <xdr:colOff>0</xdr:colOff>
      <xdr:row>24</xdr:row>
      <xdr:rowOff>76200</xdr:rowOff>
    </xdr:to>
    <xdr:graphicFrame macro="">
      <xdr:nvGraphicFramePr>
        <xdr:cNvPr id="45062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0</xdr:row>
      <xdr:rowOff>0</xdr:rowOff>
    </xdr:from>
    <xdr:to>
      <xdr:col>45</xdr:col>
      <xdr:colOff>0</xdr:colOff>
      <xdr:row>11</xdr:row>
      <xdr:rowOff>0</xdr:rowOff>
    </xdr:to>
    <xdr:graphicFrame macro="">
      <xdr:nvGraphicFramePr>
        <xdr:cNvPr id="5222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0</xdr:colOff>
      <xdr:row>42</xdr:row>
      <xdr:rowOff>0</xdr:rowOff>
    </xdr:from>
    <xdr:to>
      <xdr:col>45</xdr:col>
      <xdr:colOff>0</xdr:colOff>
      <xdr:row>55</xdr:row>
      <xdr:rowOff>76200</xdr:rowOff>
    </xdr:to>
    <xdr:graphicFrame macro="">
      <xdr:nvGraphicFramePr>
        <xdr:cNvPr id="5222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0</xdr:colOff>
      <xdr:row>73</xdr:row>
      <xdr:rowOff>0</xdr:rowOff>
    </xdr:from>
    <xdr:to>
      <xdr:col>45</xdr:col>
      <xdr:colOff>0</xdr:colOff>
      <xdr:row>86</xdr:row>
      <xdr:rowOff>76200</xdr:rowOff>
    </xdr:to>
    <xdr:graphicFrame macro="">
      <xdr:nvGraphicFramePr>
        <xdr:cNvPr id="5222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104</xdr:row>
      <xdr:rowOff>0</xdr:rowOff>
    </xdr:from>
    <xdr:to>
      <xdr:col>45</xdr:col>
      <xdr:colOff>0</xdr:colOff>
      <xdr:row>117</xdr:row>
      <xdr:rowOff>76200</xdr:rowOff>
    </xdr:to>
    <xdr:graphicFrame macro="">
      <xdr:nvGraphicFramePr>
        <xdr:cNvPr id="5222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38</xdr:col>
      <xdr:colOff>0</xdr:colOff>
      <xdr:row>135</xdr:row>
      <xdr:rowOff>0</xdr:rowOff>
    </xdr:from>
    <xdr:to>
      <xdr:col>45</xdr:col>
      <xdr:colOff>0</xdr:colOff>
      <xdr:row>148</xdr:row>
      <xdr:rowOff>76200</xdr:rowOff>
    </xdr:to>
    <xdr:graphicFrame macro="">
      <xdr:nvGraphicFramePr>
        <xdr:cNvPr id="5222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0</xdr:colOff>
      <xdr:row>11</xdr:row>
      <xdr:rowOff>0</xdr:rowOff>
    </xdr:from>
    <xdr:to>
      <xdr:col>45</xdr:col>
      <xdr:colOff>0</xdr:colOff>
      <xdr:row>24</xdr:row>
      <xdr:rowOff>76200</xdr:rowOff>
    </xdr:to>
    <xdr:graphicFrame macro="">
      <xdr:nvGraphicFramePr>
        <xdr:cNvPr id="52230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Blad1" enableFormatConditionsCalculation="0">
    <pageSetUpPr autoPageBreaks="0"/>
  </sheetPr>
  <dimension ref="A1:CU259"/>
  <sheetViews>
    <sheetView showGridLines="0" zoomScale="94" zoomScaleNormal="94" zoomScalePageLayoutView="94" workbookViewId="0">
      <pane xSplit="3" ySplit="5" topLeftCell="D6" activePane="bottomRight" state="frozen"/>
      <selection activeCell="AY113" sqref="AY113"/>
      <selection pane="topRight" activeCell="AY113" sqref="AY113"/>
      <selection pane="bottomLeft" activeCell="AY113" sqref="AY113"/>
      <selection pane="bottomRight" activeCell="B25" sqref="B25"/>
    </sheetView>
  </sheetViews>
  <sheetFormatPr baseColWidth="10" defaultColWidth="8.83203125" defaultRowHeight="12" x14ac:dyDescent="0"/>
  <cols>
    <col min="1" max="1" width="7.5" customWidth="1"/>
    <col min="2" max="2" width="10.5" style="14" customWidth="1"/>
    <col min="3" max="3" width="4.5" style="1" customWidth="1"/>
    <col min="4" max="51" width="4.33203125" customWidth="1"/>
    <col min="52" max="52" width="13" bestFit="1" customWidth="1"/>
    <col min="53" max="53" width="4.1640625" bestFit="1" customWidth="1"/>
    <col min="55" max="55" width="13" bestFit="1" customWidth="1"/>
    <col min="67" max="67" width="6.1640625" style="224" bestFit="1" customWidth="1"/>
    <col min="68" max="68" width="10.1640625" style="224" bestFit="1" customWidth="1"/>
    <col min="69" max="71" width="6.1640625" style="224" customWidth="1"/>
    <col min="72" max="72" width="10.1640625" style="224" bestFit="1" customWidth="1"/>
    <col min="73" max="75" width="5.83203125" style="224" customWidth="1"/>
    <col min="76" max="76" width="10.33203125" style="224" bestFit="1" customWidth="1"/>
    <col min="77" max="79" width="5.83203125" style="224" customWidth="1"/>
    <col min="80" max="80" width="10.1640625" style="224" bestFit="1" customWidth="1"/>
    <col min="81" max="81" width="5.5" style="224" bestFit="1" customWidth="1"/>
    <col min="82" max="82" width="10.5" style="246" bestFit="1" customWidth="1"/>
    <col min="83" max="83" width="3.5" style="224" bestFit="1" customWidth="1"/>
    <col min="84" max="84" width="9" style="226" bestFit="1" customWidth="1"/>
    <col min="85" max="85" width="5.5" style="226" bestFit="1" customWidth="1"/>
    <col min="86" max="86" width="10.5" style="226" bestFit="1" customWidth="1"/>
    <col min="87" max="87" width="3.5" style="226" bestFit="1" customWidth="1"/>
    <col min="88" max="88" width="10.1640625" style="225" bestFit="1" customWidth="1"/>
    <col min="89" max="89" width="5.5" style="226" bestFit="1" customWidth="1"/>
    <col min="90" max="90" width="10.5" style="226" bestFit="1" customWidth="1"/>
    <col min="91" max="91" width="4" style="226" bestFit="1" customWidth="1"/>
  </cols>
  <sheetData>
    <row r="1" spans="1:99" ht="17">
      <c r="A1" s="165" t="s">
        <v>22</v>
      </c>
      <c r="B1" s="166"/>
      <c r="C1" s="167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212"/>
      <c r="BP1" s="212"/>
      <c r="BQ1" s="212"/>
      <c r="BR1" s="212"/>
      <c r="BS1" s="212"/>
      <c r="BT1" s="212"/>
      <c r="BU1" s="212"/>
      <c r="BV1" s="212"/>
      <c r="BW1" s="212"/>
      <c r="BX1" s="212"/>
      <c r="BY1" s="212"/>
      <c r="BZ1" s="212"/>
      <c r="CA1" s="212"/>
      <c r="CB1" s="212"/>
      <c r="CC1" s="212"/>
      <c r="CD1" s="242"/>
      <c r="CE1" s="212"/>
      <c r="CF1" s="182"/>
      <c r="CG1" s="182"/>
      <c r="CH1" s="182"/>
      <c r="CI1" s="182"/>
      <c r="CJ1" s="213"/>
      <c r="CK1" s="182"/>
      <c r="CL1" s="182"/>
      <c r="CM1" s="182"/>
      <c r="CN1" s="168"/>
      <c r="CO1" s="168"/>
      <c r="CP1" s="168"/>
      <c r="CQ1" s="168"/>
      <c r="CR1" s="168"/>
      <c r="CS1" s="168"/>
      <c r="CT1" s="168"/>
      <c r="CU1" s="168"/>
    </row>
    <row r="2" spans="1:99" s="3" customFormat="1" ht="38.25" customHeight="1" thickBot="1">
      <c r="A2" s="169" t="s">
        <v>2</v>
      </c>
      <c r="B2" s="170"/>
      <c r="C2" s="171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2"/>
      <c r="AK2" s="172"/>
      <c r="AL2" s="172"/>
      <c r="AM2" s="172"/>
      <c r="AN2" s="172"/>
      <c r="AO2" s="172"/>
      <c r="AP2" s="172"/>
      <c r="AQ2" s="172"/>
      <c r="AR2" s="172"/>
      <c r="AS2" s="172"/>
      <c r="AT2" s="172"/>
      <c r="AU2" s="172"/>
      <c r="AV2" s="172"/>
      <c r="AW2" s="172"/>
      <c r="AX2" s="172"/>
      <c r="AY2" s="172"/>
      <c r="AZ2" s="172"/>
      <c r="BA2" s="172"/>
      <c r="BB2" s="172"/>
      <c r="BC2" s="172"/>
      <c r="BD2" s="172"/>
      <c r="BE2" s="172"/>
      <c r="BF2" s="172"/>
      <c r="BG2" s="172"/>
      <c r="BH2" s="172"/>
      <c r="BI2" s="172"/>
      <c r="BJ2" s="172"/>
      <c r="BK2" s="172"/>
      <c r="BL2" s="172"/>
      <c r="BM2" s="172"/>
      <c r="BN2" s="172"/>
      <c r="BO2" s="214"/>
      <c r="BP2" s="214"/>
      <c r="BQ2" s="214"/>
      <c r="BR2" s="214"/>
      <c r="BS2" s="214"/>
      <c r="BT2" s="214"/>
      <c r="BU2" s="214"/>
      <c r="BV2" s="214"/>
      <c r="BW2" s="214"/>
      <c r="BX2" s="214"/>
      <c r="BY2" s="214"/>
      <c r="BZ2" s="214"/>
      <c r="CA2" s="214"/>
      <c r="CB2" s="214"/>
      <c r="CC2" s="214"/>
      <c r="CD2" s="243"/>
      <c r="CE2" s="214"/>
      <c r="CF2" s="216"/>
      <c r="CG2" s="216"/>
      <c r="CH2" s="216"/>
      <c r="CI2" s="216"/>
      <c r="CJ2" s="215"/>
      <c r="CK2" s="216"/>
      <c r="CL2" s="216"/>
      <c r="CM2" s="216"/>
      <c r="CN2" s="172"/>
      <c r="CO2" s="172"/>
      <c r="CP2" s="172"/>
      <c r="CQ2" s="172"/>
      <c r="CR2" s="172"/>
      <c r="CS2" s="172"/>
      <c r="CT2" s="172"/>
      <c r="CU2" s="172"/>
    </row>
    <row r="3" spans="1:99" s="4" customFormat="1" ht="26.25" customHeight="1" thickBot="1">
      <c r="A3" s="133"/>
      <c r="B3" s="381" t="s">
        <v>1</v>
      </c>
      <c r="C3" s="384" t="s">
        <v>0</v>
      </c>
      <c r="D3" s="373" t="s">
        <v>23</v>
      </c>
      <c r="E3" s="374"/>
      <c r="F3" s="374"/>
      <c r="G3" s="374"/>
      <c r="H3" s="374"/>
      <c r="I3" s="374"/>
      <c r="J3" s="374"/>
      <c r="K3" s="375"/>
      <c r="L3" s="373" t="s">
        <v>24</v>
      </c>
      <c r="M3" s="374"/>
      <c r="N3" s="374"/>
      <c r="O3" s="374"/>
      <c r="P3" s="374"/>
      <c r="Q3" s="374"/>
      <c r="R3" s="374"/>
      <c r="S3" s="375"/>
      <c r="T3" s="373" t="s">
        <v>25</v>
      </c>
      <c r="U3" s="374"/>
      <c r="V3" s="374"/>
      <c r="W3" s="374"/>
      <c r="X3" s="374"/>
      <c r="Y3" s="374"/>
      <c r="Z3" s="374"/>
      <c r="AA3" s="375"/>
      <c r="AB3" s="373" t="s">
        <v>26</v>
      </c>
      <c r="AC3" s="374"/>
      <c r="AD3" s="374"/>
      <c r="AE3" s="374"/>
      <c r="AF3" s="374"/>
      <c r="AG3" s="374"/>
      <c r="AH3" s="374"/>
      <c r="AI3" s="375"/>
      <c r="AJ3" s="373" t="s">
        <v>27</v>
      </c>
      <c r="AK3" s="374"/>
      <c r="AL3" s="374"/>
      <c r="AM3" s="374"/>
      <c r="AN3" s="374"/>
      <c r="AO3" s="374"/>
      <c r="AP3" s="374"/>
      <c r="AQ3" s="375"/>
      <c r="AR3" s="398" t="s">
        <v>28</v>
      </c>
      <c r="AS3" s="399"/>
      <c r="AT3" s="399"/>
      <c r="AU3" s="399"/>
      <c r="AV3" s="399"/>
      <c r="AW3" s="399"/>
      <c r="AX3" s="399"/>
      <c r="AY3" s="400"/>
      <c r="AZ3" s="401" t="s">
        <v>35</v>
      </c>
      <c r="BA3" s="402"/>
      <c r="BB3" s="173"/>
      <c r="BC3" s="173"/>
      <c r="BD3" s="173"/>
      <c r="BE3" s="173"/>
      <c r="BF3" s="173"/>
      <c r="BG3" s="173"/>
      <c r="BH3" s="173"/>
      <c r="BI3" s="173"/>
      <c r="BJ3" s="173"/>
      <c r="BK3" s="173"/>
      <c r="BL3" s="173"/>
      <c r="BM3" s="173"/>
      <c r="BN3" s="173"/>
      <c r="BO3" s="407">
        <v>2012</v>
      </c>
      <c r="BP3" s="392">
        <v>2011</v>
      </c>
      <c r="BQ3" s="393"/>
      <c r="BR3" s="393"/>
      <c r="BS3" s="394"/>
      <c r="BT3" s="392">
        <v>2010</v>
      </c>
      <c r="BU3" s="393"/>
      <c r="BV3" s="393"/>
      <c r="BW3" s="394"/>
      <c r="BX3" s="392">
        <v>2009</v>
      </c>
      <c r="BY3" s="393"/>
      <c r="BZ3" s="393"/>
      <c r="CA3" s="394"/>
      <c r="CB3" s="392">
        <v>2008</v>
      </c>
      <c r="CC3" s="393"/>
      <c r="CD3" s="393"/>
      <c r="CE3" s="394"/>
      <c r="CF3" s="392">
        <v>2007</v>
      </c>
      <c r="CG3" s="393"/>
      <c r="CH3" s="393"/>
      <c r="CI3" s="394"/>
      <c r="CJ3" s="392">
        <v>2006</v>
      </c>
      <c r="CK3" s="393"/>
      <c r="CL3" s="393"/>
      <c r="CM3" s="394"/>
      <c r="CN3" s="173"/>
      <c r="CO3" s="173"/>
      <c r="CP3" s="173"/>
      <c r="CQ3" s="173"/>
      <c r="CR3" s="173"/>
      <c r="CS3" s="173"/>
      <c r="CT3" s="173"/>
      <c r="CU3" s="173"/>
    </row>
    <row r="4" spans="1:99" s="4" customFormat="1" ht="35.25" customHeight="1">
      <c r="A4" s="134"/>
      <c r="B4" s="382"/>
      <c r="C4" s="385"/>
      <c r="D4" s="389" t="s">
        <v>44</v>
      </c>
      <c r="E4" s="390"/>
      <c r="F4" s="390"/>
      <c r="G4" s="390"/>
      <c r="H4" s="391"/>
      <c r="I4" s="371" t="s">
        <v>18</v>
      </c>
      <c r="J4" s="372"/>
      <c r="K4" s="376" t="s">
        <v>12</v>
      </c>
      <c r="L4" s="378" t="s">
        <v>13</v>
      </c>
      <c r="M4" s="379"/>
      <c r="N4" s="379"/>
      <c r="O4" s="379"/>
      <c r="P4" s="380"/>
      <c r="Q4" s="371" t="s">
        <v>18</v>
      </c>
      <c r="R4" s="372"/>
      <c r="S4" s="376" t="s">
        <v>12</v>
      </c>
      <c r="T4" s="378" t="s">
        <v>13</v>
      </c>
      <c r="U4" s="379"/>
      <c r="V4" s="379"/>
      <c r="W4" s="379"/>
      <c r="X4" s="380"/>
      <c r="Y4" s="371" t="s">
        <v>18</v>
      </c>
      <c r="Z4" s="372"/>
      <c r="AA4" s="376" t="s">
        <v>12</v>
      </c>
      <c r="AB4" s="378" t="s">
        <v>13</v>
      </c>
      <c r="AC4" s="379"/>
      <c r="AD4" s="379"/>
      <c r="AE4" s="379"/>
      <c r="AF4" s="380"/>
      <c r="AG4" s="371" t="s">
        <v>18</v>
      </c>
      <c r="AH4" s="372"/>
      <c r="AI4" s="376" t="s">
        <v>12</v>
      </c>
      <c r="AJ4" s="378" t="s">
        <v>13</v>
      </c>
      <c r="AK4" s="379"/>
      <c r="AL4" s="379"/>
      <c r="AM4" s="379"/>
      <c r="AN4" s="380"/>
      <c r="AO4" s="371" t="s">
        <v>18</v>
      </c>
      <c r="AP4" s="372"/>
      <c r="AQ4" s="376" t="s">
        <v>12</v>
      </c>
      <c r="AR4" s="378" t="s">
        <v>13</v>
      </c>
      <c r="AS4" s="379"/>
      <c r="AT4" s="379"/>
      <c r="AU4" s="379"/>
      <c r="AV4" s="380"/>
      <c r="AW4" s="387" t="s">
        <v>18</v>
      </c>
      <c r="AX4" s="388"/>
      <c r="AY4" s="376" t="s">
        <v>12</v>
      </c>
      <c r="AZ4" s="403" t="s">
        <v>36</v>
      </c>
      <c r="BA4" s="405" t="s">
        <v>37</v>
      </c>
      <c r="BB4" s="173"/>
      <c r="BC4" s="173"/>
      <c r="BD4" s="173"/>
      <c r="BE4" s="173"/>
      <c r="BF4" s="173"/>
      <c r="BG4" s="173"/>
      <c r="BH4" s="173"/>
      <c r="BI4" s="173"/>
      <c r="BJ4" s="173"/>
      <c r="BK4" s="173"/>
      <c r="BL4" s="173"/>
      <c r="BM4" s="173"/>
      <c r="BN4" s="173"/>
      <c r="BO4" s="408"/>
      <c r="BP4" s="395"/>
      <c r="BQ4" s="396"/>
      <c r="BR4" s="396"/>
      <c r="BS4" s="397"/>
      <c r="BT4" s="395"/>
      <c r="BU4" s="396"/>
      <c r="BV4" s="396"/>
      <c r="BW4" s="397"/>
      <c r="BX4" s="395"/>
      <c r="BY4" s="396"/>
      <c r="BZ4" s="396"/>
      <c r="CA4" s="397"/>
      <c r="CB4" s="395"/>
      <c r="CC4" s="396"/>
      <c r="CD4" s="396"/>
      <c r="CE4" s="397"/>
      <c r="CF4" s="395"/>
      <c r="CG4" s="396"/>
      <c r="CH4" s="396"/>
      <c r="CI4" s="397"/>
      <c r="CJ4" s="395"/>
      <c r="CK4" s="396"/>
      <c r="CL4" s="396"/>
      <c r="CM4" s="397"/>
      <c r="CN4" s="173"/>
      <c r="CO4" s="173"/>
      <c r="CP4" s="173"/>
      <c r="CQ4" s="173"/>
      <c r="CR4" s="173"/>
      <c r="CS4" s="173"/>
      <c r="CT4" s="173"/>
      <c r="CU4" s="173"/>
    </row>
    <row r="5" spans="1:99" s="4" customFormat="1" ht="14.25" customHeight="1" thickBot="1">
      <c r="A5" s="126" t="s">
        <v>29</v>
      </c>
      <c r="B5" s="383"/>
      <c r="C5" s="386"/>
      <c r="D5" s="5">
        <v>1</v>
      </c>
      <c r="E5" s="6">
        <v>2</v>
      </c>
      <c r="F5" s="6">
        <v>3</v>
      </c>
      <c r="G5" s="6">
        <v>4</v>
      </c>
      <c r="H5" s="7">
        <v>5</v>
      </c>
      <c r="I5" s="8">
        <v>6</v>
      </c>
      <c r="J5" s="9">
        <v>7</v>
      </c>
      <c r="K5" s="377"/>
      <c r="L5" s="5">
        <v>1</v>
      </c>
      <c r="M5" s="6">
        <v>2</v>
      </c>
      <c r="N5" s="6">
        <v>3</v>
      </c>
      <c r="O5" s="6">
        <v>4</v>
      </c>
      <c r="P5" s="10">
        <v>5</v>
      </c>
      <c r="Q5" s="8">
        <v>6</v>
      </c>
      <c r="R5" s="9">
        <v>7</v>
      </c>
      <c r="S5" s="377"/>
      <c r="T5" s="5">
        <v>1</v>
      </c>
      <c r="U5" s="6">
        <v>2</v>
      </c>
      <c r="V5" s="6">
        <v>3</v>
      </c>
      <c r="W5" s="6">
        <v>4</v>
      </c>
      <c r="X5" s="10">
        <v>5</v>
      </c>
      <c r="Y5" s="8">
        <v>6</v>
      </c>
      <c r="Z5" s="9">
        <v>7</v>
      </c>
      <c r="AA5" s="377"/>
      <c r="AB5" s="5">
        <v>1</v>
      </c>
      <c r="AC5" s="6">
        <v>2</v>
      </c>
      <c r="AD5" s="6">
        <v>3</v>
      </c>
      <c r="AE5" s="6">
        <v>4</v>
      </c>
      <c r="AF5" s="10">
        <v>5</v>
      </c>
      <c r="AG5" s="8">
        <v>6</v>
      </c>
      <c r="AH5" s="9">
        <v>7</v>
      </c>
      <c r="AI5" s="377"/>
      <c r="AJ5" s="5">
        <v>1</v>
      </c>
      <c r="AK5" s="6">
        <v>2</v>
      </c>
      <c r="AL5" s="6">
        <v>3</v>
      </c>
      <c r="AM5" s="6">
        <v>4</v>
      </c>
      <c r="AN5" s="10">
        <v>5</v>
      </c>
      <c r="AO5" s="8">
        <v>6</v>
      </c>
      <c r="AP5" s="9">
        <v>7</v>
      </c>
      <c r="AQ5" s="377"/>
      <c r="AR5" s="5">
        <v>1</v>
      </c>
      <c r="AS5" s="6">
        <v>2</v>
      </c>
      <c r="AT5" s="6">
        <v>3</v>
      </c>
      <c r="AU5" s="6">
        <v>4</v>
      </c>
      <c r="AV5" s="10">
        <v>5</v>
      </c>
      <c r="AW5" s="8">
        <v>6</v>
      </c>
      <c r="AX5" s="9">
        <v>7</v>
      </c>
      <c r="AY5" s="377"/>
      <c r="AZ5" s="404"/>
      <c r="BA5" s="406"/>
      <c r="BB5" s="173"/>
      <c r="BC5" s="173"/>
      <c r="BD5" s="175"/>
      <c r="BE5" s="175"/>
      <c r="BF5" s="175"/>
      <c r="BG5" s="175"/>
      <c r="BH5" s="175"/>
      <c r="BI5" s="175"/>
      <c r="BJ5" s="175"/>
      <c r="BK5" s="175"/>
      <c r="BL5" s="175"/>
      <c r="BM5" s="173"/>
      <c r="BN5" s="173"/>
      <c r="BO5" s="241" t="s">
        <v>52</v>
      </c>
      <c r="BP5" s="238" t="s">
        <v>53</v>
      </c>
      <c r="BQ5" s="239" t="s">
        <v>54</v>
      </c>
      <c r="BR5" s="244" t="s">
        <v>55</v>
      </c>
      <c r="BS5" s="240" t="s">
        <v>56</v>
      </c>
      <c r="BT5" s="238" t="s">
        <v>53</v>
      </c>
      <c r="BU5" s="239" t="s">
        <v>54</v>
      </c>
      <c r="BV5" s="244" t="s">
        <v>55</v>
      </c>
      <c r="BW5" s="240" t="s">
        <v>56</v>
      </c>
      <c r="BX5" s="238" t="s">
        <v>53</v>
      </c>
      <c r="BY5" s="239" t="s">
        <v>54</v>
      </c>
      <c r="BZ5" s="244" t="s">
        <v>55</v>
      </c>
      <c r="CA5" s="240" t="s">
        <v>56</v>
      </c>
      <c r="CB5" s="238" t="s">
        <v>53</v>
      </c>
      <c r="CC5" s="239" t="s">
        <v>54</v>
      </c>
      <c r="CD5" s="244" t="s">
        <v>55</v>
      </c>
      <c r="CE5" s="240" t="s">
        <v>56</v>
      </c>
      <c r="CF5" s="238" t="s">
        <v>53</v>
      </c>
      <c r="CG5" s="239" t="s">
        <v>54</v>
      </c>
      <c r="CH5" s="239" t="s">
        <v>55</v>
      </c>
      <c r="CI5" s="240" t="s">
        <v>56</v>
      </c>
      <c r="CJ5" s="238" t="s">
        <v>53</v>
      </c>
      <c r="CK5" s="239" t="s">
        <v>54</v>
      </c>
      <c r="CL5" s="239" t="s">
        <v>55</v>
      </c>
      <c r="CM5" s="240" t="s">
        <v>56</v>
      </c>
      <c r="CN5" s="173"/>
      <c r="CO5" s="173"/>
      <c r="CP5" s="173"/>
      <c r="CQ5" s="173"/>
      <c r="CR5" s="173"/>
      <c r="CS5" s="173"/>
      <c r="CT5" s="173"/>
      <c r="CU5" s="173"/>
    </row>
    <row r="6" spans="1:99" s="4" customFormat="1">
      <c r="A6" s="15" t="s">
        <v>30</v>
      </c>
      <c r="B6" s="21">
        <v>41032</v>
      </c>
      <c r="C6" s="22" t="s">
        <v>73</v>
      </c>
      <c r="D6" s="265">
        <v>4.5999999999999996</v>
      </c>
      <c r="E6" s="266">
        <v>4.3</v>
      </c>
      <c r="F6" s="266">
        <v>4.4000000000000004</v>
      </c>
      <c r="G6" s="266">
        <v>5</v>
      </c>
      <c r="H6" s="267">
        <v>3.9</v>
      </c>
      <c r="I6" s="268"/>
      <c r="J6" s="269"/>
      <c r="K6" s="270">
        <v>0</v>
      </c>
      <c r="L6" s="265">
        <v>7.7</v>
      </c>
      <c r="M6" s="266">
        <v>5.6</v>
      </c>
      <c r="N6" s="266">
        <v>6.1</v>
      </c>
      <c r="O6" s="266">
        <v>5.9</v>
      </c>
      <c r="P6" s="271">
        <v>6.8</v>
      </c>
      <c r="Q6" s="268"/>
      <c r="R6" s="269"/>
      <c r="S6" s="270">
        <v>0</v>
      </c>
      <c r="T6" s="265">
        <v>6</v>
      </c>
      <c r="U6" s="266">
        <v>4.8</v>
      </c>
      <c r="V6" s="266">
        <v>7.6</v>
      </c>
      <c r="W6" s="266">
        <v>6.7</v>
      </c>
      <c r="X6" s="271">
        <v>6.2</v>
      </c>
      <c r="Y6" s="268"/>
      <c r="Z6" s="269"/>
      <c r="AA6" s="270">
        <v>0</v>
      </c>
      <c r="AB6" s="265">
        <v>8</v>
      </c>
      <c r="AC6" s="266">
        <v>7.9</v>
      </c>
      <c r="AD6" s="266">
        <v>8</v>
      </c>
      <c r="AE6" s="266">
        <v>6.5</v>
      </c>
      <c r="AF6" s="271">
        <v>7</v>
      </c>
      <c r="AG6" s="268"/>
      <c r="AH6" s="269"/>
      <c r="AI6" s="270">
        <v>0</v>
      </c>
      <c r="AJ6" s="265">
        <v>9.3000000000000007</v>
      </c>
      <c r="AK6" s="266">
        <v>8</v>
      </c>
      <c r="AL6" s="266">
        <v>9</v>
      </c>
      <c r="AM6" s="266">
        <v>8</v>
      </c>
      <c r="AN6" s="271">
        <v>5.4</v>
      </c>
      <c r="AO6" s="268"/>
      <c r="AP6" s="269"/>
      <c r="AQ6" s="270">
        <v>0</v>
      </c>
      <c r="AR6" s="272"/>
      <c r="AS6" s="268"/>
      <c r="AT6" s="268"/>
      <c r="AU6" s="268"/>
      <c r="AV6" s="273"/>
      <c r="AW6" s="268"/>
      <c r="AX6" s="269"/>
      <c r="AY6" s="28"/>
      <c r="AZ6" s="18">
        <f>IF(COUNT(AJ6:AP6,AB6:AH6,T6:Z6,L6:R6,D6:J6)=0,AZ5,AVERAGE(AVERAGE(D6:J6),AVERAGE(L6:R6),AVERAGE(T6:Z6),AVERAGE(AB6:AH6),AVERAGE(AJ6:AP6)))</f>
        <v>6.508</v>
      </c>
      <c r="BA6" s="200">
        <f t="shared" ref="BA6:BA14" si="0">IF(COUNT(K6,S6,AA6,AI6,AQ6)=0,BA5,AVERAGE(K6,S6,AA6,AI6,AQ6))</f>
        <v>0</v>
      </c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N6" s="173"/>
      <c r="BO6" s="247">
        <f t="shared" ref="BO6:BO35" si="1">IF(B6=0,BO5,B6-DATE(YEAR(B6)-1,12,31))</f>
        <v>124</v>
      </c>
      <c r="BP6" s="318">
        <v>40652</v>
      </c>
      <c r="BQ6" s="323">
        <v>109</v>
      </c>
      <c r="BR6" s="360">
        <v>4.8</v>
      </c>
      <c r="BS6" s="360">
        <v>0</v>
      </c>
      <c r="BT6" s="318">
        <v>40291</v>
      </c>
      <c r="BU6" s="323">
        <v>113</v>
      </c>
      <c r="BV6" s="360">
        <v>5.3142857142857149</v>
      </c>
      <c r="BW6" s="360">
        <v>0</v>
      </c>
      <c r="BX6" s="318">
        <v>39920</v>
      </c>
      <c r="BY6" s="250">
        <v>107</v>
      </c>
      <c r="BZ6" s="251">
        <v>4.8171428571428567</v>
      </c>
      <c r="CA6" s="261">
        <v>0</v>
      </c>
      <c r="CB6" s="318">
        <v>39549</v>
      </c>
      <c r="CC6" s="250">
        <f t="shared" ref="CC6:CC27" si="2">CB6-DATE(YEAR(CB6)-1,12,31)</f>
        <v>102</v>
      </c>
      <c r="CD6" s="251">
        <v>5.0239999999999991</v>
      </c>
      <c r="CE6" s="252">
        <v>0</v>
      </c>
      <c r="CF6" s="320">
        <v>39182</v>
      </c>
      <c r="CG6" s="250">
        <f t="shared" ref="CG6:CG27" si="3">CF6-DATE(YEAR(CF6)-1,12,31)</f>
        <v>100</v>
      </c>
      <c r="CH6" s="260">
        <v>5.2720000000000002</v>
      </c>
      <c r="CI6" s="261">
        <v>0</v>
      </c>
      <c r="CJ6" s="318">
        <v>38840</v>
      </c>
      <c r="CK6" s="250">
        <f>CJ6-DATE(YEAR(CJ6)-1,12,31)</f>
        <v>123</v>
      </c>
      <c r="CL6" s="251">
        <v>6.8360000000000003</v>
      </c>
      <c r="CM6" s="257">
        <v>0</v>
      </c>
      <c r="CN6" s="173"/>
      <c r="CO6" s="173"/>
      <c r="CP6" s="173"/>
      <c r="CQ6" s="173"/>
      <c r="CR6" s="173"/>
      <c r="CS6" s="173"/>
      <c r="CT6" s="173"/>
      <c r="CU6" s="173"/>
    </row>
    <row r="7" spans="1:99" s="4" customFormat="1">
      <c r="A7" s="16" t="s">
        <v>30</v>
      </c>
      <c r="B7" s="21">
        <v>41040</v>
      </c>
      <c r="C7" s="22" t="s">
        <v>73</v>
      </c>
      <c r="D7" s="265">
        <v>11.6</v>
      </c>
      <c r="E7" s="266">
        <v>10.9</v>
      </c>
      <c r="F7" s="266">
        <v>12.9</v>
      </c>
      <c r="G7" s="266">
        <v>12.2</v>
      </c>
      <c r="H7" s="267">
        <v>10.7</v>
      </c>
      <c r="I7" s="268"/>
      <c r="J7" s="269"/>
      <c r="K7" s="270">
        <v>1</v>
      </c>
      <c r="L7" s="265">
        <v>12.9</v>
      </c>
      <c r="M7" s="266">
        <v>12.8</v>
      </c>
      <c r="N7" s="266">
        <v>14.9</v>
      </c>
      <c r="O7" s="266">
        <v>9.9</v>
      </c>
      <c r="P7" s="271">
        <v>15.3</v>
      </c>
      <c r="Q7" s="268"/>
      <c r="R7" s="269"/>
      <c r="S7" s="270">
        <v>1</v>
      </c>
      <c r="T7" s="265">
        <v>8.6999999999999993</v>
      </c>
      <c r="U7" s="266">
        <v>9.4</v>
      </c>
      <c r="V7" s="266">
        <v>12.7</v>
      </c>
      <c r="W7" s="266">
        <v>11.3</v>
      </c>
      <c r="X7" s="271">
        <v>10.7</v>
      </c>
      <c r="Y7" s="268"/>
      <c r="Z7" s="269"/>
      <c r="AA7" s="270">
        <v>1</v>
      </c>
      <c r="AB7" s="265">
        <v>18.600000000000001</v>
      </c>
      <c r="AC7" s="266">
        <v>17.5</v>
      </c>
      <c r="AD7" s="266">
        <v>13.8</v>
      </c>
      <c r="AE7" s="266">
        <v>19.7</v>
      </c>
      <c r="AF7" s="271">
        <v>13</v>
      </c>
      <c r="AG7" s="268"/>
      <c r="AH7" s="269"/>
      <c r="AI7" s="270">
        <v>1</v>
      </c>
      <c r="AJ7" s="265">
        <v>12.6</v>
      </c>
      <c r="AK7" s="266">
        <v>10.199999999999999</v>
      </c>
      <c r="AL7" s="266">
        <v>14.9</v>
      </c>
      <c r="AM7" s="266">
        <v>13.2</v>
      </c>
      <c r="AN7" s="271">
        <v>11.3</v>
      </c>
      <c r="AO7" s="268"/>
      <c r="AP7" s="269"/>
      <c r="AQ7" s="270">
        <v>1</v>
      </c>
      <c r="AR7" s="272"/>
      <c r="AS7" s="268"/>
      <c r="AT7" s="268"/>
      <c r="AU7" s="268"/>
      <c r="AV7" s="273"/>
      <c r="AW7" s="268"/>
      <c r="AX7" s="269"/>
      <c r="AY7" s="28"/>
      <c r="AZ7" s="19">
        <f t="shared" ref="AZ7:AZ12" si="4">IF(COUNT(AJ7:AP7,AB7:AH7,T7:Z7,L7:R7,D7:J7)=0,AZ6,AVERAGE(AVERAGE(D7:J7),AVERAGE(L7:R7),AVERAGE(T7:Z7),AVERAGE(AB7:AH7),AVERAGE(AJ7:AP7)))</f>
        <v>12.868</v>
      </c>
      <c r="BA7" s="227">
        <f t="shared" si="0"/>
        <v>1</v>
      </c>
      <c r="BB7" s="173"/>
      <c r="BC7" s="173"/>
      <c r="BD7" s="173"/>
      <c r="BE7" s="173"/>
      <c r="BF7" s="173"/>
      <c r="BG7" s="173"/>
      <c r="BH7" s="173"/>
      <c r="BI7" s="173"/>
      <c r="BJ7" s="173"/>
      <c r="BK7" s="173"/>
      <c r="BL7" s="173"/>
      <c r="BM7" s="173"/>
      <c r="BN7" s="173"/>
      <c r="BO7" s="248">
        <f t="shared" si="1"/>
        <v>132</v>
      </c>
      <c r="BP7" s="319">
        <v>40662</v>
      </c>
      <c r="BQ7" s="324">
        <v>119</v>
      </c>
      <c r="BR7" s="358">
        <v>10.784000000000001</v>
      </c>
      <c r="BS7" s="358">
        <v>1</v>
      </c>
      <c r="BT7" s="319">
        <v>40298</v>
      </c>
      <c r="BU7" s="324">
        <v>120</v>
      </c>
      <c r="BV7" s="358">
        <v>6.0142857142857142</v>
      </c>
      <c r="BW7" s="358">
        <v>0</v>
      </c>
      <c r="BX7" s="319">
        <v>39927</v>
      </c>
      <c r="BY7" s="217">
        <v>114</v>
      </c>
      <c r="BZ7" s="219">
        <v>4.9542857142857146</v>
      </c>
      <c r="CA7" s="262">
        <v>0</v>
      </c>
      <c r="CB7" s="319">
        <v>39556</v>
      </c>
      <c r="CC7" s="217">
        <f t="shared" si="2"/>
        <v>109</v>
      </c>
      <c r="CD7" s="219">
        <v>5.4079999999999995</v>
      </c>
      <c r="CE7" s="253">
        <v>0</v>
      </c>
      <c r="CF7" s="321">
        <v>39189</v>
      </c>
      <c r="CG7" s="217">
        <f t="shared" si="3"/>
        <v>107</v>
      </c>
      <c r="CH7" s="211">
        <v>5.6240000000000006</v>
      </c>
      <c r="CI7" s="262">
        <v>0</v>
      </c>
      <c r="CJ7" s="319">
        <v>38841</v>
      </c>
      <c r="CK7" s="217">
        <f t="shared" ref="CK7:CK32" si="5">CJ7-DATE(YEAR(CJ7)-1,12,31)</f>
        <v>124</v>
      </c>
      <c r="CL7" s="219">
        <v>7.26</v>
      </c>
      <c r="CM7" s="258">
        <v>0</v>
      </c>
      <c r="CN7" s="173"/>
      <c r="CO7" s="173"/>
      <c r="CP7" s="173"/>
      <c r="CQ7" s="173"/>
      <c r="CR7" s="173"/>
      <c r="CS7" s="173"/>
      <c r="CT7" s="173"/>
      <c r="CU7" s="173"/>
    </row>
    <row r="8" spans="1:99" s="4" customFormat="1">
      <c r="A8" s="16" t="s">
        <v>30</v>
      </c>
      <c r="B8" s="21">
        <v>41047</v>
      </c>
      <c r="C8" s="22" t="s">
        <v>73</v>
      </c>
      <c r="D8" s="265">
        <v>15.3</v>
      </c>
      <c r="E8" s="266">
        <v>14.4</v>
      </c>
      <c r="F8" s="266">
        <v>21</v>
      </c>
      <c r="G8" s="266">
        <v>16</v>
      </c>
      <c r="H8" s="267">
        <v>14.2</v>
      </c>
      <c r="I8" s="268"/>
      <c r="J8" s="269"/>
      <c r="K8" s="270">
        <v>2</v>
      </c>
      <c r="L8" s="265">
        <v>17.600000000000001</v>
      </c>
      <c r="M8" s="266">
        <v>18.5</v>
      </c>
      <c r="N8" s="266">
        <v>20.2</v>
      </c>
      <c r="O8" s="266">
        <v>13.3</v>
      </c>
      <c r="P8" s="271">
        <v>20.2</v>
      </c>
      <c r="Q8" s="268"/>
      <c r="R8" s="269"/>
      <c r="S8" s="270">
        <v>2</v>
      </c>
      <c r="T8" s="265">
        <v>13</v>
      </c>
      <c r="U8" s="266">
        <v>10.4</v>
      </c>
      <c r="V8" s="266">
        <v>18.2</v>
      </c>
      <c r="W8" s="266">
        <v>19</v>
      </c>
      <c r="X8" s="271">
        <v>10.7</v>
      </c>
      <c r="Y8" s="268"/>
      <c r="Z8" s="269"/>
      <c r="AA8" s="270">
        <v>2</v>
      </c>
      <c r="AB8" s="265">
        <v>27</v>
      </c>
      <c r="AC8" s="266">
        <v>25.4</v>
      </c>
      <c r="AD8" s="266">
        <v>20.9</v>
      </c>
      <c r="AE8" s="266">
        <v>25.7</v>
      </c>
      <c r="AF8" s="271">
        <v>14.2</v>
      </c>
      <c r="AG8" s="268"/>
      <c r="AH8" s="269"/>
      <c r="AI8" s="270">
        <v>2</v>
      </c>
      <c r="AJ8" s="265">
        <v>18.3</v>
      </c>
      <c r="AK8" s="266">
        <v>18.600000000000001</v>
      </c>
      <c r="AL8" s="266">
        <v>21.3</v>
      </c>
      <c r="AM8" s="266">
        <v>20.7</v>
      </c>
      <c r="AN8" s="271">
        <v>17.7</v>
      </c>
      <c r="AO8" s="268"/>
      <c r="AP8" s="269"/>
      <c r="AQ8" s="270">
        <v>2</v>
      </c>
      <c r="AR8" s="272"/>
      <c r="AS8" s="268"/>
      <c r="AT8" s="268"/>
      <c r="AU8" s="268"/>
      <c r="AV8" s="273"/>
      <c r="AW8" s="268"/>
      <c r="AX8" s="269"/>
      <c r="AY8" s="28"/>
      <c r="AZ8" s="19">
        <f t="shared" si="4"/>
        <v>18.071999999999996</v>
      </c>
      <c r="BA8" s="227">
        <f t="shared" si="0"/>
        <v>2</v>
      </c>
      <c r="BB8" s="173"/>
      <c r="BC8" s="173"/>
      <c r="BD8" s="173"/>
      <c r="BE8" s="173"/>
      <c r="BF8" s="173"/>
      <c r="BG8" s="173"/>
      <c r="BH8" s="173"/>
      <c r="BI8" s="173"/>
      <c r="BJ8" s="173"/>
      <c r="BK8" s="173"/>
      <c r="BL8" s="173"/>
      <c r="BM8" s="173"/>
      <c r="BN8" s="173"/>
      <c r="BO8" s="248">
        <f t="shared" si="1"/>
        <v>139</v>
      </c>
      <c r="BP8" s="319">
        <v>40666</v>
      </c>
      <c r="BQ8" s="324">
        <v>123</v>
      </c>
      <c r="BR8" s="358">
        <v>14.675999999999998</v>
      </c>
      <c r="BS8" s="358">
        <v>1</v>
      </c>
      <c r="BT8" s="319">
        <v>40303</v>
      </c>
      <c r="BU8" s="324">
        <v>125</v>
      </c>
      <c r="BV8" s="358">
        <v>6.9771428571428569</v>
      </c>
      <c r="BW8" s="358">
        <v>0</v>
      </c>
      <c r="BX8" s="319">
        <v>39933</v>
      </c>
      <c r="BY8" s="217">
        <v>120</v>
      </c>
      <c r="BZ8" s="219">
        <v>8.1199999999999992</v>
      </c>
      <c r="CA8" s="262">
        <v>0.6</v>
      </c>
      <c r="CB8" s="319">
        <v>39563</v>
      </c>
      <c r="CC8" s="217">
        <f t="shared" si="2"/>
        <v>116</v>
      </c>
      <c r="CD8" s="219">
        <v>5.4799999999999995</v>
      </c>
      <c r="CE8" s="253">
        <v>0</v>
      </c>
      <c r="CF8" s="321">
        <v>39192</v>
      </c>
      <c r="CG8" s="217">
        <f t="shared" si="3"/>
        <v>110</v>
      </c>
      <c r="CH8" s="211">
        <v>5.5640000000000001</v>
      </c>
      <c r="CI8" s="262">
        <v>0</v>
      </c>
      <c r="CJ8" s="319">
        <v>38845</v>
      </c>
      <c r="CK8" s="217">
        <f t="shared" si="5"/>
        <v>128</v>
      </c>
      <c r="CL8" s="219">
        <v>11.767999999999999</v>
      </c>
      <c r="CM8" s="258">
        <v>0.4</v>
      </c>
      <c r="CN8" s="173"/>
      <c r="CO8" s="173"/>
      <c r="CP8" s="173"/>
      <c r="CQ8" s="173"/>
      <c r="CR8" s="173"/>
      <c r="CS8" s="173"/>
      <c r="CT8" s="173"/>
      <c r="CU8" s="173"/>
    </row>
    <row r="9" spans="1:99" s="4" customFormat="1">
      <c r="A9" s="16" t="s">
        <v>30</v>
      </c>
      <c r="B9" s="21">
        <v>41053</v>
      </c>
      <c r="C9" s="22" t="s">
        <v>75</v>
      </c>
      <c r="D9" s="265">
        <v>23</v>
      </c>
      <c r="E9" s="266">
        <v>29.5</v>
      </c>
      <c r="F9" s="266">
        <v>39.200000000000003</v>
      </c>
      <c r="G9" s="266">
        <v>32.9</v>
      </c>
      <c r="H9" s="267">
        <v>27.8</v>
      </c>
      <c r="I9" s="268"/>
      <c r="J9" s="269"/>
      <c r="K9" s="270">
        <v>2</v>
      </c>
      <c r="L9" s="265">
        <v>28.3</v>
      </c>
      <c r="M9" s="266">
        <v>29.8</v>
      </c>
      <c r="N9" s="266">
        <v>22</v>
      </c>
      <c r="O9" s="266">
        <v>28.7</v>
      </c>
      <c r="P9" s="271">
        <v>33.700000000000003</v>
      </c>
      <c r="Q9" s="268"/>
      <c r="R9" s="269"/>
      <c r="S9" s="270">
        <v>2</v>
      </c>
      <c r="T9" s="265">
        <v>21.1</v>
      </c>
      <c r="U9" s="266">
        <v>23.5</v>
      </c>
      <c r="V9" s="266">
        <v>26.3</v>
      </c>
      <c r="W9" s="266">
        <v>36.4</v>
      </c>
      <c r="X9" s="271">
        <v>15.3</v>
      </c>
      <c r="Y9" s="268"/>
      <c r="Z9" s="269"/>
      <c r="AA9" s="270">
        <v>2</v>
      </c>
      <c r="AB9" s="265">
        <v>40.799999999999997</v>
      </c>
      <c r="AC9" s="266">
        <v>35.799999999999997</v>
      </c>
      <c r="AD9" s="266">
        <v>36.700000000000003</v>
      </c>
      <c r="AE9" s="266">
        <v>33.799999999999997</v>
      </c>
      <c r="AF9" s="271">
        <v>38.5</v>
      </c>
      <c r="AG9" s="268"/>
      <c r="AH9" s="269"/>
      <c r="AI9" s="270">
        <v>2</v>
      </c>
      <c r="AJ9" s="265">
        <v>31.1</v>
      </c>
      <c r="AK9" s="266">
        <v>24.9</v>
      </c>
      <c r="AL9" s="266">
        <v>28.3</v>
      </c>
      <c r="AM9" s="266">
        <v>35.1</v>
      </c>
      <c r="AN9" s="271">
        <v>32.6</v>
      </c>
      <c r="AO9" s="268"/>
      <c r="AP9" s="269"/>
      <c r="AQ9" s="270">
        <v>2</v>
      </c>
      <c r="AR9" s="272"/>
      <c r="AS9" s="268"/>
      <c r="AT9" s="268"/>
      <c r="AU9" s="268"/>
      <c r="AV9" s="273"/>
      <c r="AW9" s="268"/>
      <c r="AX9" s="269"/>
      <c r="AY9" s="28"/>
      <c r="AZ9" s="19">
        <f t="shared" si="4"/>
        <v>30.204000000000001</v>
      </c>
      <c r="BA9" s="227">
        <f t="shared" si="0"/>
        <v>2</v>
      </c>
      <c r="BB9" s="173"/>
      <c r="BC9" s="173"/>
      <c r="BD9" s="173"/>
      <c r="BE9" s="173"/>
      <c r="BF9" s="173"/>
      <c r="BG9" s="173"/>
      <c r="BH9" s="173"/>
      <c r="BI9" s="173"/>
      <c r="BJ9" s="173"/>
      <c r="BK9" s="173"/>
      <c r="BL9" s="173"/>
      <c r="BM9" s="173"/>
      <c r="BN9" s="173"/>
      <c r="BO9" s="248">
        <f t="shared" si="1"/>
        <v>145</v>
      </c>
      <c r="BP9" s="319">
        <v>40673</v>
      </c>
      <c r="BQ9" s="324">
        <v>130</v>
      </c>
      <c r="BR9" s="358">
        <v>21.375999999999998</v>
      </c>
      <c r="BS9" s="358">
        <v>2</v>
      </c>
      <c r="BT9" s="319">
        <v>40312</v>
      </c>
      <c r="BU9" s="324">
        <v>134</v>
      </c>
      <c r="BV9" s="358">
        <v>8.8971428571428568</v>
      </c>
      <c r="BW9" s="358">
        <v>1</v>
      </c>
      <c r="BX9" s="319">
        <v>39941</v>
      </c>
      <c r="BY9" s="217">
        <v>128</v>
      </c>
      <c r="BZ9" s="219">
        <v>11.091428571428573</v>
      </c>
      <c r="CA9" s="262">
        <v>1</v>
      </c>
      <c r="CB9" s="319">
        <v>39570</v>
      </c>
      <c r="CC9" s="217">
        <f t="shared" si="2"/>
        <v>123</v>
      </c>
      <c r="CD9" s="219">
        <v>7.0319999999999991</v>
      </c>
      <c r="CE9" s="253">
        <v>0.2</v>
      </c>
      <c r="CF9" s="321">
        <v>39197</v>
      </c>
      <c r="CG9" s="217">
        <f t="shared" si="3"/>
        <v>115</v>
      </c>
      <c r="CH9" s="211">
        <v>7.8839999999999986</v>
      </c>
      <c r="CI9" s="262">
        <v>0.2</v>
      </c>
      <c r="CJ9" s="319">
        <v>38847</v>
      </c>
      <c r="CK9" s="217">
        <f t="shared" si="5"/>
        <v>130</v>
      </c>
      <c r="CL9" s="219">
        <v>15.715999999999999</v>
      </c>
      <c r="CM9" s="258">
        <v>1</v>
      </c>
      <c r="CN9" s="173"/>
      <c r="CO9" s="173"/>
      <c r="CP9" s="173"/>
      <c r="CQ9" s="173"/>
      <c r="CR9" s="173"/>
      <c r="CS9" s="173"/>
      <c r="CT9" s="173"/>
      <c r="CU9" s="173"/>
    </row>
    <row r="10" spans="1:99" s="4" customFormat="1">
      <c r="A10" s="16" t="s">
        <v>30</v>
      </c>
      <c r="B10" s="21">
        <v>41059</v>
      </c>
      <c r="C10" s="22" t="s">
        <v>73</v>
      </c>
      <c r="D10" s="265">
        <v>34.200000000000003</v>
      </c>
      <c r="E10" s="266">
        <v>43.1</v>
      </c>
      <c r="F10" s="266">
        <v>39.200000000000003</v>
      </c>
      <c r="G10" s="266">
        <v>37.299999999999997</v>
      </c>
      <c r="H10" s="267">
        <v>29.5</v>
      </c>
      <c r="I10" s="268"/>
      <c r="J10" s="269"/>
      <c r="K10" s="270">
        <v>2</v>
      </c>
      <c r="L10" s="265">
        <v>32.6</v>
      </c>
      <c r="M10" s="266">
        <v>33.6</v>
      </c>
      <c r="N10" s="266">
        <v>32.9</v>
      </c>
      <c r="O10" s="266">
        <v>28.7</v>
      </c>
      <c r="P10" s="271">
        <v>33.700000000000003</v>
      </c>
      <c r="Q10" s="268"/>
      <c r="R10" s="269"/>
      <c r="S10" s="270">
        <v>2</v>
      </c>
      <c r="T10" s="265">
        <v>26.1</v>
      </c>
      <c r="U10" s="266">
        <v>29.2</v>
      </c>
      <c r="V10" s="266">
        <v>30.3</v>
      </c>
      <c r="W10" s="266">
        <v>40.1</v>
      </c>
      <c r="X10" s="271">
        <v>18.600000000000001</v>
      </c>
      <c r="Y10" s="268"/>
      <c r="Z10" s="269"/>
      <c r="AA10" s="270">
        <v>2</v>
      </c>
      <c r="AB10" s="265">
        <v>40.799999999999997</v>
      </c>
      <c r="AC10" s="266">
        <v>41.2</v>
      </c>
      <c r="AD10" s="266">
        <v>36.700000000000003</v>
      </c>
      <c r="AE10" s="266">
        <v>33.799999999999997</v>
      </c>
      <c r="AF10" s="271">
        <v>38.5</v>
      </c>
      <c r="AG10" s="268"/>
      <c r="AH10" s="269"/>
      <c r="AI10" s="270">
        <v>2</v>
      </c>
      <c r="AJ10" s="265">
        <v>35.200000000000003</v>
      </c>
      <c r="AK10" s="266">
        <v>27.7</v>
      </c>
      <c r="AL10" s="266">
        <v>39.9</v>
      </c>
      <c r="AM10" s="266">
        <v>40.799999999999997</v>
      </c>
      <c r="AN10" s="271">
        <v>39.299999999999997</v>
      </c>
      <c r="AO10" s="268"/>
      <c r="AP10" s="269"/>
      <c r="AQ10" s="270">
        <v>2</v>
      </c>
      <c r="AR10" s="272"/>
      <c r="AS10" s="268"/>
      <c r="AT10" s="268"/>
      <c r="AU10" s="268"/>
      <c r="AV10" s="273"/>
      <c r="AW10" s="268"/>
      <c r="AX10" s="269"/>
      <c r="AY10" s="28"/>
      <c r="AZ10" s="19">
        <f t="shared" si="4"/>
        <v>34.520000000000003</v>
      </c>
      <c r="BA10" s="227">
        <f t="shared" si="0"/>
        <v>2</v>
      </c>
      <c r="BB10" s="173"/>
      <c r="BC10" s="173"/>
      <c r="BD10" s="173"/>
      <c r="BE10" s="173"/>
      <c r="BF10" s="173"/>
      <c r="BG10" s="173"/>
      <c r="BH10" s="173"/>
      <c r="BI10" s="173"/>
      <c r="BJ10" s="173"/>
      <c r="BK10" s="173"/>
      <c r="BL10" s="173"/>
      <c r="BM10" s="173"/>
      <c r="BN10" s="173"/>
      <c r="BO10" s="248">
        <f t="shared" si="1"/>
        <v>151</v>
      </c>
      <c r="BP10" s="319">
        <v>40681</v>
      </c>
      <c r="BQ10" s="324">
        <v>138</v>
      </c>
      <c r="BR10" s="358">
        <v>29.488</v>
      </c>
      <c r="BS10" s="358">
        <v>2</v>
      </c>
      <c r="BT10" s="319">
        <v>40318</v>
      </c>
      <c r="BU10" s="324">
        <v>140</v>
      </c>
      <c r="BV10" s="358">
        <v>15.754285714285714</v>
      </c>
      <c r="BW10" s="358">
        <v>1</v>
      </c>
      <c r="BX10" s="319">
        <v>39948</v>
      </c>
      <c r="BY10" s="217">
        <v>135</v>
      </c>
      <c r="BZ10" s="219">
        <v>16.722857142857141</v>
      </c>
      <c r="CA10" s="262">
        <v>1.4</v>
      </c>
      <c r="CB10" s="319">
        <v>39577</v>
      </c>
      <c r="CC10" s="217">
        <f t="shared" si="2"/>
        <v>130</v>
      </c>
      <c r="CD10" s="219">
        <v>9.968</v>
      </c>
      <c r="CE10" s="253">
        <v>1</v>
      </c>
      <c r="CF10" s="321">
        <v>39199</v>
      </c>
      <c r="CG10" s="217">
        <f t="shared" si="3"/>
        <v>117</v>
      </c>
      <c r="CH10" s="211">
        <v>8.6639999999999997</v>
      </c>
      <c r="CI10" s="262">
        <v>0.2</v>
      </c>
      <c r="CJ10" s="319">
        <v>38849</v>
      </c>
      <c r="CK10" s="217">
        <f t="shared" si="5"/>
        <v>132</v>
      </c>
      <c r="CL10" s="219">
        <v>20.167999999999999</v>
      </c>
      <c r="CM10" s="258">
        <v>2</v>
      </c>
      <c r="CN10" s="173"/>
      <c r="CO10" s="173"/>
      <c r="CP10" s="173"/>
      <c r="CQ10" s="173"/>
      <c r="CR10" s="173"/>
      <c r="CS10" s="173"/>
      <c r="CT10" s="173"/>
      <c r="CU10" s="173"/>
    </row>
    <row r="11" spans="1:99" s="4" customFormat="1">
      <c r="A11" s="16" t="s">
        <v>30</v>
      </c>
      <c r="B11" s="21">
        <v>41068</v>
      </c>
      <c r="C11" s="22" t="s">
        <v>73</v>
      </c>
      <c r="D11" s="265">
        <v>37</v>
      </c>
      <c r="E11" s="266">
        <v>45</v>
      </c>
      <c r="F11" s="266">
        <v>39.4</v>
      </c>
      <c r="G11" s="266">
        <v>39.700000000000003</v>
      </c>
      <c r="H11" s="267">
        <v>29.6</v>
      </c>
      <c r="I11" s="268"/>
      <c r="J11" s="269"/>
      <c r="K11" s="270">
        <v>2</v>
      </c>
      <c r="L11" s="265">
        <v>34.200000000000003</v>
      </c>
      <c r="M11" s="266">
        <v>33.700000000000003</v>
      </c>
      <c r="N11" s="266">
        <v>32.799999999999997</v>
      </c>
      <c r="O11" s="266">
        <v>28.6</v>
      </c>
      <c r="P11" s="271">
        <v>33.5</v>
      </c>
      <c r="Q11" s="268"/>
      <c r="R11" s="269"/>
      <c r="S11" s="270">
        <v>2</v>
      </c>
      <c r="T11" s="265">
        <v>28</v>
      </c>
      <c r="U11" s="266">
        <v>30</v>
      </c>
      <c r="V11" s="266">
        <v>32.200000000000003</v>
      </c>
      <c r="W11" s="266">
        <v>46.3</v>
      </c>
      <c r="X11" s="271">
        <v>20.100000000000001</v>
      </c>
      <c r="Y11" s="268"/>
      <c r="Z11" s="269"/>
      <c r="AA11" s="270">
        <v>2</v>
      </c>
      <c r="AB11" s="265">
        <v>40.5</v>
      </c>
      <c r="AC11" s="266">
        <v>41.4</v>
      </c>
      <c r="AD11" s="266">
        <v>36.5</v>
      </c>
      <c r="AE11" s="266">
        <v>33.5</v>
      </c>
      <c r="AF11" s="271">
        <v>38.4</v>
      </c>
      <c r="AG11" s="268"/>
      <c r="AH11" s="269"/>
      <c r="AI11" s="270">
        <v>3</v>
      </c>
      <c r="AJ11" s="265">
        <v>39</v>
      </c>
      <c r="AK11" s="266">
        <v>29.5</v>
      </c>
      <c r="AL11" s="266">
        <v>41.7</v>
      </c>
      <c r="AM11" s="266">
        <v>41.2</v>
      </c>
      <c r="AN11" s="271">
        <v>41.9</v>
      </c>
      <c r="AO11" s="268"/>
      <c r="AP11" s="269"/>
      <c r="AQ11" s="270">
        <v>2</v>
      </c>
      <c r="AR11" s="272"/>
      <c r="AS11" s="268"/>
      <c r="AT11" s="268"/>
      <c r="AU11" s="268"/>
      <c r="AV11" s="273"/>
      <c r="AW11" s="268"/>
      <c r="AX11" s="269"/>
      <c r="AY11" s="28"/>
      <c r="AZ11" s="19">
        <f t="shared" si="4"/>
        <v>35.748000000000005</v>
      </c>
      <c r="BA11" s="227">
        <f t="shared" si="0"/>
        <v>2.2000000000000002</v>
      </c>
      <c r="BB11" s="173"/>
      <c r="BC11" s="173"/>
      <c r="BD11" s="173"/>
      <c r="BE11" s="173"/>
      <c r="BF11" s="173"/>
      <c r="BG11" s="173"/>
      <c r="BH11" s="173"/>
      <c r="BI11" s="173"/>
      <c r="BJ11" s="173"/>
      <c r="BK11" s="173"/>
      <c r="BL11" s="173"/>
      <c r="BM11" s="173"/>
      <c r="BN11" s="173"/>
      <c r="BO11" s="248">
        <f t="shared" si="1"/>
        <v>160</v>
      </c>
      <c r="BP11" s="319">
        <v>40688</v>
      </c>
      <c r="BQ11" s="324">
        <v>145</v>
      </c>
      <c r="BR11" s="358">
        <v>34.14</v>
      </c>
      <c r="BS11" s="358">
        <v>2</v>
      </c>
      <c r="BT11" s="319">
        <v>40325</v>
      </c>
      <c r="BU11" s="324">
        <v>147</v>
      </c>
      <c r="BV11" s="358">
        <v>33.466190476190476</v>
      </c>
      <c r="BW11" s="358">
        <v>2</v>
      </c>
      <c r="BX11" s="319">
        <v>39953</v>
      </c>
      <c r="BY11" s="217">
        <v>140</v>
      </c>
      <c r="BZ11" s="219">
        <v>20.651428571428575</v>
      </c>
      <c r="CA11" s="262">
        <v>1.8</v>
      </c>
      <c r="CB11" s="319">
        <v>39584</v>
      </c>
      <c r="CC11" s="217">
        <f t="shared" si="2"/>
        <v>137</v>
      </c>
      <c r="CD11" s="219">
        <v>15.195999999999998</v>
      </c>
      <c r="CE11" s="253">
        <v>3</v>
      </c>
      <c r="CF11" s="321">
        <v>39204</v>
      </c>
      <c r="CG11" s="217">
        <f t="shared" si="3"/>
        <v>122</v>
      </c>
      <c r="CH11" s="211">
        <v>12.187999999999999</v>
      </c>
      <c r="CI11" s="262">
        <v>1.2</v>
      </c>
      <c r="CJ11" s="319">
        <v>38852</v>
      </c>
      <c r="CK11" s="217">
        <f t="shared" si="5"/>
        <v>135</v>
      </c>
      <c r="CL11" s="219">
        <v>23.488</v>
      </c>
      <c r="CM11" s="258">
        <v>2</v>
      </c>
      <c r="CN11" s="173"/>
      <c r="CO11" s="173"/>
      <c r="CP11" s="173"/>
      <c r="CQ11" s="173"/>
      <c r="CR11" s="173"/>
      <c r="CS11" s="173"/>
      <c r="CT11" s="173"/>
      <c r="CU11" s="173"/>
    </row>
    <row r="12" spans="1:99" s="4" customFormat="1">
      <c r="A12" s="16" t="s">
        <v>30</v>
      </c>
      <c r="B12" s="21">
        <v>41074</v>
      </c>
      <c r="C12" s="22" t="s">
        <v>74</v>
      </c>
      <c r="D12" s="265">
        <v>37.1</v>
      </c>
      <c r="E12" s="266">
        <v>44.9</v>
      </c>
      <c r="F12" s="266">
        <v>40</v>
      </c>
      <c r="G12" s="266">
        <v>39.5</v>
      </c>
      <c r="H12" s="267">
        <v>30</v>
      </c>
      <c r="I12" s="268"/>
      <c r="J12" s="269"/>
      <c r="K12" s="270">
        <v>3</v>
      </c>
      <c r="L12" s="265">
        <v>34.299999999999997</v>
      </c>
      <c r="M12" s="266">
        <v>33.6</v>
      </c>
      <c r="N12" s="266">
        <v>32.9</v>
      </c>
      <c r="O12" s="266">
        <v>28.7</v>
      </c>
      <c r="P12" s="271">
        <v>33.6</v>
      </c>
      <c r="Q12" s="268"/>
      <c r="R12" s="269"/>
      <c r="S12" s="270">
        <v>3</v>
      </c>
      <c r="T12" s="265">
        <v>27.9</v>
      </c>
      <c r="U12" s="266">
        <v>29.9</v>
      </c>
      <c r="V12" s="266">
        <v>32.4</v>
      </c>
      <c r="W12" s="266">
        <v>46.4</v>
      </c>
      <c r="X12" s="271">
        <v>20.100000000000001</v>
      </c>
      <c r="Y12" s="268"/>
      <c r="Z12" s="269"/>
      <c r="AA12" s="270">
        <v>3</v>
      </c>
      <c r="AB12" s="265"/>
      <c r="AC12" s="266"/>
      <c r="AD12" s="266"/>
      <c r="AE12" s="266"/>
      <c r="AF12" s="271"/>
      <c r="AG12" s="268"/>
      <c r="AH12" s="269"/>
      <c r="AI12" s="270"/>
      <c r="AJ12" s="265">
        <v>39</v>
      </c>
      <c r="AK12" s="266">
        <v>29.4</v>
      </c>
      <c r="AL12" s="266">
        <v>41.6</v>
      </c>
      <c r="AM12" s="266">
        <v>41.4</v>
      </c>
      <c r="AN12" s="271">
        <v>41.8</v>
      </c>
      <c r="AO12" s="268"/>
      <c r="AP12" s="269"/>
      <c r="AQ12" s="270">
        <v>3</v>
      </c>
      <c r="AR12" s="272"/>
      <c r="AS12" s="268"/>
      <c r="AT12" s="268"/>
      <c r="AU12" s="268"/>
      <c r="AV12" s="273"/>
      <c r="AW12" s="268"/>
      <c r="AX12" s="269"/>
      <c r="AY12" s="28"/>
      <c r="AZ12" s="19" t="e">
        <f t="shared" si="4"/>
        <v>#DIV/0!</v>
      </c>
      <c r="BA12" s="227">
        <f t="shared" si="0"/>
        <v>3</v>
      </c>
      <c r="BB12" s="173"/>
      <c r="BC12" s="173"/>
      <c r="BD12" s="173"/>
      <c r="BE12" s="173"/>
      <c r="BF12" s="173"/>
      <c r="BG12" s="173"/>
      <c r="BH12" s="173"/>
      <c r="BI12" s="173"/>
      <c r="BJ12" s="173"/>
      <c r="BK12" s="173"/>
      <c r="BL12" s="173"/>
      <c r="BM12" s="173"/>
      <c r="BN12" s="173"/>
      <c r="BO12" s="248">
        <f t="shared" si="1"/>
        <v>166</v>
      </c>
      <c r="BP12" s="319">
        <v>40693</v>
      </c>
      <c r="BQ12" s="324">
        <v>150</v>
      </c>
      <c r="BR12" s="358">
        <v>35.507999999999996</v>
      </c>
      <c r="BS12" s="358">
        <v>2</v>
      </c>
      <c r="BT12" s="319">
        <v>40333</v>
      </c>
      <c r="BU12" s="324">
        <v>155</v>
      </c>
      <c r="BV12" s="358">
        <v>44.534761904761908</v>
      </c>
      <c r="BW12" s="358">
        <v>3</v>
      </c>
      <c r="BX12" s="319">
        <v>39962</v>
      </c>
      <c r="BY12" s="217">
        <v>149</v>
      </c>
      <c r="BZ12" s="219">
        <v>36.666857142857147</v>
      </c>
      <c r="CA12" s="262">
        <v>3</v>
      </c>
      <c r="CB12" s="319">
        <v>39591</v>
      </c>
      <c r="CC12" s="217">
        <f t="shared" si="2"/>
        <v>144</v>
      </c>
      <c r="CD12" s="219">
        <v>26.28</v>
      </c>
      <c r="CE12" s="253">
        <v>3</v>
      </c>
      <c r="CF12" s="321">
        <v>39206</v>
      </c>
      <c r="CG12" s="217">
        <f t="shared" si="3"/>
        <v>124</v>
      </c>
      <c r="CH12" s="211">
        <v>13.544</v>
      </c>
      <c r="CI12" s="262">
        <v>1.2</v>
      </c>
      <c r="CJ12" s="319">
        <v>38854</v>
      </c>
      <c r="CK12" s="217">
        <f t="shared" si="5"/>
        <v>137</v>
      </c>
      <c r="CL12" s="219">
        <v>27.16</v>
      </c>
      <c r="CM12" s="258">
        <v>2</v>
      </c>
      <c r="CN12" s="173"/>
      <c r="CO12" s="173"/>
      <c r="CP12" s="173"/>
      <c r="CQ12" s="173"/>
      <c r="CR12" s="173"/>
      <c r="CS12" s="173"/>
      <c r="CT12" s="173"/>
      <c r="CU12" s="173"/>
    </row>
    <row r="13" spans="1:99" s="4" customFormat="1">
      <c r="A13" s="16" t="s">
        <v>30</v>
      </c>
      <c r="B13" s="21">
        <v>41130</v>
      </c>
      <c r="C13" s="22" t="s">
        <v>73</v>
      </c>
      <c r="D13" s="265"/>
      <c r="E13" s="266"/>
      <c r="F13" s="266"/>
      <c r="G13" s="266"/>
      <c r="H13" s="267"/>
      <c r="I13" s="268"/>
      <c r="J13" s="269"/>
      <c r="K13" s="270">
        <v>4</v>
      </c>
      <c r="L13" s="265"/>
      <c r="M13" s="266"/>
      <c r="N13" s="266"/>
      <c r="O13" s="266"/>
      <c r="P13" s="271"/>
      <c r="Q13" s="268"/>
      <c r="R13" s="269"/>
      <c r="S13" s="270">
        <v>4</v>
      </c>
      <c r="T13" s="265"/>
      <c r="U13" s="266"/>
      <c r="V13" s="266"/>
      <c r="W13" s="266"/>
      <c r="X13" s="271"/>
      <c r="Y13" s="268"/>
      <c r="Z13" s="269"/>
      <c r="AA13" s="270">
        <v>4</v>
      </c>
      <c r="AB13" s="265"/>
      <c r="AC13" s="266"/>
      <c r="AD13" s="266"/>
      <c r="AE13" s="266"/>
      <c r="AF13" s="271"/>
      <c r="AG13" s="268"/>
      <c r="AH13" s="269"/>
      <c r="AI13" s="270">
        <v>4</v>
      </c>
      <c r="AJ13" s="265"/>
      <c r="AK13" s="266"/>
      <c r="AL13" s="266"/>
      <c r="AM13" s="266"/>
      <c r="AN13" s="271"/>
      <c r="AO13" s="268"/>
      <c r="AP13" s="269"/>
      <c r="AQ13" s="270">
        <v>4</v>
      </c>
      <c r="AR13" s="272"/>
      <c r="AS13" s="268"/>
      <c r="AT13" s="268"/>
      <c r="AU13" s="268"/>
      <c r="AV13" s="273"/>
      <c r="AW13" s="268"/>
      <c r="AX13" s="269"/>
      <c r="AY13" s="28"/>
      <c r="AZ13" s="19" t="e">
        <f>IF(COUNT(AJ13:AP13,AB13:AH13,T13:Z13,L13:R13,D13:J13)=0,AZ12,AVERAGE(AVERAGE(D13:J13),AVERAGE(L13:R13),AVERAGE(T13:Z13),AVERAGE(AB13:AH13),AVERAGE(AJ13:AP13)))</f>
        <v>#DIV/0!</v>
      </c>
      <c r="BA13" s="227">
        <f t="shared" si="0"/>
        <v>4</v>
      </c>
      <c r="BB13" s="173"/>
      <c r="BC13" s="173"/>
      <c r="BD13" s="173"/>
      <c r="BE13" s="173"/>
      <c r="BF13" s="173"/>
      <c r="BG13" s="173"/>
      <c r="BH13" s="173"/>
      <c r="BI13" s="173"/>
      <c r="BJ13" s="173"/>
      <c r="BK13" s="173"/>
      <c r="BL13" s="173"/>
      <c r="BM13" s="173"/>
      <c r="BN13" s="173"/>
      <c r="BO13" s="248">
        <f t="shared" si="1"/>
        <v>222</v>
      </c>
      <c r="BP13" s="319">
        <v>40701</v>
      </c>
      <c r="BQ13" s="324">
        <v>158</v>
      </c>
      <c r="BR13" s="358">
        <v>35.911999999999999</v>
      </c>
      <c r="BS13" s="358">
        <v>3</v>
      </c>
      <c r="BT13" s="319">
        <v>40340</v>
      </c>
      <c r="BU13" s="324">
        <v>162</v>
      </c>
      <c r="BV13" s="358">
        <v>46.312380952380956</v>
      </c>
      <c r="BW13" s="358">
        <v>3</v>
      </c>
      <c r="BX13" s="319">
        <v>39968</v>
      </c>
      <c r="BY13" s="217">
        <v>155</v>
      </c>
      <c r="BZ13" s="219">
        <v>42.646380952380952</v>
      </c>
      <c r="CA13" s="262">
        <v>3</v>
      </c>
      <c r="CB13" s="319">
        <v>39598</v>
      </c>
      <c r="CC13" s="217">
        <f t="shared" si="2"/>
        <v>151</v>
      </c>
      <c r="CD13" s="219">
        <v>30.762700617283951</v>
      </c>
      <c r="CE13" s="253">
        <v>3</v>
      </c>
      <c r="CF13" s="321">
        <v>39210</v>
      </c>
      <c r="CG13" s="217">
        <f t="shared" si="3"/>
        <v>128</v>
      </c>
      <c r="CH13" s="211">
        <v>17.560000000000002</v>
      </c>
      <c r="CI13" s="262">
        <v>2</v>
      </c>
      <c r="CJ13" s="319">
        <v>38856</v>
      </c>
      <c r="CK13" s="217">
        <f t="shared" si="5"/>
        <v>139</v>
      </c>
      <c r="CL13" s="219">
        <v>27.529333333333341</v>
      </c>
      <c r="CM13" s="258">
        <v>2</v>
      </c>
      <c r="CN13" s="173"/>
      <c r="CO13" s="173"/>
      <c r="CP13" s="173"/>
      <c r="CQ13" s="173"/>
      <c r="CR13" s="173"/>
      <c r="CS13" s="173"/>
      <c r="CT13" s="173"/>
      <c r="CU13" s="173"/>
    </row>
    <row r="14" spans="1:99" s="4" customFormat="1">
      <c r="A14" s="16" t="s">
        <v>30</v>
      </c>
      <c r="B14" s="21">
        <v>41127</v>
      </c>
      <c r="C14" s="22" t="s">
        <v>92</v>
      </c>
      <c r="D14" s="265"/>
      <c r="E14" s="266"/>
      <c r="F14" s="266"/>
      <c r="G14" s="266"/>
      <c r="H14" s="267"/>
      <c r="I14" s="268"/>
      <c r="J14" s="269"/>
      <c r="K14" s="270">
        <v>4</v>
      </c>
      <c r="L14" s="265"/>
      <c r="M14" s="266"/>
      <c r="N14" s="266"/>
      <c r="O14" s="266"/>
      <c r="P14" s="271"/>
      <c r="Q14" s="268"/>
      <c r="R14" s="269"/>
      <c r="S14" s="270">
        <v>4</v>
      </c>
      <c r="T14" s="265"/>
      <c r="U14" s="266"/>
      <c r="V14" s="266"/>
      <c r="W14" s="266"/>
      <c r="X14" s="271"/>
      <c r="Y14" s="268"/>
      <c r="Z14" s="269"/>
      <c r="AA14" s="270">
        <v>4</v>
      </c>
      <c r="AB14" s="265"/>
      <c r="AC14" s="266"/>
      <c r="AD14" s="266"/>
      <c r="AE14" s="266"/>
      <c r="AF14" s="271"/>
      <c r="AG14" s="268"/>
      <c r="AH14" s="269"/>
      <c r="AI14" s="270">
        <v>4</v>
      </c>
      <c r="AJ14" s="265"/>
      <c r="AK14" s="266"/>
      <c r="AL14" s="266"/>
      <c r="AM14" s="266"/>
      <c r="AN14" s="271"/>
      <c r="AO14" s="268"/>
      <c r="AP14" s="269"/>
      <c r="AQ14" s="270">
        <v>4</v>
      </c>
      <c r="AR14" s="272"/>
      <c r="AS14" s="268"/>
      <c r="AT14" s="268"/>
      <c r="AU14" s="268"/>
      <c r="AV14" s="273"/>
      <c r="AW14" s="268"/>
      <c r="AX14" s="269"/>
      <c r="AY14" s="28"/>
      <c r="AZ14" s="19" t="e">
        <f t="shared" ref="AZ14:AZ77" si="6">IF(COUNT(AJ14:AP14,AB14:AH14,T14:Z14,L14:R14,D14:J14)=0,AZ13,AVERAGE(AVERAGE(D14:J14),AVERAGE(L14:R14),AVERAGE(T14:Z14),AVERAGE(AB14:AH14),AVERAGE(AJ14:AP14)))</f>
        <v>#DIV/0!</v>
      </c>
      <c r="BA14" s="227">
        <f t="shared" si="0"/>
        <v>4</v>
      </c>
      <c r="BB14" s="173"/>
      <c r="BC14" s="173"/>
      <c r="BD14" s="173"/>
      <c r="BE14" s="173"/>
      <c r="BF14" s="173"/>
      <c r="BG14" s="173"/>
      <c r="BH14" s="173"/>
      <c r="BI14" s="173"/>
      <c r="BJ14" s="173"/>
      <c r="BK14" s="173"/>
      <c r="BL14" s="173"/>
      <c r="BM14" s="173"/>
      <c r="BN14" s="173"/>
      <c r="BO14" s="248">
        <f t="shared" si="1"/>
        <v>219</v>
      </c>
      <c r="BP14" s="319"/>
      <c r="BQ14" s="324">
        <v>158</v>
      </c>
      <c r="BR14" s="358"/>
      <c r="BS14" s="358">
        <v>3</v>
      </c>
      <c r="BT14" s="319">
        <v>40351</v>
      </c>
      <c r="BU14" s="324">
        <v>173</v>
      </c>
      <c r="BV14" s="358">
        <v>48.577619047619045</v>
      </c>
      <c r="BW14" s="358">
        <v>3</v>
      </c>
      <c r="BX14" s="319">
        <v>39976</v>
      </c>
      <c r="BY14" s="217">
        <v>163</v>
      </c>
      <c r="BZ14" s="219">
        <v>43.765999999999998</v>
      </c>
      <c r="CA14" s="262">
        <v>3</v>
      </c>
      <c r="CB14" s="319">
        <v>39618</v>
      </c>
      <c r="CC14" s="217">
        <f t="shared" si="2"/>
        <v>171</v>
      </c>
      <c r="CD14" s="219">
        <v>43.570416666666667</v>
      </c>
      <c r="CE14" s="253">
        <v>3</v>
      </c>
      <c r="CF14" s="321">
        <v>39213</v>
      </c>
      <c r="CG14" s="217">
        <f t="shared" si="3"/>
        <v>131</v>
      </c>
      <c r="CH14" s="211">
        <v>18.763999999999999</v>
      </c>
      <c r="CI14" s="262">
        <v>2</v>
      </c>
      <c r="CJ14" s="319">
        <v>38859</v>
      </c>
      <c r="CK14" s="217">
        <f t="shared" si="5"/>
        <v>142</v>
      </c>
      <c r="CL14" s="219">
        <v>31.693333333333335</v>
      </c>
      <c r="CM14" s="258">
        <v>3</v>
      </c>
      <c r="CN14" s="173"/>
      <c r="CO14" s="173"/>
      <c r="CP14" s="173"/>
      <c r="CQ14" s="173"/>
      <c r="CR14" s="173"/>
      <c r="CS14" s="173"/>
      <c r="CT14" s="173"/>
      <c r="CU14" s="173"/>
    </row>
    <row r="15" spans="1:99" s="4" customFormat="1">
      <c r="A15" s="16" t="s">
        <v>30</v>
      </c>
      <c r="B15" s="21">
        <v>41145</v>
      </c>
      <c r="C15" s="22" t="s">
        <v>74</v>
      </c>
      <c r="D15" s="265"/>
      <c r="E15" s="266"/>
      <c r="F15" s="266"/>
      <c r="G15" s="266"/>
      <c r="H15" s="267"/>
      <c r="I15" s="268"/>
      <c r="J15" s="269"/>
      <c r="K15" s="270">
        <v>4</v>
      </c>
      <c r="L15" s="265"/>
      <c r="M15" s="266"/>
      <c r="N15" s="266"/>
      <c r="O15" s="266"/>
      <c r="P15" s="271"/>
      <c r="Q15" s="268"/>
      <c r="R15" s="269"/>
      <c r="S15" s="270">
        <v>4</v>
      </c>
      <c r="T15" s="265"/>
      <c r="U15" s="266"/>
      <c r="V15" s="266"/>
      <c r="W15" s="266"/>
      <c r="X15" s="271"/>
      <c r="Y15" s="268"/>
      <c r="Z15" s="269"/>
      <c r="AA15" s="270">
        <v>4</v>
      </c>
      <c r="AB15" s="265"/>
      <c r="AC15" s="266"/>
      <c r="AD15" s="266"/>
      <c r="AE15" s="266"/>
      <c r="AF15" s="271"/>
      <c r="AG15" s="268"/>
      <c r="AH15" s="269"/>
      <c r="AI15" s="270">
        <v>4</v>
      </c>
      <c r="AJ15" s="265"/>
      <c r="AK15" s="266"/>
      <c r="AL15" s="266"/>
      <c r="AM15" s="266"/>
      <c r="AN15" s="271"/>
      <c r="AO15" s="268"/>
      <c r="AP15" s="269"/>
      <c r="AQ15" s="270">
        <v>4</v>
      </c>
      <c r="AR15" s="272"/>
      <c r="AS15" s="268"/>
      <c r="AT15" s="268"/>
      <c r="AU15" s="268"/>
      <c r="AV15" s="273"/>
      <c r="AW15" s="268"/>
      <c r="AX15" s="269"/>
      <c r="AY15" s="28"/>
      <c r="AZ15" s="19" t="e">
        <f t="shared" si="6"/>
        <v>#DIV/0!</v>
      </c>
      <c r="BA15" s="227">
        <f t="shared" ref="BA15:BA78" si="7">IF(COUNT(K15,S15,AA15,AI15,AQ15)=0,BA14,AVERAGE(K15,S15,AA15,AI15,AQ15))</f>
        <v>4</v>
      </c>
      <c r="BB15" s="173"/>
      <c r="BC15" s="173"/>
      <c r="BD15" s="173"/>
      <c r="BE15" s="173"/>
      <c r="BF15" s="173"/>
      <c r="BG15" s="173"/>
      <c r="BH15" s="173"/>
      <c r="BI15" s="173"/>
      <c r="BJ15" s="173"/>
      <c r="BK15" s="173"/>
      <c r="BL15" s="173"/>
      <c r="BM15" s="173"/>
      <c r="BN15" s="173"/>
      <c r="BO15" s="248">
        <f t="shared" si="1"/>
        <v>237</v>
      </c>
      <c r="BP15" s="319"/>
      <c r="BQ15" s="324">
        <v>158</v>
      </c>
      <c r="BR15" s="358"/>
      <c r="BS15" s="358">
        <v>3</v>
      </c>
      <c r="BT15" s="319">
        <v>40361</v>
      </c>
      <c r="BU15" s="324">
        <v>183</v>
      </c>
      <c r="BV15" s="358">
        <v>47.46238095238094</v>
      </c>
      <c r="BW15" s="358">
        <v>3</v>
      </c>
      <c r="BX15" s="319">
        <v>39982</v>
      </c>
      <c r="BY15" s="217">
        <v>169</v>
      </c>
      <c r="BZ15" s="219">
        <v>44.349333333333334</v>
      </c>
      <c r="CA15" s="262">
        <v>3</v>
      </c>
      <c r="CB15" s="319">
        <v>39626</v>
      </c>
      <c r="CC15" s="217">
        <f t="shared" si="2"/>
        <v>179</v>
      </c>
      <c r="CD15" s="219"/>
      <c r="CE15" s="253">
        <v>3</v>
      </c>
      <c r="CF15" s="321">
        <v>39217</v>
      </c>
      <c r="CG15" s="217">
        <f t="shared" si="3"/>
        <v>135</v>
      </c>
      <c r="CH15" s="211">
        <v>21.556000000000001</v>
      </c>
      <c r="CI15" s="262">
        <v>2</v>
      </c>
      <c r="CJ15" s="319">
        <v>38861</v>
      </c>
      <c r="CK15" s="217">
        <f t="shared" si="5"/>
        <v>144</v>
      </c>
      <c r="CL15" s="219">
        <v>35.212000000000003</v>
      </c>
      <c r="CM15" s="258">
        <v>3</v>
      </c>
      <c r="CN15" s="173"/>
      <c r="CO15" s="173"/>
      <c r="CP15" s="173"/>
      <c r="CQ15" s="173"/>
      <c r="CR15" s="173"/>
      <c r="CS15" s="173"/>
      <c r="CT15" s="173"/>
      <c r="CU15" s="173"/>
    </row>
    <row r="16" spans="1:99" s="4" customFormat="1">
      <c r="A16" s="16" t="s">
        <v>30</v>
      </c>
      <c r="B16" s="21">
        <v>41152</v>
      </c>
      <c r="C16" s="22" t="s">
        <v>97</v>
      </c>
      <c r="D16" s="265"/>
      <c r="E16" s="266"/>
      <c r="F16" s="266"/>
      <c r="G16" s="266"/>
      <c r="H16" s="267"/>
      <c r="I16" s="268"/>
      <c r="J16" s="269"/>
      <c r="K16" s="270">
        <v>4</v>
      </c>
      <c r="L16" s="265"/>
      <c r="M16" s="266"/>
      <c r="N16" s="266"/>
      <c r="O16" s="266"/>
      <c r="P16" s="271"/>
      <c r="Q16" s="268"/>
      <c r="R16" s="269"/>
      <c r="S16" s="270">
        <v>4</v>
      </c>
      <c r="T16" s="265"/>
      <c r="U16" s="266"/>
      <c r="V16" s="266"/>
      <c r="W16" s="266"/>
      <c r="X16" s="271"/>
      <c r="Y16" s="268"/>
      <c r="Z16" s="269"/>
      <c r="AA16" s="270">
        <v>4</v>
      </c>
      <c r="AB16" s="265"/>
      <c r="AC16" s="266"/>
      <c r="AD16" s="266"/>
      <c r="AE16" s="266"/>
      <c r="AF16" s="271"/>
      <c r="AG16" s="268"/>
      <c r="AH16" s="269"/>
      <c r="AI16" s="270">
        <v>4</v>
      </c>
      <c r="AJ16" s="265"/>
      <c r="AK16" s="266"/>
      <c r="AL16" s="266"/>
      <c r="AM16" s="266"/>
      <c r="AN16" s="271"/>
      <c r="AO16" s="268"/>
      <c r="AP16" s="269"/>
      <c r="AQ16" s="270">
        <v>4</v>
      </c>
      <c r="AR16" s="272"/>
      <c r="AS16" s="268"/>
      <c r="AT16" s="268"/>
      <c r="AU16" s="268"/>
      <c r="AV16" s="273"/>
      <c r="AW16" s="268"/>
      <c r="AX16" s="269"/>
      <c r="AY16" s="28"/>
      <c r="AZ16" s="19" t="e">
        <f t="shared" si="6"/>
        <v>#DIV/0!</v>
      </c>
      <c r="BA16" s="227">
        <f t="shared" si="7"/>
        <v>4</v>
      </c>
      <c r="BB16" s="173"/>
      <c r="BC16" s="173"/>
      <c r="BD16" s="173"/>
      <c r="BE16" s="173"/>
      <c r="BF16" s="173"/>
      <c r="BG16" s="173"/>
      <c r="BH16" s="173"/>
      <c r="BI16" s="173"/>
      <c r="BJ16" s="173"/>
      <c r="BK16" s="173"/>
      <c r="BL16" s="173"/>
      <c r="BM16" s="173"/>
      <c r="BN16" s="173"/>
      <c r="BO16" s="248">
        <f t="shared" si="1"/>
        <v>244</v>
      </c>
      <c r="BP16" s="319"/>
      <c r="BQ16" s="324">
        <v>158</v>
      </c>
      <c r="BR16" s="358"/>
      <c r="BS16" s="358">
        <v>3</v>
      </c>
      <c r="BT16" s="319">
        <v>40403</v>
      </c>
      <c r="BU16" s="324">
        <v>225</v>
      </c>
      <c r="BV16" s="358"/>
      <c r="BW16" s="358">
        <v>4</v>
      </c>
      <c r="BX16" s="319">
        <v>39989</v>
      </c>
      <c r="BY16" s="217">
        <v>176</v>
      </c>
      <c r="BZ16" s="219">
        <v>49.581809523809525</v>
      </c>
      <c r="CA16" s="262">
        <v>3</v>
      </c>
      <c r="CB16" s="319">
        <v>39636</v>
      </c>
      <c r="CC16" s="217">
        <f t="shared" si="2"/>
        <v>189</v>
      </c>
      <c r="CD16" s="219"/>
      <c r="CE16" s="253">
        <v>3</v>
      </c>
      <c r="CF16" s="321">
        <v>39220</v>
      </c>
      <c r="CG16" s="217">
        <f t="shared" si="3"/>
        <v>138</v>
      </c>
      <c r="CH16" s="211">
        <v>23.687999999999999</v>
      </c>
      <c r="CI16" s="262">
        <v>3</v>
      </c>
      <c r="CJ16" s="319">
        <v>38863</v>
      </c>
      <c r="CK16" s="217">
        <f t="shared" si="5"/>
        <v>146</v>
      </c>
      <c r="CL16" s="219">
        <v>36.840000000000003</v>
      </c>
      <c r="CM16" s="258">
        <v>3</v>
      </c>
      <c r="CN16" s="173"/>
      <c r="CO16" s="173"/>
      <c r="CP16" s="173"/>
      <c r="CQ16" s="173"/>
      <c r="CR16" s="173"/>
      <c r="CS16" s="173"/>
      <c r="CT16" s="173"/>
      <c r="CU16" s="173"/>
    </row>
    <row r="17" spans="1:99" s="4" customFormat="1">
      <c r="A17" s="16" t="s">
        <v>30</v>
      </c>
      <c r="B17" s="21">
        <v>41159</v>
      </c>
      <c r="C17" s="22" t="s">
        <v>73</v>
      </c>
      <c r="D17" s="265"/>
      <c r="E17" s="266"/>
      <c r="F17" s="266"/>
      <c r="G17" s="266"/>
      <c r="H17" s="267"/>
      <c r="I17" s="268"/>
      <c r="J17" s="269"/>
      <c r="K17" s="270">
        <v>5</v>
      </c>
      <c r="L17" s="265"/>
      <c r="M17" s="266"/>
      <c r="N17" s="266"/>
      <c r="O17" s="266"/>
      <c r="P17" s="271"/>
      <c r="Q17" s="268"/>
      <c r="R17" s="269"/>
      <c r="S17" s="270">
        <v>5</v>
      </c>
      <c r="T17" s="265"/>
      <c r="U17" s="266"/>
      <c r="V17" s="266"/>
      <c r="W17" s="266"/>
      <c r="X17" s="271"/>
      <c r="Y17" s="268"/>
      <c r="Z17" s="269"/>
      <c r="AA17" s="270">
        <v>5</v>
      </c>
      <c r="AB17" s="265"/>
      <c r="AC17" s="266"/>
      <c r="AD17" s="266"/>
      <c r="AE17" s="266"/>
      <c r="AF17" s="271"/>
      <c r="AG17" s="268"/>
      <c r="AH17" s="269"/>
      <c r="AI17" s="270">
        <v>5</v>
      </c>
      <c r="AJ17" s="265"/>
      <c r="AK17" s="266"/>
      <c r="AL17" s="266"/>
      <c r="AM17" s="266"/>
      <c r="AN17" s="271"/>
      <c r="AO17" s="268"/>
      <c r="AP17" s="269"/>
      <c r="AQ17" s="270">
        <v>5</v>
      </c>
      <c r="AR17" s="272"/>
      <c r="AS17" s="268"/>
      <c r="AT17" s="268"/>
      <c r="AU17" s="268"/>
      <c r="AV17" s="273"/>
      <c r="AW17" s="268"/>
      <c r="AX17" s="269"/>
      <c r="AY17" s="28"/>
      <c r="AZ17" s="19" t="e">
        <f t="shared" si="6"/>
        <v>#DIV/0!</v>
      </c>
      <c r="BA17" s="227">
        <f t="shared" si="7"/>
        <v>5</v>
      </c>
      <c r="BB17" s="173"/>
      <c r="BC17" s="173"/>
      <c r="BD17" s="173"/>
      <c r="BE17" s="173"/>
      <c r="BF17" s="173"/>
      <c r="BG17" s="173"/>
      <c r="BH17" s="173"/>
      <c r="BI17" s="173"/>
      <c r="BJ17" s="173"/>
      <c r="BK17" s="173"/>
      <c r="BL17" s="173"/>
      <c r="BM17" s="173"/>
      <c r="BN17" s="173"/>
      <c r="BO17" s="248">
        <f t="shared" si="1"/>
        <v>251</v>
      </c>
      <c r="BP17" s="319"/>
      <c r="BQ17" s="324">
        <v>158</v>
      </c>
      <c r="BR17" s="358"/>
      <c r="BS17" s="358">
        <v>3</v>
      </c>
      <c r="BT17" s="319">
        <v>40424</v>
      </c>
      <c r="BU17" s="324">
        <v>246</v>
      </c>
      <c r="BV17" s="358"/>
      <c r="BW17" s="358">
        <v>4</v>
      </c>
      <c r="BX17" s="319">
        <v>39997</v>
      </c>
      <c r="BY17" s="217">
        <v>184</v>
      </c>
      <c r="BZ17" s="219">
        <v>47.239142857142859</v>
      </c>
      <c r="CA17" s="262">
        <v>3</v>
      </c>
      <c r="CB17" s="319">
        <v>39682</v>
      </c>
      <c r="CC17" s="217">
        <f t="shared" si="2"/>
        <v>235</v>
      </c>
      <c r="CD17" s="219"/>
      <c r="CE17" s="253">
        <v>4</v>
      </c>
      <c r="CF17" s="321">
        <v>39318</v>
      </c>
      <c r="CG17" s="217">
        <f t="shared" si="3"/>
        <v>236</v>
      </c>
      <c r="CH17" s="211"/>
      <c r="CI17" s="262">
        <v>4</v>
      </c>
      <c r="CJ17" s="319">
        <v>38866</v>
      </c>
      <c r="CK17" s="217">
        <f t="shared" si="5"/>
        <v>149</v>
      </c>
      <c r="CL17" s="219">
        <v>39.996000000000002</v>
      </c>
      <c r="CM17" s="258">
        <v>3</v>
      </c>
      <c r="CN17" s="173"/>
      <c r="CO17" s="173"/>
      <c r="CP17" s="173"/>
      <c r="CQ17" s="173"/>
      <c r="CR17" s="173"/>
      <c r="CS17" s="173"/>
      <c r="CT17" s="173"/>
      <c r="CU17" s="173"/>
    </row>
    <row r="18" spans="1:99" s="4" customFormat="1">
      <c r="A18" s="16" t="s">
        <v>30</v>
      </c>
      <c r="B18" s="21">
        <v>41166</v>
      </c>
      <c r="C18" s="22" t="s">
        <v>73</v>
      </c>
      <c r="D18" s="265"/>
      <c r="E18" s="266"/>
      <c r="F18" s="266"/>
      <c r="G18" s="266"/>
      <c r="H18" s="267"/>
      <c r="I18" s="268"/>
      <c r="J18" s="269"/>
      <c r="K18" s="270">
        <v>6</v>
      </c>
      <c r="L18" s="265"/>
      <c r="M18" s="266"/>
      <c r="N18" s="266"/>
      <c r="O18" s="266"/>
      <c r="P18" s="271"/>
      <c r="Q18" s="268"/>
      <c r="R18" s="269"/>
      <c r="S18" s="270">
        <v>5</v>
      </c>
      <c r="T18" s="265"/>
      <c r="U18" s="266"/>
      <c r="V18" s="266"/>
      <c r="W18" s="266"/>
      <c r="X18" s="271"/>
      <c r="Y18" s="268"/>
      <c r="Z18" s="269"/>
      <c r="AA18" s="270">
        <v>6</v>
      </c>
      <c r="AB18" s="265"/>
      <c r="AC18" s="266"/>
      <c r="AD18" s="266"/>
      <c r="AE18" s="266"/>
      <c r="AF18" s="271"/>
      <c r="AG18" s="268"/>
      <c r="AH18" s="269"/>
      <c r="AI18" s="270">
        <v>6</v>
      </c>
      <c r="AJ18" s="265"/>
      <c r="AK18" s="266"/>
      <c r="AL18" s="266"/>
      <c r="AM18" s="266"/>
      <c r="AN18" s="271"/>
      <c r="AO18" s="268"/>
      <c r="AP18" s="269"/>
      <c r="AQ18" s="270">
        <v>6</v>
      </c>
      <c r="AR18" s="272"/>
      <c r="AS18" s="268"/>
      <c r="AT18" s="268"/>
      <c r="AU18" s="268"/>
      <c r="AV18" s="273"/>
      <c r="AW18" s="268"/>
      <c r="AX18" s="269"/>
      <c r="AY18" s="28"/>
      <c r="AZ18" s="19" t="e">
        <f t="shared" si="6"/>
        <v>#DIV/0!</v>
      </c>
      <c r="BA18" s="227">
        <f t="shared" si="7"/>
        <v>5.8</v>
      </c>
      <c r="BB18" s="173"/>
      <c r="BC18" s="173"/>
      <c r="BD18" s="173"/>
      <c r="BE18" s="173"/>
      <c r="BF18" s="173"/>
      <c r="BG18" s="173"/>
      <c r="BH18" s="173"/>
      <c r="BI18" s="173"/>
      <c r="BJ18" s="173"/>
      <c r="BK18" s="173"/>
      <c r="BL18" s="173"/>
      <c r="BM18" s="173"/>
      <c r="BN18" s="173"/>
      <c r="BO18" s="248">
        <f t="shared" si="1"/>
        <v>258</v>
      </c>
      <c r="BP18" s="319"/>
      <c r="BQ18" s="324">
        <v>158</v>
      </c>
      <c r="BR18" s="358"/>
      <c r="BS18" s="358">
        <v>3</v>
      </c>
      <c r="BT18" s="319">
        <v>40431</v>
      </c>
      <c r="BU18" s="324">
        <v>253</v>
      </c>
      <c r="BV18" s="358"/>
      <c r="BW18" s="358">
        <v>4.2</v>
      </c>
      <c r="BX18" s="319">
        <v>40003</v>
      </c>
      <c r="BY18" s="217">
        <v>190</v>
      </c>
      <c r="BZ18" s="219">
        <v>46.915999999999997</v>
      </c>
      <c r="CA18" s="262">
        <v>3</v>
      </c>
      <c r="CB18" s="319">
        <v>39689</v>
      </c>
      <c r="CC18" s="217">
        <f t="shared" si="2"/>
        <v>242</v>
      </c>
      <c r="CD18" s="219"/>
      <c r="CE18" s="253">
        <v>4</v>
      </c>
      <c r="CF18" s="321">
        <v>39325</v>
      </c>
      <c r="CG18" s="217">
        <f t="shared" si="3"/>
        <v>243</v>
      </c>
      <c r="CH18" s="211"/>
      <c r="CI18" s="262">
        <v>4</v>
      </c>
      <c r="CJ18" s="319">
        <v>38868</v>
      </c>
      <c r="CK18" s="217">
        <f t="shared" si="5"/>
        <v>151</v>
      </c>
      <c r="CL18" s="219">
        <v>41.750666666666667</v>
      </c>
      <c r="CM18" s="258">
        <v>3</v>
      </c>
      <c r="CN18" s="173"/>
      <c r="CO18" s="173"/>
      <c r="CP18" s="173"/>
      <c r="CQ18" s="173"/>
      <c r="CR18" s="173"/>
      <c r="CS18" s="173"/>
      <c r="CT18" s="173"/>
      <c r="CU18" s="173"/>
    </row>
    <row r="19" spans="1:99" s="4" customFormat="1">
      <c r="A19" s="16" t="s">
        <v>30</v>
      </c>
      <c r="B19" s="21">
        <v>41172</v>
      </c>
      <c r="C19" s="22" t="s">
        <v>73</v>
      </c>
      <c r="D19" s="265"/>
      <c r="E19" s="266"/>
      <c r="F19" s="266"/>
      <c r="G19" s="266"/>
      <c r="H19" s="267"/>
      <c r="I19" s="268"/>
      <c r="J19" s="269"/>
      <c r="K19" s="270">
        <v>6</v>
      </c>
      <c r="L19" s="265"/>
      <c r="M19" s="266"/>
      <c r="N19" s="266"/>
      <c r="O19" s="266"/>
      <c r="P19" s="271"/>
      <c r="Q19" s="268"/>
      <c r="R19" s="269"/>
      <c r="S19" s="270">
        <v>6</v>
      </c>
      <c r="T19" s="265"/>
      <c r="U19" s="266"/>
      <c r="V19" s="266"/>
      <c r="W19" s="266"/>
      <c r="X19" s="271"/>
      <c r="Y19" s="268"/>
      <c r="Z19" s="269"/>
      <c r="AA19" s="270">
        <v>6</v>
      </c>
      <c r="AB19" s="265"/>
      <c r="AC19" s="266"/>
      <c r="AD19" s="266"/>
      <c r="AE19" s="266"/>
      <c r="AF19" s="271"/>
      <c r="AG19" s="268"/>
      <c r="AH19" s="269"/>
      <c r="AI19" s="270">
        <v>6</v>
      </c>
      <c r="AJ19" s="265"/>
      <c r="AK19" s="266"/>
      <c r="AL19" s="266"/>
      <c r="AM19" s="266"/>
      <c r="AN19" s="271"/>
      <c r="AO19" s="268"/>
      <c r="AP19" s="269"/>
      <c r="AQ19" s="270">
        <v>6</v>
      </c>
      <c r="AR19" s="272"/>
      <c r="AS19" s="268"/>
      <c r="AT19" s="268"/>
      <c r="AU19" s="268"/>
      <c r="AV19" s="273"/>
      <c r="AW19" s="268"/>
      <c r="AX19" s="269"/>
      <c r="AY19" s="28"/>
      <c r="AZ19" s="316" t="e">
        <f t="shared" si="6"/>
        <v>#DIV/0!</v>
      </c>
      <c r="BA19" s="227">
        <f t="shared" si="7"/>
        <v>6</v>
      </c>
      <c r="BB19" s="173"/>
      <c r="BC19" s="173"/>
      <c r="BD19" s="173"/>
      <c r="BE19" s="173"/>
      <c r="BF19" s="173"/>
      <c r="BG19" s="173"/>
      <c r="BH19" s="173"/>
      <c r="BI19" s="173"/>
      <c r="BJ19" s="173"/>
      <c r="BK19" s="173"/>
      <c r="BL19" s="173"/>
      <c r="BM19" s="173"/>
      <c r="BN19" s="173"/>
      <c r="BO19" s="248">
        <f t="shared" si="1"/>
        <v>264</v>
      </c>
      <c r="BP19" s="319"/>
      <c r="BQ19" s="324">
        <v>158</v>
      </c>
      <c r="BR19" s="358"/>
      <c r="BS19" s="358">
        <v>3</v>
      </c>
      <c r="BT19" s="319">
        <v>40438</v>
      </c>
      <c r="BU19" s="324">
        <v>260</v>
      </c>
      <c r="BV19" s="358"/>
      <c r="BW19" s="358">
        <v>4.2</v>
      </c>
      <c r="BX19" s="319">
        <v>40011</v>
      </c>
      <c r="BY19" s="217">
        <v>198</v>
      </c>
      <c r="BZ19" s="219"/>
      <c r="CA19" s="262">
        <v>3</v>
      </c>
      <c r="CB19" s="319">
        <v>39696</v>
      </c>
      <c r="CC19" s="217">
        <f t="shared" si="2"/>
        <v>249</v>
      </c>
      <c r="CD19" s="219"/>
      <c r="CE19" s="253">
        <v>4</v>
      </c>
      <c r="CF19" s="321">
        <v>39332</v>
      </c>
      <c r="CG19" s="217">
        <f t="shared" si="3"/>
        <v>250</v>
      </c>
      <c r="CH19" s="211"/>
      <c r="CI19" s="262">
        <v>4</v>
      </c>
      <c r="CJ19" s="319">
        <v>38870</v>
      </c>
      <c r="CK19" s="217">
        <f t="shared" si="5"/>
        <v>153</v>
      </c>
      <c r="CL19" s="219">
        <v>43.306666666666665</v>
      </c>
      <c r="CM19" s="258">
        <v>3</v>
      </c>
      <c r="CN19" s="173"/>
      <c r="CO19" s="173"/>
      <c r="CP19" s="173"/>
      <c r="CQ19" s="173"/>
      <c r="CR19" s="173"/>
      <c r="CS19" s="173"/>
      <c r="CT19" s="173"/>
      <c r="CU19" s="173"/>
    </row>
    <row r="20" spans="1:99" s="4" customFormat="1">
      <c r="A20" s="16" t="s">
        <v>30</v>
      </c>
      <c r="B20" s="21">
        <v>41180</v>
      </c>
      <c r="C20" s="22" t="s">
        <v>73</v>
      </c>
      <c r="D20" s="265"/>
      <c r="E20" s="266"/>
      <c r="F20" s="266"/>
      <c r="G20" s="266"/>
      <c r="H20" s="267"/>
      <c r="I20" s="268"/>
      <c r="J20" s="269"/>
      <c r="K20" s="270">
        <v>6</v>
      </c>
      <c r="L20" s="265"/>
      <c r="M20" s="266"/>
      <c r="N20" s="266"/>
      <c r="O20" s="266"/>
      <c r="P20" s="271"/>
      <c r="Q20" s="268"/>
      <c r="R20" s="269"/>
      <c r="S20" s="270">
        <v>7</v>
      </c>
      <c r="T20" s="265"/>
      <c r="U20" s="266"/>
      <c r="V20" s="266"/>
      <c r="W20" s="266"/>
      <c r="X20" s="271"/>
      <c r="Y20" s="268"/>
      <c r="Z20" s="269"/>
      <c r="AA20" s="270">
        <v>7</v>
      </c>
      <c r="AB20" s="265"/>
      <c r="AC20" s="266"/>
      <c r="AD20" s="266"/>
      <c r="AE20" s="266"/>
      <c r="AF20" s="271"/>
      <c r="AG20" s="268"/>
      <c r="AH20" s="269"/>
      <c r="AI20" s="270">
        <v>7</v>
      </c>
      <c r="AJ20" s="265"/>
      <c r="AK20" s="266"/>
      <c r="AL20" s="266"/>
      <c r="AM20" s="266"/>
      <c r="AN20" s="271"/>
      <c r="AO20" s="268"/>
      <c r="AP20" s="269"/>
      <c r="AQ20" s="270">
        <v>7</v>
      </c>
      <c r="AR20" s="272"/>
      <c r="AS20" s="268"/>
      <c r="AT20" s="268"/>
      <c r="AU20" s="268"/>
      <c r="AV20" s="273"/>
      <c r="AW20" s="268"/>
      <c r="AX20" s="269"/>
      <c r="AY20" s="28"/>
      <c r="AZ20" s="316" t="e">
        <f t="shared" si="6"/>
        <v>#DIV/0!</v>
      </c>
      <c r="BA20" s="227">
        <f t="shared" si="7"/>
        <v>6.8</v>
      </c>
      <c r="BB20" s="173"/>
      <c r="BC20" s="173"/>
      <c r="BD20" s="173"/>
      <c r="BE20" s="173"/>
      <c r="BF20" s="173"/>
      <c r="BG20" s="173"/>
      <c r="BH20" s="173"/>
      <c r="BI20" s="173"/>
      <c r="BJ20" s="173"/>
      <c r="BK20" s="173"/>
      <c r="BL20" s="173"/>
      <c r="BM20" s="173"/>
      <c r="BN20" s="173"/>
      <c r="BO20" s="248">
        <f t="shared" si="1"/>
        <v>272</v>
      </c>
      <c r="BP20" s="319"/>
      <c r="BQ20" s="324">
        <v>158</v>
      </c>
      <c r="BR20" s="358"/>
      <c r="BS20" s="358">
        <v>3</v>
      </c>
      <c r="BT20" s="319">
        <v>40445</v>
      </c>
      <c r="BU20" s="324">
        <v>267</v>
      </c>
      <c r="BV20" s="358"/>
      <c r="BW20" s="358">
        <v>4.8</v>
      </c>
      <c r="BX20" s="319">
        <v>40035</v>
      </c>
      <c r="BY20" s="217">
        <v>222</v>
      </c>
      <c r="BZ20" s="219"/>
      <c r="CA20" s="262">
        <v>3.8</v>
      </c>
      <c r="CB20" s="319">
        <v>39706</v>
      </c>
      <c r="CC20" s="217">
        <f t="shared" si="2"/>
        <v>259</v>
      </c>
      <c r="CD20" s="219"/>
      <c r="CE20" s="253">
        <v>4.5999999999999996</v>
      </c>
      <c r="CF20" s="321">
        <v>39339</v>
      </c>
      <c r="CG20" s="217">
        <f t="shared" si="3"/>
        <v>257</v>
      </c>
      <c r="CH20" s="211"/>
      <c r="CI20" s="262">
        <v>4</v>
      </c>
      <c r="CJ20" s="319">
        <v>38873</v>
      </c>
      <c r="CK20" s="217">
        <f t="shared" si="5"/>
        <v>156</v>
      </c>
      <c r="CL20" s="219">
        <v>45.247333333333337</v>
      </c>
      <c r="CM20" s="258">
        <v>3</v>
      </c>
      <c r="CN20" s="173"/>
      <c r="CO20" s="173"/>
      <c r="CP20" s="173"/>
      <c r="CQ20" s="173"/>
      <c r="CR20" s="173"/>
      <c r="CS20" s="173"/>
      <c r="CT20" s="173"/>
      <c r="CU20" s="173"/>
    </row>
    <row r="21" spans="1:99" s="4" customFormat="1">
      <c r="A21" s="16" t="s">
        <v>30</v>
      </c>
      <c r="B21" s="21">
        <v>41186</v>
      </c>
      <c r="C21" s="22" t="s">
        <v>73</v>
      </c>
      <c r="D21" s="265"/>
      <c r="E21" s="266"/>
      <c r="F21" s="266"/>
      <c r="G21" s="266"/>
      <c r="H21" s="267"/>
      <c r="I21" s="268"/>
      <c r="J21" s="269"/>
      <c r="K21" s="270">
        <v>7</v>
      </c>
      <c r="L21" s="265"/>
      <c r="M21" s="266"/>
      <c r="N21" s="266"/>
      <c r="O21" s="266"/>
      <c r="P21" s="271"/>
      <c r="Q21" s="268"/>
      <c r="R21" s="269"/>
      <c r="S21" s="270">
        <v>7</v>
      </c>
      <c r="T21" s="265"/>
      <c r="U21" s="266"/>
      <c r="V21" s="266"/>
      <c r="W21" s="266"/>
      <c r="X21" s="271"/>
      <c r="Y21" s="268"/>
      <c r="Z21" s="269"/>
      <c r="AA21" s="270">
        <v>7</v>
      </c>
      <c r="AB21" s="265"/>
      <c r="AC21" s="266"/>
      <c r="AD21" s="266"/>
      <c r="AE21" s="266"/>
      <c r="AF21" s="271"/>
      <c r="AG21" s="268"/>
      <c r="AH21" s="269"/>
      <c r="AI21" s="270">
        <v>7</v>
      </c>
      <c r="AJ21" s="265"/>
      <c r="AK21" s="266"/>
      <c r="AL21" s="266"/>
      <c r="AM21" s="266"/>
      <c r="AN21" s="271"/>
      <c r="AO21" s="268"/>
      <c r="AP21" s="269"/>
      <c r="AQ21" s="270">
        <v>7</v>
      </c>
      <c r="AR21" s="272"/>
      <c r="AS21" s="268"/>
      <c r="AT21" s="268"/>
      <c r="AU21" s="268"/>
      <c r="AV21" s="273"/>
      <c r="AW21" s="268"/>
      <c r="AX21" s="269"/>
      <c r="AY21" s="28"/>
      <c r="AZ21" s="316" t="e">
        <f t="shared" si="6"/>
        <v>#DIV/0!</v>
      </c>
      <c r="BA21" s="227">
        <f t="shared" si="7"/>
        <v>7</v>
      </c>
      <c r="BB21" s="173"/>
      <c r="BC21" s="173"/>
      <c r="BD21" s="173"/>
      <c r="BE21" s="173"/>
      <c r="BF21" s="173"/>
      <c r="BG21" s="173"/>
      <c r="BH21" s="173"/>
      <c r="BI21" s="173"/>
      <c r="BJ21" s="173"/>
      <c r="BK21" s="173"/>
      <c r="BL21" s="173"/>
      <c r="BM21" s="173"/>
      <c r="BN21" s="173"/>
      <c r="BO21" s="248">
        <f t="shared" si="1"/>
        <v>278</v>
      </c>
      <c r="BP21" s="319"/>
      <c r="BQ21" s="324">
        <v>158</v>
      </c>
      <c r="BR21" s="358"/>
      <c r="BS21" s="358">
        <v>3</v>
      </c>
      <c r="BT21" s="319">
        <v>40452</v>
      </c>
      <c r="BU21" s="324">
        <v>274</v>
      </c>
      <c r="BV21" s="358"/>
      <c r="BW21" s="358">
        <v>6.2</v>
      </c>
      <c r="BX21" s="319">
        <v>40046</v>
      </c>
      <c r="BY21" s="217">
        <v>233</v>
      </c>
      <c r="BZ21" s="219"/>
      <c r="CA21" s="262">
        <v>4</v>
      </c>
      <c r="CB21" s="319">
        <v>39710</v>
      </c>
      <c r="CC21" s="217">
        <f t="shared" si="2"/>
        <v>263</v>
      </c>
      <c r="CD21" s="219"/>
      <c r="CE21" s="253">
        <v>4.5999999999999996</v>
      </c>
      <c r="CF21" s="321">
        <v>39346</v>
      </c>
      <c r="CG21" s="217">
        <f t="shared" si="3"/>
        <v>264</v>
      </c>
      <c r="CH21" s="211"/>
      <c r="CI21" s="262">
        <v>4.2</v>
      </c>
      <c r="CJ21" s="319">
        <v>38880</v>
      </c>
      <c r="CK21" s="217">
        <f t="shared" si="5"/>
        <v>163</v>
      </c>
      <c r="CL21" s="219">
        <v>46.988</v>
      </c>
      <c r="CM21" s="258">
        <v>3</v>
      </c>
      <c r="CN21" s="173"/>
      <c r="CO21" s="173"/>
      <c r="CP21" s="173"/>
      <c r="CQ21" s="173"/>
      <c r="CR21" s="173"/>
      <c r="CS21" s="173"/>
      <c r="CT21" s="173"/>
      <c r="CU21" s="173"/>
    </row>
    <row r="22" spans="1:99" s="4" customFormat="1">
      <c r="A22" s="16" t="s">
        <v>30</v>
      </c>
      <c r="B22" s="21">
        <v>41193</v>
      </c>
      <c r="C22" s="22" t="s">
        <v>73</v>
      </c>
      <c r="D22" s="265"/>
      <c r="E22" s="266"/>
      <c r="F22" s="266"/>
      <c r="G22" s="266"/>
      <c r="H22" s="267"/>
      <c r="I22" s="268"/>
      <c r="J22" s="269"/>
      <c r="K22" s="270">
        <v>8</v>
      </c>
      <c r="L22" s="265"/>
      <c r="M22" s="266"/>
      <c r="N22" s="266"/>
      <c r="O22" s="266"/>
      <c r="P22" s="271"/>
      <c r="Q22" s="268"/>
      <c r="R22" s="269"/>
      <c r="S22" s="270">
        <v>7</v>
      </c>
      <c r="T22" s="265"/>
      <c r="U22" s="266"/>
      <c r="V22" s="266"/>
      <c r="W22" s="266"/>
      <c r="X22" s="271"/>
      <c r="Y22" s="268"/>
      <c r="Z22" s="269"/>
      <c r="AA22" s="270">
        <v>7</v>
      </c>
      <c r="AB22" s="265"/>
      <c r="AC22" s="266"/>
      <c r="AD22" s="266"/>
      <c r="AE22" s="266"/>
      <c r="AF22" s="271"/>
      <c r="AG22" s="268"/>
      <c r="AH22" s="269"/>
      <c r="AI22" s="270">
        <v>7</v>
      </c>
      <c r="AJ22" s="265"/>
      <c r="AK22" s="266"/>
      <c r="AL22" s="266"/>
      <c r="AM22" s="266"/>
      <c r="AN22" s="271"/>
      <c r="AO22" s="268"/>
      <c r="AP22" s="269"/>
      <c r="AQ22" s="270">
        <v>7</v>
      </c>
      <c r="AR22" s="272"/>
      <c r="AS22" s="268"/>
      <c r="AT22" s="268"/>
      <c r="AU22" s="268"/>
      <c r="AV22" s="273"/>
      <c r="AW22" s="268"/>
      <c r="AX22" s="269"/>
      <c r="AY22" s="28"/>
      <c r="AZ22" s="316" t="e">
        <f t="shared" si="6"/>
        <v>#DIV/0!</v>
      </c>
      <c r="BA22" s="227">
        <f t="shared" si="7"/>
        <v>7.2</v>
      </c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248">
        <f t="shared" si="1"/>
        <v>285</v>
      </c>
      <c r="BP22" s="319"/>
      <c r="BQ22" s="324">
        <v>158</v>
      </c>
      <c r="BR22" s="358"/>
      <c r="BS22" s="358">
        <v>3</v>
      </c>
      <c r="BT22" s="319">
        <v>40459</v>
      </c>
      <c r="BU22" s="324">
        <v>281</v>
      </c>
      <c r="BV22" s="358"/>
      <c r="BW22" s="358">
        <v>6.2</v>
      </c>
      <c r="BX22" s="319">
        <v>40051</v>
      </c>
      <c r="BY22" s="217">
        <v>238</v>
      </c>
      <c r="BZ22" s="219"/>
      <c r="CA22" s="262">
        <v>4</v>
      </c>
      <c r="CB22" s="319">
        <v>39717</v>
      </c>
      <c r="CC22" s="217">
        <f t="shared" si="2"/>
        <v>270</v>
      </c>
      <c r="CD22" s="219"/>
      <c r="CE22" s="253">
        <v>5.2</v>
      </c>
      <c r="CF22" s="321">
        <v>39353</v>
      </c>
      <c r="CG22" s="217">
        <f t="shared" si="3"/>
        <v>271</v>
      </c>
      <c r="CH22" s="211"/>
      <c r="CI22" s="262">
        <v>4.8</v>
      </c>
      <c r="CJ22" s="319">
        <v>38961</v>
      </c>
      <c r="CK22" s="217">
        <f t="shared" si="5"/>
        <v>244</v>
      </c>
      <c r="CL22" s="211"/>
      <c r="CM22" s="258">
        <v>4</v>
      </c>
      <c r="CN22" s="173"/>
      <c r="CO22" s="173"/>
      <c r="CP22" s="173"/>
      <c r="CQ22" s="173"/>
      <c r="CR22" s="173"/>
      <c r="CS22" s="173"/>
      <c r="CT22" s="173"/>
      <c r="CU22" s="173"/>
    </row>
    <row r="23" spans="1:99" s="4" customFormat="1">
      <c r="A23" s="16" t="s">
        <v>30</v>
      </c>
      <c r="B23" s="21">
        <v>41201</v>
      </c>
      <c r="C23" s="22" t="s">
        <v>73</v>
      </c>
      <c r="D23" s="265"/>
      <c r="E23" s="266"/>
      <c r="F23" s="266"/>
      <c r="G23" s="266"/>
      <c r="H23" s="267"/>
      <c r="I23" s="268"/>
      <c r="J23" s="269"/>
      <c r="K23" s="270">
        <v>8</v>
      </c>
      <c r="L23" s="265"/>
      <c r="M23" s="266"/>
      <c r="N23" s="266"/>
      <c r="O23" s="266"/>
      <c r="P23" s="271"/>
      <c r="Q23" s="268"/>
      <c r="R23" s="269"/>
      <c r="S23" s="270">
        <v>7</v>
      </c>
      <c r="T23" s="265"/>
      <c r="U23" s="266"/>
      <c r="V23" s="266"/>
      <c r="W23" s="266"/>
      <c r="X23" s="271"/>
      <c r="Y23" s="268"/>
      <c r="Z23" s="269"/>
      <c r="AA23" s="270">
        <v>7</v>
      </c>
      <c r="AB23" s="265"/>
      <c r="AC23" s="266"/>
      <c r="AD23" s="266"/>
      <c r="AE23" s="266"/>
      <c r="AF23" s="271"/>
      <c r="AG23" s="268"/>
      <c r="AH23" s="269"/>
      <c r="AI23" s="270">
        <v>7</v>
      </c>
      <c r="AJ23" s="265"/>
      <c r="AK23" s="266"/>
      <c r="AL23" s="266"/>
      <c r="AM23" s="266"/>
      <c r="AN23" s="271"/>
      <c r="AO23" s="268"/>
      <c r="AP23" s="269"/>
      <c r="AQ23" s="270">
        <v>7</v>
      </c>
      <c r="AR23" s="272"/>
      <c r="AS23" s="268"/>
      <c r="AT23" s="268"/>
      <c r="AU23" s="268"/>
      <c r="AV23" s="273"/>
      <c r="AW23" s="268"/>
      <c r="AX23" s="269"/>
      <c r="AY23" s="28"/>
      <c r="AZ23" s="316" t="e">
        <f t="shared" si="6"/>
        <v>#DIV/0!</v>
      </c>
      <c r="BA23" s="227">
        <f t="shared" si="7"/>
        <v>7.2</v>
      </c>
      <c r="BB23" s="173"/>
      <c r="BC23" s="173"/>
      <c r="BD23" s="173"/>
      <c r="BE23" s="173"/>
      <c r="BF23" s="173"/>
      <c r="BG23" s="173"/>
      <c r="BH23" s="173"/>
      <c r="BI23" s="173"/>
      <c r="BJ23" s="173"/>
      <c r="BK23" s="173"/>
      <c r="BL23" s="173"/>
      <c r="BM23" s="173"/>
      <c r="BN23" s="173"/>
      <c r="BO23" s="248">
        <f t="shared" si="1"/>
        <v>293</v>
      </c>
      <c r="BP23" s="319"/>
      <c r="BQ23" s="324">
        <v>158</v>
      </c>
      <c r="BR23" s="358"/>
      <c r="BS23" s="358">
        <v>3</v>
      </c>
      <c r="BT23" s="319"/>
      <c r="BU23" s="324">
        <v>281</v>
      </c>
      <c r="BV23" s="358"/>
      <c r="BW23" s="358">
        <v>6.2</v>
      </c>
      <c r="BX23" s="319">
        <v>40060</v>
      </c>
      <c r="BY23" s="217">
        <v>247</v>
      </c>
      <c r="BZ23" s="219"/>
      <c r="CA23" s="262">
        <v>4</v>
      </c>
      <c r="CB23" s="319">
        <v>39724</v>
      </c>
      <c r="CC23" s="217">
        <f t="shared" si="2"/>
        <v>277</v>
      </c>
      <c r="CD23" s="219"/>
      <c r="CE23" s="253">
        <v>6.2</v>
      </c>
      <c r="CF23" s="321">
        <v>39359</v>
      </c>
      <c r="CG23" s="217">
        <f t="shared" si="3"/>
        <v>277</v>
      </c>
      <c r="CH23" s="211"/>
      <c r="CI23" s="262">
        <v>5</v>
      </c>
      <c r="CJ23" s="319">
        <v>38967</v>
      </c>
      <c r="CK23" s="217">
        <f t="shared" si="5"/>
        <v>250</v>
      </c>
      <c r="CL23" s="211"/>
      <c r="CM23" s="258">
        <v>4</v>
      </c>
      <c r="CN23" s="173"/>
      <c r="CO23" s="173"/>
      <c r="CP23" s="173"/>
      <c r="CQ23" s="173"/>
      <c r="CR23" s="173"/>
      <c r="CS23" s="173"/>
      <c r="CT23" s="173"/>
      <c r="CU23" s="173"/>
    </row>
    <row r="24" spans="1:99" s="4" customFormat="1">
      <c r="A24" s="16" t="s">
        <v>30</v>
      </c>
      <c r="B24" s="21">
        <v>41208</v>
      </c>
      <c r="C24" s="22" t="s">
        <v>73</v>
      </c>
      <c r="D24" s="265"/>
      <c r="E24" s="266"/>
      <c r="F24" s="266"/>
      <c r="G24" s="266"/>
      <c r="H24" s="267"/>
      <c r="I24" s="268"/>
      <c r="J24" s="269"/>
      <c r="K24" s="270">
        <v>8</v>
      </c>
      <c r="L24" s="265"/>
      <c r="M24" s="266"/>
      <c r="N24" s="266"/>
      <c r="O24" s="266"/>
      <c r="P24" s="271"/>
      <c r="Q24" s="268"/>
      <c r="R24" s="269"/>
      <c r="S24" s="270">
        <v>8</v>
      </c>
      <c r="T24" s="265"/>
      <c r="U24" s="266"/>
      <c r="V24" s="266"/>
      <c r="W24" s="266"/>
      <c r="X24" s="271"/>
      <c r="Y24" s="268"/>
      <c r="Z24" s="269"/>
      <c r="AA24" s="270">
        <v>8</v>
      </c>
      <c r="AB24" s="265"/>
      <c r="AC24" s="266"/>
      <c r="AD24" s="266"/>
      <c r="AE24" s="266"/>
      <c r="AF24" s="271"/>
      <c r="AG24" s="268"/>
      <c r="AH24" s="269"/>
      <c r="AI24" s="270">
        <v>8</v>
      </c>
      <c r="AJ24" s="265"/>
      <c r="AK24" s="266"/>
      <c r="AL24" s="266"/>
      <c r="AM24" s="266"/>
      <c r="AN24" s="271"/>
      <c r="AO24" s="268"/>
      <c r="AP24" s="269"/>
      <c r="AQ24" s="270">
        <v>8</v>
      </c>
      <c r="AR24" s="272"/>
      <c r="AS24" s="268"/>
      <c r="AT24" s="268"/>
      <c r="AU24" s="268"/>
      <c r="AV24" s="273"/>
      <c r="AW24" s="268"/>
      <c r="AX24" s="269"/>
      <c r="AY24" s="28"/>
      <c r="AZ24" s="316" t="e">
        <f t="shared" si="6"/>
        <v>#DIV/0!</v>
      </c>
      <c r="BA24" s="227">
        <f t="shared" si="7"/>
        <v>8</v>
      </c>
      <c r="BB24" s="173"/>
      <c r="BC24" s="173"/>
      <c r="BD24" s="173"/>
      <c r="BE24" s="173"/>
      <c r="BF24" s="173"/>
      <c r="BG24" s="173"/>
      <c r="BH24" s="173"/>
      <c r="BI24" s="173"/>
      <c r="BJ24" s="173"/>
      <c r="BK24" s="173"/>
      <c r="BL24" s="173"/>
      <c r="BM24" s="173"/>
      <c r="BN24" s="173"/>
      <c r="BO24" s="248">
        <f t="shared" si="1"/>
        <v>300</v>
      </c>
      <c r="BP24" s="319"/>
      <c r="BQ24" s="324">
        <v>158</v>
      </c>
      <c r="BR24" s="358"/>
      <c r="BS24" s="358">
        <v>3</v>
      </c>
      <c r="BT24" s="319"/>
      <c r="BU24" s="324">
        <v>281</v>
      </c>
      <c r="BV24" s="358"/>
      <c r="BW24" s="358">
        <v>6.2</v>
      </c>
      <c r="BX24" s="319">
        <v>40066</v>
      </c>
      <c r="BY24" s="217">
        <v>253</v>
      </c>
      <c r="BZ24" s="219"/>
      <c r="CA24" s="262">
        <v>4</v>
      </c>
      <c r="CB24" s="319">
        <v>39731</v>
      </c>
      <c r="CC24" s="217">
        <f t="shared" si="2"/>
        <v>284</v>
      </c>
      <c r="CD24" s="219"/>
      <c r="CE24" s="253">
        <v>7</v>
      </c>
      <c r="CF24" s="321">
        <v>39367</v>
      </c>
      <c r="CG24" s="217">
        <f t="shared" si="3"/>
        <v>285</v>
      </c>
      <c r="CH24" s="211"/>
      <c r="CI24" s="262">
        <v>5</v>
      </c>
      <c r="CJ24" s="319">
        <v>38975</v>
      </c>
      <c r="CK24" s="217">
        <f t="shared" si="5"/>
        <v>258</v>
      </c>
      <c r="CL24" s="211"/>
      <c r="CM24" s="258">
        <v>4.2</v>
      </c>
      <c r="CN24" s="173"/>
      <c r="CO24" s="173"/>
      <c r="CP24" s="173"/>
      <c r="CQ24" s="173"/>
      <c r="CR24" s="173"/>
      <c r="CS24" s="173"/>
      <c r="CT24" s="173"/>
      <c r="CU24" s="173"/>
    </row>
    <row r="25" spans="1:99" s="4" customFormat="1">
      <c r="A25" s="16" t="s">
        <v>30</v>
      </c>
      <c r="B25" s="21"/>
      <c r="C25" s="22"/>
      <c r="D25" s="265"/>
      <c r="E25" s="266"/>
      <c r="F25" s="266"/>
      <c r="G25" s="266"/>
      <c r="H25" s="267"/>
      <c r="I25" s="268"/>
      <c r="J25" s="269"/>
      <c r="K25" s="270"/>
      <c r="L25" s="265"/>
      <c r="M25" s="266"/>
      <c r="N25" s="266"/>
      <c r="O25" s="266"/>
      <c r="P25" s="271"/>
      <c r="Q25" s="268"/>
      <c r="R25" s="269"/>
      <c r="S25" s="270"/>
      <c r="T25" s="265"/>
      <c r="U25" s="266"/>
      <c r="V25" s="266"/>
      <c r="W25" s="266"/>
      <c r="X25" s="271"/>
      <c r="Y25" s="268"/>
      <c r="Z25" s="269"/>
      <c r="AA25" s="270"/>
      <c r="AB25" s="265"/>
      <c r="AC25" s="266"/>
      <c r="AD25" s="266"/>
      <c r="AE25" s="266"/>
      <c r="AF25" s="271"/>
      <c r="AG25" s="268"/>
      <c r="AH25" s="269"/>
      <c r="AI25" s="270"/>
      <c r="AJ25" s="265"/>
      <c r="AK25" s="266"/>
      <c r="AL25" s="266"/>
      <c r="AM25" s="266"/>
      <c r="AN25" s="271"/>
      <c r="AO25" s="268"/>
      <c r="AP25" s="269"/>
      <c r="AQ25" s="270"/>
      <c r="AR25" s="272"/>
      <c r="AS25" s="268"/>
      <c r="AT25" s="268"/>
      <c r="AU25" s="268"/>
      <c r="AV25" s="273"/>
      <c r="AW25" s="268"/>
      <c r="AX25" s="269"/>
      <c r="AY25" s="28"/>
      <c r="AZ25" s="316" t="e">
        <f t="shared" si="6"/>
        <v>#DIV/0!</v>
      </c>
      <c r="BA25" s="227">
        <f t="shared" si="7"/>
        <v>8</v>
      </c>
      <c r="BB25" s="173"/>
      <c r="BC25" s="173"/>
      <c r="BD25" s="173"/>
      <c r="BE25" s="173"/>
      <c r="BF25" s="173"/>
      <c r="BG25" s="173"/>
      <c r="BH25" s="173"/>
      <c r="BI25" s="173"/>
      <c r="BJ25" s="173"/>
      <c r="BK25" s="173"/>
      <c r="BL25" s="173"/>
      <c r="BM25" s="173"/>
      <c r="BN25" s="173"/>
      <c r="BO25" s="248">
        <f t="shared" si="1"/>
        <v>300</v>
      </c>
      <c r="BP25" s="319"/>
      <c r="BQ25" s="324">
        <v>158</v>
      </c>
      <c r="BR25" s="358"/>
      <c r="BS25" s="358">
        <v>3</v>
      </c>
      <c r="BT25" s="319"/>
      <c r="BU25" s="324">
        <v>281</v>
      </c>
      <c r="BV25" s="358"/>
      <c r="BW25" s="358">
        <v>6.2</v>
      </c>
      <c r="BX25" s="319">
        <v>40072</v>
      </c>
      <c r="BY25" s="217">
        <v>259</v>
      </c>
      <c r="BZ25" s="219"/>
      <c r="CA25" s="262">
        <v>4</v>
      </c>
      <c r="CB25" s="319">
        <v>39737</v>
      </c>
      <c r="CC25" s="217">
        <f t="shared" si="2"/>
        <v>290</v>
      </c>
      <c r="CD25" s="219"/>
      <c r="CE25" s="253">
        <v>7</v>
      </c>
      <c r="CF25" s="321">
        <v>39374</v>
      </c>
      <c r="CG25" s="217">
        <f t="shared" si="3"/>
        <v>292</v>
      </c>
      <c r="CH25" s="211"/>
      <c r="CI25" s="262">
        <v>7</v>
      </c>
      <c r="CJ25" s="319">
        <v>38981</v>
      </c>
      <c r="CK25" s="217">
        <f t="shared" si="5"/>
        <v>264</v>
      </c>
      <c r="CL25" s="211"/>
      <c r="CM25" s="258">
        <v>4.2</v>
      </c>
      <c r="CN25" s="173"/>
      <c r="CO25" s="173"/>
      <c r="CP25" s="173"/>
      <c r="CQ25" s="173"/>
      <c r="CR25" s="173"/>
      <c r="CS25" s="173"/>
      <c r="CT25" s="173"/>
      <c r="CU25" s="173"/>
    </row>
    <row r="26" spans="1:99" s="4" customFormat="1">
      <c r="A26" s="16" t="s">
        <v>30</v>
      </c>
      <c r="B26" s="21"/>
      <c r="C26" s="22"/>
      <c r="D26" s="265"/>
      <c r="E26" s="266"/>
      <c r="F26" s="266"/>
      <c r="G26" s="266"/>
      <c r="H26" s="267"/>
      <c r="I26" s="268"/>
      <c r="J26" s="269"/>
      <c r="K26" s="270"/>
      <c r="L26" s="265"/>
      <c r="M26" s="266"/>
      <c r="N26" s="266"/>
      <c r="O26" s="266"/>
      <c r="P26" s="271"/>
      <c r="Q26" s="268"/>
      <c r="R26" s="269"/>
      <c r="S26" s="270"/>
      <c r="T26" s="265"/>
      <c r="U26" s="266"/>
      <c r="V26" s="266"/>
      <c r="W26" s="266"/>
      <c r="X26" s="271"/>
      <c r="Y26" s="268"/>
      <c r="Z26" s="269"/>
      <c r="AA26" s="270"/>
      <c r="AB26" s="265"/>
      <c r="AC26" s="266"/>
      <c r="AD26" s="266"/>
      <c r="AE26" s="266"/>
      <c r="AF26" s="271"/>
      <c r="AG26" s="268"/>
      <c r="AH26" s="269"/>
      <c r="AI26" s="270"/>
      <c r="AJ26" s="265"/>
      <c r="AK26" s="266"/>
      <c r="AL26" s="266"/>
      <c r="AM26" s="266"/>
      <c r="AN26" s="271"/>
      <c r="AO26" s="268"/>
      <c r="AP26" s="269"/>
      <c r="AQ26" s="270"/>
      <c r="AR26" s="272"/>
      <c r="AS26" s="268"/>
      <c r="AT26" s="268"/>
      <c r="AU26" s="268"/>
      <c r="AV26" s="273"/>
      <c r="AW26" s="268"/>
      <c r="AX26" s="269"/>
      <c r="AY26" s="28"/>
      <c r="AZ26" s="316" t="e">
        <f t="shared" si="6"/>
        <v>#DIV/0!</v>
      </c>
      <c r="BA26" s="227">
        <f t="shared" si="7"/>
        <v>8</v>
      </c>
      <c r="BB26" s="173"/>
      <c r="BC26" s="173"/>
      <c r="BD26" s="173"/>
      <c r="BE26" s="173"/>
      <c r="BF26" s="173"/>
      <c r="BG26" s="173"/>
      <c r="BH26" s="173"/>
      <c r="BI26" s="173"/>
      <c r="BJ26" s="173"/>
      <c r="BK26" s="173"/>
      <c r="BL26" s="173"/>
      <c r="BM26" s="173"/>
      <c r="BN26" s="173"/>
      <c r="BO26" s="248">
        <f t="shared" si="1"/>
        <v>300</v>
      </c>
      <c r="BP26" s="319"/>
      <c r="BQ26" s="324">
        <v>158</v>
      </c>
      <c r="BR26" s="358"/>
      <c r="BS26" s="358">
        <v>3</v>
      </c>
      <c r="BT26" s="319"/>
      <c r="BU26" s="324">
        <v>281</v>
      </c>
      <c r="BV26" s="358"/>
      <c r="BW26" s="358">
        <v>6.2</v>
      </c>
      <c r="BX26" s="319">
        <v>40081</v>
      </c>
      <c r="BY26" s="217">
        <v>268</v>
      </c>
      <c r="BZ26" s="219"/>
      <c r="CA26" s="262">
        <v>4.5999999999999996</v>
      </c>
      <c r="CB26" s="319">
        <v>39744</v>
      </c>
      <c r="CC26" s="217">
        <f t="shared" si="2"/>
        <v>297</v>
      </c>
      <c r="CD26" s="219"/>
      <c r="CE26" s="253">
        <v>7</v>
      </c>
      <c r="CF26" s="321">
        <v>39381</v>
      </c>
      <c r="CG26" s="217">
        <f t="shared" si="3"/>
        <v>299</v>
      </c>
      <c r="CH26" s="211"/>
      <c r="CI26" s="262">
        <v>7</v>
      </c>
      <c r="CJ26" s="319">
        <v>38989</v>
      </c>
      <c r="CK26" s="217">
        <f t="shared" si="5"/>
        <v>272</v>
      </c>
      <c r="CL26" s="211"/>
      <c r="CM26" s="258">
        <v>4.5999999999999996</v>
      </c>
      <c r="CN26" s="173"/>
      <c r="CO26" s="173"/>
      <c r="CP26" s="173"/>
      <c r="CQ26" s="173"/>
      <c r="CR26" s="173"/>
      <c r="CS26" s="173"/>
      <c r="CT26" s="173"/>
      <c r="CU26" s="173"/>
    </row>
    <row r="27" spans="1:99" s="4" customFormat="1">
      <c r="A27" s="16" t="s">
        <v>30</v>
      </c>
      <c r="B27" s="21"/>
      <c r="C27" s="22"/>
      <c r="D27" s="265"/>
      <c r="E27" s="266"/>
      <c r="F27" s="266"/>
      <c r="G27" s="266"/>
      <c r="H27" s="267"/>
      <c r="I27" s="268"/>
      <c r="J27" s="269"/>
      <c r="K27" s="270"/>
      <c r="L27" s="265"/>
      <c r="M27" s="266"/>
      <c r="N27" s="266"/>
      <c r="O27" s="266"/>
      <c r="P27" s="271"/>
      <c r="Q27" s="268"/>
      <c r="R27" s="269"/>
      <c r="S27" s="270"/>
      <c r="T27" s="265"/>
      <c r="U27" s="266"/>
      <c r="V27" s="266"/>
      <c r="W27" s="266"/>
      <c r="X27" s="271"/>
      <c r="Y27" s="268"/>
      <c r="Z27" s="269"/>
      <c r="AA27" s="270"/>
      <c r="AB27" s="265"/>
      <c r="AC27" s="266"/>
      <c r="AD27" s="266"/>
      <c r="AE27" s="266"/>
      <c r="AF27" s="271"/>
      <c r="AG27" s="268"/>
      <c r="AH27" s="269"/>
      <c r="AI27" s="270"/>
      <c r="AJ27" s="265"/>
      <c r="AK27" s="266"/>
      <c r="AL27" s="266"/>
      <c r="AM27" s="266"/>
      <c r="AN27" s="271"/>
      <c r="AO27" s="268"/>
      <c r="AP27" s="269"/>
      <c r="AQ27" s="270"/>
      <c r="AR27" s="272"/>
      <c r="AS27" s="268"/>
      <c r="AT27" s="268"/>
      <c r="AU27" s="268"/>
      <c r="AV27" s="273"/>
      <c r="AW27" s="268"/>
      <c r="AX27" s="269"/>
      <c r="AY27" s="28"/>
      <c r="AZ27" s="316" t="e">
        <f t="shared" si="6"/>
        <v>#DIV/0!</v>
      </c>
      <c r="BA27" s="227">
        <f t="shared" si="7"/>
        <v>8</v>
      </c>
      <c r="BB27" s="173"/>
      <c r="BC27" s="173"/>
      <c r="BD27" s="173"/>
      <c r="BE27" s="173"/>
      <c r="BF27" s="173"/>
      <c r="BG27" s="173"/>
      <c r="BH27" s="173"/>
      <c r="BI27" s="173"/>
      <c r="BJ27" s="173"/>
      <c r="BK27" s="173"/>
      <c r="BL27" s="173"/>
      <c r="BM27" s="173"/>
      <c r="BN27" s="173"/>
      <c r="BO27" s="248">
        <f t="shared" si="1"/>
        <v>300</v>
      </c>
      <c r="BP27" s="319"/>
      <c r="BQ27" s="324">
        <v>158</v>
      </c>
      <c r="BR27" s="358"/>
      <c r="BS27" s="358">
        <v>3</v>
      </c>
      <c r="BT27" s="319"/>
      <c r="BU27" s="324">
        <v>281</v>
      </c>
      <c r="BV27" s="358"/>
      <c r="BW27" s="358">
        <v>6.2</v>
      </c>
      <c r="BX27" s="319">
        <v>40088</v>
      </c>
      <c r="BY27" s="217">
        <v>275</v>
      </c>
      <c r="BZ27" s="219"/>
      <c r="CA27" s="262">
        <v>6.2</v>
      </c>
      <c r="CB27" s="319">
        <v>39752</v>
      </c>
      <c r="CC27" s="217">
        <f t="shared" si="2"/>
        <v>305</v>
      </c>
      <c r="CD27" s="219"/>
      <c r="CE27" s="253">
        <v>8</v>
      </c>
      <c r="CF27" s="321">
        <v>39386</v>
      </c>
      <c r="CG27" s="217">
        <f t="shared" si="3"/>
        <v>304</v>
      </c>
      <c r="CH27" s="211"/>
      <c r="CI27" s="262">
        <v>8</v>
      </c>
      <c r="CJ27" s="319">
        <v>38996</v>
      </c>
      <c r="CK27" s="217">
        <f t="shared" si="5"/>
        <v>279</v>
      </c>
      <c r="CL27" s="211"/>
      <c r="CM27" s="258">
        <v>5.2</v>
      </c>
      <c r="CN27" s="173"/>
      <c r="CO27" s="173"/>
      <c r="CP27" s="173"/>
      <c r="CQ27" s="173"/>
      <c r="CR27" s="173"/>
      <c r="CS27" s="173"/>
      <c r="CT27" s="173"/>
      <c r="CU27" s="173"/>
    </row>
    <row r="28" spans="1:99" s="4" customFormat="1">
      <c r="A28" s="16" t="s">
        <v>30</v>
      </c>
      <c r="B28" s="21"/>
      <c r="C28" s="22"/>
      <c r="D28" s="265"/>
      <c r="E28" s="266"/>
      <c r="F28" s="266"/>
      <c r="G28" s="266"/>
      <c r="H28" s="267"/>
      <c r="I28" s="268"/>
      <c r="J28" s="269"/>
      <c r="K28" s="270"/>
      <c r="L28" s="265"/>
      <c r="M28" s="266"/>
      <c r="N28" s="266"/>
      <c r="O28" s="266"/>
      <c r="P28" s="271"/>
      <c r="Q28" s="268"/>
      <c r="R28" s="269"/>
      <c r="S28" s="270"/>
      <c r="T28" s="265"/>
      <c r="U28" s="266"/>
      <c r="V28" s="266"/>
      <c r="W28" s="266"/>
      <c r="X28" s="271"/>
      <c r="Y28" s="268"/>
      <c r="Z28" s="269"/>
      <c r="AA28" s="270"/>
      <c r="AB28" s="265"/>
      <c r="AC28" s="266"/>
      <c r="AD28" s="266"/>
      <c r="AE28" s="266"/>
      <c r="AF28" s="271"/>
      <c r="AG28" s="268"/>
      <c r="AH28" s="269"/>
      <c r="AI28" s="270"/>
      <c r="AJ28" s="265"/>
      <c r="AK28" s="266"/>
      <c r="AL28" s="266"/>
      <c r="AM28" s="266"/>
      <c r="AN28" s="271"/>
      <c r="AO28" s="268"/>
      <c r="AP28" s="269"/>
      <c r="AQ28" s="270"/>
      <c r="AR28" s="272"/>
      <c r="AS28" s="268"/>
      <c r="AT28" s="268"/>
      <c r="AU28" s="268"/>
      <c r="AV28" s="273"/>
      <c r="AW28" s="268"/>
      <c r="AX28" s="269"/>
      <c r="AY28" s="28"/>
      <c r="AZ28" s="316" t="e">
        <f t="shared" si="6"/>
        <v>#DIV/0!</v>
      </c>
      <c r="BA28" s="227">
        <f t="shared" si="7"/>
        <v>8</v>
      </c>
      <c r="BB28" s="173"/>
      <c r="BC28" s="173"/>
      <c r="BD28" s="173"/>
      <c r="BE28" s="173"/>
      <c r="BF28" s="173"/>
      <c r="BG28" s="173"/>
      <c r="BH28" s="173"/>
      <c r="BI28" s="173"/>
      <c r="BJ28" s="173"/>
      <c r="BK28" s="173"/>
      <c r="BL28" s="173"/>
      <c r="BM28" s="173"/>
      <c r="BN28" s="173"/>
      <c r="BO28" s="248">
        <f t="shared" si="1"/>
        <v>300</v>
      </c>
      <c r="BP28" s="319"/>
      <c r="BQ28" s="324">
        <v>158</v>
      </c>
      <c r="BR28" s="358"/>
      <c r="BS28" s="358">
        <v>3</v>
      </c>
      <c r="BT28" s="319"/>
      <c r="BU28" s="324">
        <v>281</v>
      </c>
      <c r="BV28" s="358"/>
      <c r="BW28" s="358">
        <v>6.2</v>
      </c>
      <c r="BX28" s="319">
        <v>40095</v>
      </c>
      <c r="BY28" s="217">
        <v>282</v>
      </c>
      <c r="BZ28" s="219"/>
      <c r="CA28" s="262">
        <v>6.6</v>
      </c>
      <c r="CB28" s="319"/>
      <c r="CC28" s="217"/>
      <c r="CD28" s="219"/>
      <c r="CE28" s="253"/>
      <c r="CF28" s="321"/>
      <c r="CG28" s="211"/>
      <c r="CH28" s="211"/>
      <c r="CI28" s="262"/>
      <c r="CJ28" s="319">
        <v>39003</v>
      </c>
      <c r="CK28" s="217">
        <f t="shared" si="5"/>
        <v>286</v>
      </c>
      <c r="CL28" s="211"/>
      <c r="CM28" s="258">
        <v>5.6</v>
      </c>
      <c r="CN28" s="173"/>
      <c r="CO28" s="173"/>
      <c r="CP28" s="173"/>
      <c r="CQ28" s="173"/>
      <c r="CR28" s="173"/>
      <c r="CS28" s="173"/>
      <c r="CT28" s="173"/>
      <c r="CU28" s="173"/>
    </row>
    <row r="29" spans="1:99" s="4" customFormat="1">
      <c r="A29" s="16" t="s">
        <v>30</v>
      </c>
      <c r="B29" s="21"/>
      <c r="C29" s="22"/>
      <c r="D29" s="265"/>
      <c r="E29" s="266"/>
      <c r="F29" s="266"/>
      <c r="G29" s="266"/>
      <c r="H29" s="267"/>
      <c r="I29" s="268"/>
      <c r="J29" s="269"/>
      <c r="K29" s="270"/>
      <c r="L29" s="265"/>
      <c r="M29" s="266"/>
      <c r="N29" s="266"/>
      <c r="O29" s="266"/>
      <c r="P29" s="271"/>
      <c r="Q29" s="268"/>
      <c r="R29" s="269"/>
      <c r="S29" s="270"/>
      <c r="T29" s="265"/>
      <c r="U29" s="266"/>
      <c r="V29" s="266"/>
      <c r="W29" s="266"/>
      <c r="X29" s="271"/>
      <c r="Y29" s="268"/>
      <c r="Z29" s="269"/>
      <c r="AA29" s="270"/>
      <c r="AB29" s="265"/>
      <c r="AC29" s="266"/>
      <c r="AD29" s="266"/>
      <c r="AE29" s="266"/>
      <c r="AF29" s="271"/>
      <c r="AG29" s="268"/>
      <c r="AH29" s="269"/>
      <c r="AI29" s="270"/>
      <c r="AJ29" s="265"/>
      <c r="AK29" s="266"/>
      <c r="AL29" s="266"/>
      <c r="AM29" s="266"/>
      <c r="AN29" s="271"/>
      <c r="AO29" s="268"/>
      <c r="AP29" s="269"/>
      <c r="AQ29" s="270"/>
      <c r="AR29" s="272"/>
      <c r="AS29" s="268"/>
      <c r="AT29" s="268"/>
      <c r="AU29" s="268"/>
      <c r="AV29" s="273"/>
      <c r="AW29" s="268"/>
      <c r="AX29" s="269"/>
      <c r="AY29" s="28"/>
      <c r="AZ29" s="316" t="e">
        <f t="shared" si="6"/>
        <v>#DIV/0!</v>
      </c>
      <c r="BA29" s="227">
        <f t="shared" si="7"/>
        <v>8</v>
      </c>
      <c r="BB29" s="173"/>
      <c r="BC29" s="173"/>
      <c r="BD29" s="173"/>
      <c r="BE29" s="173"/>
      <c r="BF29" s="173"/>
      <c r="BG29" s="173"/>
      <c r="BH29" s="173"/>
      <c r="BI29" s="173"/>
      <c r="BJ29" s="173"/>
      <c r="BK29" s="173"/>
      <c r="BL29" s="173"/>
      <c r="BM29" s="173"/>
      <c r="BN29" s="173"/>
      <c r="BO29" s="248">
        <f t="shared" si="1"/>
        <v>300</v>
      </c>
      <c r="BP29" s="319"/>
      <c r="BQ29" s="324">
        <v>158</v>
      </c>
      <c r="BR29" s="358"/>
      <c r="BS29" s="358">
        <v>3</v>
      </c>
      <c r="BT29" s="319"/>
      <c r="BU29" s="324">
        <v>281</v>
      </c>
      <c r="BV29" s="358"/>
      <c r="BW29" s="358">
        <v>6.2</v>
      </c>
      <c r="BX29" s="319">
        <v>40102</v>
      </c>
      <c r="BY29" s="217">
        <v>289</v>
      </c>
      <c r="BZ29" s="219"/>
      <c r="CA29" s="262">
        <v>6.8</v>
      </c>
      <c r="CB29" s="319"/>
      <c r="CC29" s="217"/>
      <c r="CD29" s="219"/>
      <c r="CE29" s="253"/>
      <c r="CF29" s="321"/>
      <c r="CG29" s="211"/>
      <c r="CH29" s="211"/>
      <c r="CI29" s="262"/>
      <c r="CJ29" s="319">
        <v>39010</v>
      </c>
      <c r="CK29" s="217">
        <f t="shared" si="5"/>
        <v>293</v>
      </c>
      <c r="CL29" s="211"/>
      <c r="CM29" s="258">
        <v>7.2</v>
      </c>
      <c r="CN29" s="173"/>
      <c r="CO29" s="173"/>
      <c r="CP29" s="173"/>
      <c r="CQ29" s="173"/>
      <c r="CR29" s="173"/>
      <c r="CS29" s="173"/>
      <c r="CT29" s="173"/>
      <c r="CU29" s="173"/>
    </row>
    <row r="30" spans="1:99" s="4" customFormat="1">
      <c r="A30" s="16" t="s">
        <v>30</v>
      </c>
      <c r="B30" s="21"/>
      <c r="C30" s="22"/>
      <c r="D30" s="265"/>
      <c r="E30" s="266"/>
      <c r="F30" s="266"/>
      <c r="G30" s="266"/>
      <c r="H30" s="267"/>
      <c r="I30" s="268"/>
      <c r="J30" s="269"/>
      <c r="K30" s="270"/>
      <c r="L30" s="265"/>
      <c r="M30" s="266"/>
      <c r="N30" s="266"/>
      <c r="O30" s="266"/>
      <c r="P30" s="271"/>
      <c r="Q30" s="268"/>
      <c r="R30" s="269"/>
      <c r="S30" s="270"/>
      <c r="T30" s="265"/>
      <c r="U30" s="266"/>
      <c r="V30" s="266"/>
      <c r="W30" s="266"/>
      <c r="X30" s="271"/>
      <c r="Y30" s="268"/>
      <c r="Z30" s="269"/>
      <c r="AA30" s="270"/>
      <c r="AB30" s="265"/>
      <c r="AC30" s="266"/>
      <c r="AD30" s="266"/>
      <c r="AE30" s="266"/>
      <c r="AF30" s="271"/>
      <c r="AG30" s="268"/>
      <c r="AH30" s="269"/>
      <c r="AI30" s="270"/>
      <c r="AJ30" s="265"/>
      <c r="AK30" s="266"/>
      <c r="AL30" s="266"/>
      <c r="AM30" s="266"/>
      <c r="AN30" s="271"/>
      <c r="AO30" s="268"/>
      <c r="AP30" s="269"/>
      <c r="AQ30" s="270"/>
      <c r="AR30" s="272"/>
      <c r="AS30" s="268"/>
      <c r="AT30" s="268"/>
      <c r="AU30" s="268"/>
      <c r="AV30" s="273"/>
      <c r="AW30" s="268"/>
      <c r="AX30" s="269"/>
      <c r="AY30" s="28"/>
      <c r="AZ30" s="316" t="e">
        <f t="shared" si="6"/>
        <v>#DIV/0!</v>
      </c>
      <c r="BA30" s="227">
        <f t="shared" si="7"/>
        <v>8</v>
      </c>
      <c r="BB30" s="173"/>
      <c r="BC30" s="173"/>
      <c r="BD30" s="173"/>
      <c r="BE30" s="173"/>
      <c r="BF30" s="173"/>
      <c r="BG30" s="173"/>
      <c r="BH30" s="173"/>
      <c r="BI30" s="173"/>
      <c r="BJ30" s="173"/>
      <c r="BK30" s="173"/>
      <c r="BL30" s="173"/>
      <c r="BM30" s="173"/>
      <c r="BN30" s="173"/>
      <c r="BO30" s="248">
        <f t="shared" si="1"/>
        <v>300</v>
      </c>
      <c r="BP30" s="319"/>
      <c r="BQ30" s="324">
        <v>158</v>
      </c>
      <c r="BR30" s="358"/>
      <c r="BS30" s="358">
        <v>3</v>
      </c>
      <c r="BT30" s="319"/>
      <c r="BU30" s="324">
        <v>281</v>
      </c>
      <c r="BV30" s="358"/>
      <c r="BW30" s="358">
        <v>6.2</v>
      </c>
      <c r="BX30" s="319">
        <v>40109</v>
      </c>
      <c r="BY30" s="217">
        <v>296</v>
      </c>
      <c r="BZ30" s="219"/>
      <c r="CA30" s="262">
        <v>7</v>
      </c>
      <c r="CB30" s="319"/>
      <c r="CC30" s="217"/>
      <c r="CD30" s="219"/>
      <c r="CE30" s="253"/>
      <c r="CF30" s="321"/>
      <c r="CG30" s="211"/>
      <c r="CH30" s="211"/>
      <c r="CI30" s="262"/>
      <c r="CJ30" s="319">
        <v>39017</v>
      </c>
      <c r="CK30" s="217">
        <f t="shared" si="5"/>
        <v>300</v>
      </c>
      <c r="CL30" s="211"/>
      <c r="CM30" s="258">
        <v>7.6</v>
      </c>
      <c r="CN30" s="173"/>
      <c r="CO30" s="173"/>
      <c r="CP30" s="173"/>
      <c r="CQ30" s="173"/>
      <c r="CR30" s="173"/>
      <c r="CS30" s="173"/>
      <c r="CT30" s="173"/>
      <c r="CU30" s="173"/>
    </row>
    <row r="31" spans="1:99" s="4" customFormat="1">
      <c r="A31" s="16" t="s">
        <v>30</v>
      </c>
      <c r="B31" s="21"/>
      <c r="C31" s="22"/>
      <c r="D31" s="265"/>
      <c r="E31" s="266"/>
      <c r="F31" s="266"/>
      <c r="G31" s="266"/>
      <c r="H31" s="267"/>
      <c r="I31" s="268"/>
      <c r="J31" s="269"/>
      <c r="K31" s="270"/>
      <c r="L31" s="265"/>
      <c r="M31" s="266"/>
      <c r="N31" s="266"/>
      <c r="O31" s="266"/>
      <c r="P31" s="271"/>
      <c r="Q31" s="268"/>
      <c r="R31" s="269"/>
      <c r="S31" s="270"/>
      <c r="T31" s="265"/>
      <c r="U31" s="266"/>
      <c r="V31" s="266"/>
      <c r="W31" s="266"/>
      <c r="X31" s="271"/>
      <c r="Y31" s="268"/>
      <c r="Z31" s="269"/>
      <c r="AA31" s="270"/>
      <c r="AB31" s="265"/>
      <c r="AC31" s="266"/>
      <c r="AD31" s="266"/>
      <c r="AE31" s="266"/>
      <c r="AF31" s="271"/>
      <c r="AG31" s="268"/>
      <c r="AH31" s="269"/>
      <c r="AI31" s="270"/>
      <c r="AJ31" s="265"/>
      <c r="AK31" s="266"/>
      <c r="AL31" s="266"/>
      <c r="AM31" s="266"/>
      <c r="AN31" s="271"/>
      <c r="AO31" s="268"/>
      <c r="AP31" s="269"/>
      <c r="AQ31" s="270"/>
      <c r="AR31" s="272"/>
      <c r="AS31" s="268"/>
      <c r="AT31" s="268"/>
      <c r="AU31" s="268"/>
      <c r="AV31" s="273"/>
      <c r="AW31" s="268"/>
      <c r="AX31" s="269"/>
      <c r="AY31" s="28"/>
      <c r="AZ31" s="316" t="e">
        <f t="shared" si="6"/>
        <v>#DIV/0!</v>
      </c>
      <c r="BA31" s="227">
        <f t="shared" si="7"/>
        <v>8</v>
      </c>
      <c r="BB31" s="173"/>
      <c r="BC31" s="173"/>
      <c r="BD31" s="173"/>
      <c r="BE31" s="173"/>
      <c r="BF31" s="173"/>
      <c r="BG31" s="173"/>
      <c r="BH31" s="173"/>
      <c r="BI31" s="173"/>
      <c r="BJ31" s="173"/>
      <c r="BK31" s="173"/>
      <c r="BL31" s="173"/>
      <c r="BM31" s="173"/>
      <c r="BN31" s="173"/>
      <c r="BO31" s="248">
        <f t="shared" si="1"/>
        <v>300</v>
      </c>
      <c r="BP31" s="319"/>
      <c r="BQ31" s="324">
        <v>158</v>
      </c>
      <c r="BR31" s="358"/>
      <c r="BS31" s="358">
        <v>3</v>
      </c>
      <c r="BT31" s="319"/>
      <c r="BU31" s="324">
        <v>281</v>
      </c>
      <c r="BV31" s="358"/>
      <c r="BW31" s="358">
        <v>6.2</v>
      </c>
      <c r="BX31" s="319">
        <v>40115</v>
      </c>
      <c r="BY31" s="217">
        <v>302</v>
      </c>
      <c r="BZ31" s="219"/>
      <c r="CA31" s="262">
        <v>7.4</v>
      </c>
      <c r="CB31" s="319"/>
      <c r="CC31" s="217"/>
      <c r="CD31" s="219"/>
      <c r="CE31" s="253"/>
      <c r="CF31" s="321"/>
      <c r="CG31" s="211"/>
      <c r="CH31" s="211"/>
      <c r="CI31" s="262"/>
      <c r="CJ31" s="319">
        <v>39023</v>
      </c>
      <c r="CK31" s="217">
        <f t="shared" si="5"/>
        <v>306</v>
      </c>
      <c r="CL31" s="211"/>
      <c r="CM31" s="258">
        <v>7.6</v>
      </c>
      <c r="CN31" s="173"/>
      <c r="CO31" s="173"/>
      <c r="CP31" s="173"/>
      <c r="CQ31" s="173"/>
      <c r="CR31" s="173"/>
      <c r="CS31" s="173"/>
      <c r="CT31" s="173"/>
      <c r="CU31" s="173"/>
    </row>
    <row r="32" spans="1:99" s="4" customFormat="1">
      <c r="A32" s="16" t="s">
        <v>30</v>
      </c>
      <c r="B32" s="21"/>
      <c r="C32" s="22"/>
      <c r="D32" s="265"/>
      <c r="E32" s="266"/>
      <c r="F32" s="266"/>
      <c r="G32" s="266"/>
      <c r="H32" s="267"/>
      <c r="I32" s="268"/>
      <c r="J32" s="269"/>
      <c r="K32" s="270"/>
      <c r="L32" s="265"/>
      <c r="M32" s="266"/>
      <c r="N32" s="266"/>
      <c r="O32" s="266"/>
      <c r="P32" s="271"/>
      <c r="Q32" s="268"/>
      <c r="R32" s="269"/>
      <c r="S32" s="270"/>
      <c r="T32" s="265"/>
      <c r="U32" s="266"/>
      <c r="V32" s="266"/>
      <c r="W32" s="266"/>
      <c r="X32" s="271"/>
      <c r="Y32" s="268"/>
      <c r="Z32" s="269"/>
      <c r="AA32" s="270"/>
      <c r="AB32" s="265"/>
      <c r="AC32" s="266"/>
      <c r="AD32" s="266"/>
      <c r="AE32" s="266"/>
      <c r="AF32" s="271"/>
      <c r="AG32" s="268"/>
      <c r="AH32" s="269"/>
      <c r="AI32" s="270"/>
      <c r="AJ32" s="265"/>
      <c r="AK32" s="266"/>
      <c r="AL32" s="266"/>
      <c r="AM32" s="266"/>
      <c r="AN32" s="271"/>
      <c r="AO32" s="268"/>
      <c r="AP32" s="269"/>
      <c r="AQ32" s="270"/>
      <c r="AR32" s="272"/>
      <c r="AS32" s="268"/>
      <c r="AT32" s="268"/>
      <c r="AU32" s="268"/>
      <c r="AV32" s="273"/>
      <c r="AW32" s="268"/>
      <c r="AX32" s="269"/>
      <c r="AY32" s="28"/>
      <c r="AZ32" s="316" t="e">
        <f t="shared" si="6"/>
        <v>#DIV/0!</v>
      </c>
      <c r="BA32" s="227">
        <f t="shared" si="7"/>
        <v>8</v>
      </c>
      <c r="BB32" s="173"/>
      <c r="BC32" s="173"/>
      <c r="BD32" s="173"/>
      <c r="BE32" s="173"/>
      <c r="BF32" s="173"/>
      <c r="BG32" s="173"/>
      <c r="BH32" s="173"/>
      <c r="BI32" s="173"/>
      <c r="BJ32" s="173"/>
      <c r="BK32" s="173"/>
      <c r="BL32" s="173"/>
      <c r="BM32" s="173"/>
      <c r="BN32" s="173"/>
      <c r="BO32" s="248">
        <f t="shared" si="1"/>
        <v>300</v>
      </c>
      <c r="BP32" s="319"/>
      <c r="BQ32" s="324">
        <v>158</v>
      </c>
      <c r="BR32" s="358"/>
      <c r="BS32" s="358">
        <v>3</v>
      </c>
      <c r="BT32" s="319"/>
      <c r="BU32" s="324">
        <v>281</v>
      </c>
      <c r="BV32" s="358"/>
      <c r="BW32" s="358">
        <v>6.2</v>
      </c>
      <c r="BX32" s="319"/>
      <c r="BY32" s="217"/>
      <c r="BZ32" s="219"/>
      <c r="CA32" s="262"/>
      <c r="CB32" s="319"/>
      <c r="CC32" s="217"/>
      <c r="CD32" s="219"/>
      <c r="CE32" s="253"/>
      <c r="CF32" s="321"/>
      <c r="CG32" s="211"/>
      <c r="CH32" s="211"/>
      <c r="CI32" s="262"/>
      <c r="CJ32" s="319">
        <v>39031</v>
      </c>
      <c r="CK32" s="217">
        <f t="shared" si="5"/>
        <v>314</v>
      </c>
      <c r="CL32" s="211"/>
      <c r="CM32" s="258">
        <v>8</v>
      </c>
      <c r="CN32" s="173"/>
      <c r="CO32" s="173"/>
      <c r="CP32" s="173"/>
      <c r="CQ32" s="173"/>
      <c r="CR32" s="173"/>
      <c r="CS32" s="173"/>
      <c r="CT32" s="173"/>
      <c r="CU32" s="173"/>
    </row>
    <row r="33" spans="1:99" s="4" customFormat="1">
      <c r="A33" s="16" t="s">
        <v>30</v>
      </c>
      <c r="B33" s="21"/>
      <c r="C33" s="22"/>
      <c r="D33" s="265"/>
      <c r="E33" s="266"/>
      <c r="F33" s="266"/>
      <c r="G33" s="266"/>
      <c r="H33" s="267"/>
      <c r="I33" s="268"/>
      <c r="J33" s="269"/>
      <c r="K33" s="290"/>
      <c r="L33" s="265"/>
      <c r="M33" s="266"/>
      <c r="N33" s="266"/>
      <c r="O33" s="266"/>
      <c r="P33" s="271"/>
      <c r="Q33" s="268"/>
      <c r="R33" s="269"/>
      <c r="S33" s="270"/>
      <c r="T33" s="265"/>
      <c r="U33" s="266"/>
      <c r="V33" s="266"/>
      <c r="W33" s="266"/>
      <c r="X33" s="271"/>
      <c r="Y33" s="268"/>
      <c r="Z33" s="269"/>
      <c r="AA33" s="270"/>
      <c r="AB33" s="265"/>
      <c r="AC33" s="266"/>
      <c r="AD33" s="266"/>
      <c r="AE33" s="266"/>
      <c r="AF33" s="271"/>
      <c r="AG33" s="268"/>
      <c r="AH33" s="269"/>
      <c r="AI33" s="270"/>
      <c r="AJ33" s="265"/>
      <c r="AK33" s="266"/>
      <c r="AL33" s="266"/>
      <c r="AM33" s="266"/>
      <c r="AN33" s="271"/>
      <c r="AO33" s="268"/>
      <c r="AP33" s="269"/>
      <c r="AQ33" s="270"/>
      <c r="AR33" s="272"/>
      <c r="AS33" s="268"/>
      <c r="AT33" s="268"/>
      <c r="AU33" s="268"/>
      <c r="AV33" s="273"/>
      <c r="AW33" s="268"/>
      <c r="AX33" s="269"/>
      <c r="AY33" s="28"/>
      <c r="AZ33" s="316" t="e">
        <f t="shared" si="6"/>
        <v>#DIV/0!</v>
      </c>
      <c r="BA33" s="227">
        <f t="shared" si="7"/>
        <v>8</v>
      </c>
      <c r="BB33" s="173"/>
      <c r="BC33" s="173"/>
      <c r="BD33" s="173"/>
      <c r="BE33" s="173"/>
      <c r="BF33" s="173"/>
      <c r="BG33" s="173"/>
      <c r="BH33" s="173"/>
      <c r="BI33" s="173"/>
      <c r="BJ33" s="173"/>
      <c r="BK33" s="173"/>
      <c r="BL33" s="173"/>
      <c r="BM33" s="173"/>
      <c r="BN33" s="173"/>
      <c r="BO33" s="248">
        <f t="shared" si="1"/>
        <v>300</v>
      </c>
      <c r="BP33" s="319"/>
      <c r="BQ33" s="324">
        <v>158</v>
      </c>
      <c r="BR33" s="358"/>
      <c r="BS33" s="358">
        <v>3</v>
      </c>
      <c r="BT33" s="319"/>
      <c r="BU33" s="324">
        <v>281</v>
      </c>
      <c r="BV33" s="358"/>
      <c r="BW33" s="358">
        <v>6.2</v>
      </c>
      <c r="BX33" s="319"/>
      <c r="BY33" s="217"/>
      <c r="BZ33" s="219"/>
      <c r="CA33" s="262"/>
      <c r="CB33" s="319"/>
      <c r="CC33" s="217"/>
      <c r="CD33" s="219"/>
      <c r="CE33" s="253"/>
      <c r="CF33" s="321"/>
      <c r="CG33" s="211"/>
      <c r="CH33" s="211"/>
      <c r="CI33" s="262"/>
      <c r="CJ33" s="319"/>
      <c r="CK33" s="211"/>
      <c r="CL33" s="211"/>
      <c r="CM33" s="258"/>
      <c r="CN33" s="173"/>
      <c r="CO33" s="173"/>
      <c r="CP33" s="173"/>
      <c r="CQ33" s="173"/>
      <c r="CR33" s="173"/>
      <c r="CS33" s="173"/>
      <c r="CT33" s="173"/>
      <c r="CU33" s="173"/>
    </row>
    <row r="34" spans="1:99" s="4" customFormat="1">
      <c r="A34" s="16" t="s">
        <v>30</v>
      </c>
      <c r="B34" s="21"/>
      <c r="C34" s="22"/>
      <c r="D34" s="265"/>
      <c r="E34" s="266"/>
      <c r="F34" s="266"/>
      <c r="G34" s="266"/>
      <c r="H34" s="267"/>
      <c r="I34" s="268"/>
      <c r="J34" s="269"/>
      <c r="K34" s="290"/>
      <c r="L34" s="265"/>
      <c r="M34" s="266"/>
      <c r="N34" s="266"/>
      <c r="O34" s="266"/>
      <c r="P34" s="271"/>
      <c r="Q34" s="268"/>
      <c r="R34" s="269"/>
      <c r="S34" s="290"/>
      <c r="T34" s="265"/>
      <c r="U34" s="266"/>
      <c r="V34" s="266"/>
      <c r="W34" s="266"/>
      <c r="X34" s="271"/>
      <c r="Y34" s="268"/>
      <c r="Z34" s="269"/>
      <c r="AA34" s="290"/>
      <c r="AB34" s="265"/>
      <c r="AC34" s="266"/>
      <c r="AD34" s="266"/>
      <c r="AE34" s="266"/>
      <c r="AF34" s="271"/>
      <c r="AG34" s="268"/>
      <c r="AH34" s="269"/>
      <c r="AI34" s="290"/>
      <c r="AJ34" s="265"/>
      <c r="AK34" s="266"/>
      <c r="AL34" s="266"/>
      <c r="AM34" s="266"/>
      <c r="AN34" s="271"/>
      <c r="AO34" s="268"/>
      <c r="AP34" s="269"/>
      <c r="AQ34" s="290"/>
      <c r="AR34" s="272"/>
      <c r="AS34" s="268"/>
      <c r="AT34" s="268"/>
      <c r="AU34" s="268"/>
      <c r="AV34" s="273"/>
      <c r="AW34" s="268"/>
      <c r="AX34" s="269"/>
      <c r="AY34" s="28"/>
      <c r="AZ34" s="316" t="e">
        <f t="shared" si="6"/>
        <v>#DIV/0!</v>
      </c>
      <c r="BA34" s="227">
        <f t="shared" si="7"/>
        <v>8</v>
      </c>
      <c r="BB34" s="173"/>
      <c r="BC34" s="173"/>
      <c r="BD34" s="173"/>
      <c r="BE34" s="173"/>
      <c r="BF34" s="173"/>
      <c r="BG34" s="173"/>
      <c r="BH34" s="173"/>
      <c r="BI34" s="173"/>
      <c r="BJ34" s="173"/>
      <c r="BK34" s="173"/>
      <c r="BL34" s="173"/>
      <c r="BM34" s="173"/>
      <c r="BN34" s="173"/>
      <c r="BO34" s="248">
        <f t="shared" si="1"/>
        <v>300</v>
      </c>
      <c r="BP34" s="319"/>
      <c r="BQ34" s="324">
        <v>158</v>
      </c>
      <c r="BR34" s="358"/>
      <c r="BS34" s="358">
        <v>3</v>
      </c>
      <c r="BT34" s="319"/>
      <c r="BU34" s="324">
        <v>281</v>
      </c>
      <c r="BV34" s="358"/>
      <c r="BW34" s="358">
        <v>6.2</v>
      </c>
      <c r="BX34" s="319"/>
      <c r="BY34" s="217"/>
      <c r="BZ34" s="219"/>
      <c r="CA34" s="262"/>
      <c r="CB34" s="319"/>
      <c r="CC34" s="217"/>
      <c r="CD34" s="219"/>
      <c r="CE34" s="253"/>
      <c r="CF34" s="321"/>
      <c r="CG34" s="211"/>
      <c r="CH34" s="211"/>
      <c r="CI34" s="262"/>
      <c r="CJ34" s="319"/>
      <c r="CK34" s="211"/>
      <c r="CL34" s="211"/>
      <c r="CM34" s="258"/>
      <c r="CN34" s="173"/>
      <c r="CO34" s="173"/>
      <c r="CP34" s="173"/>
      <c r="CQ34" s="173"/>
      <c r="CR34" s="173"/>
      <c r="CS34" s="173"/>
      <c r="CT34" s="173"/>
      <c r="CU34" s="173"/>
    </row>
    <row r="35" spans="1:99" s="13" customFormat="1" ht="13" thickBot="1">
      <c r="A35" s="17" t="s">
        <v>30</v>
      </c>
      <c r="B35" s="29"/>
      <c r="C35" s="30"/>
      <c r="D35" s="274"/>
      <c r="E35" s="275"/>
      <c r="F35" s="275"/>
      <c r="G35" s="275"/>
      <c r="H35" s="276"/>
      <c r="I35" s="277"/>
      <c r="J35" s="278"/>
      <c r="K35" s="291"/>
      <c r="L35" s="274"/>
      <c r="M35" s="275"/>
      <c r="N35" s="275"/>
      <c r="O35" s="275"/>
      <c r="P35" s="279"/>
      <c r="Q35" s="277"/>
      <c r="R35" s="278"/>
      <c r="S35" s="291"/>
      <c r="T35" s="274"/>
      <c r="U35" s="275"/>
      <c r="V35" s="275"/>
      <c r="W35" s="275"/>
      <c r="X35" s="279"/>
      <c r="Y35" s="277"/>
      <c r="Z35" s="278"/>
      <c r="AA35" s="291"/>
      <c r="AB35" s="274"/>
      <c r="AC35" s="275"/>
      <c r="AD35" s="275"/>
      <c r="AE35" s="275"/>
      <c r="AF35" s="279"/>
      <c r="AG35" s="277"/>
      <c r="AH35" s="278"/>
      <c r="AI35" s="291"/>
      <c r="AJ35" s="274"/>
      <c r="AK35" s="275"/>
      <c r="AL35" s="275"/>
      <c r="AM35" s="275"/>
      <c r="AN35" s="279"/>
      <c r="AO35" s="277"/>
      <c r="AP35" s="278"/>
      <c r="AQ35" s="291"/>
      <c r="AR35" s="280"/>
      <c r="AS35" s="277"/>
      <c r="AT35" s="277"/>
      <c r="AU35" s="277"/>
      <c r="AV35" s="281"/>
      <c r="AW35" s="277"/>
      <c r="AX35" s="278"/>
      <c r="AY35" s="36"/>
      <c r="AZ35" s="317"/>
      <c r="BA35" s="208">
        <f t="shared" si="7"/>
        <v>8</v>
      </c>
      <c r="BB35" s="176"/>
      <c r="BC35" s="176"/>
      <c r="BD35" s="176"/>
      <c r="BE35" s="176"/>
      <c r="BF35" s="176"/>
      <c r="BG35" s="176"/>
      <c r="BH35" s="176"/>
      <c r="BI35" s="176"/>
      <c r="BJ35" s="176"/>
      <c r="BK35" s="176"/>
      <c r="BL35" s="176"/>
      <c r="BM35" s="176"/>
      <c r="BN35" s="176"/>
      <c r="BO35" s="241">
        <f t="shared" si="1"/>
        <v>300</v>
      </c>
      <c r="BP35" s="238"/>
      <c r="BQ35" s="325">
        <v>158</v>
      </c>
      <c r="BR35" s="359"/>
      <c r="BS35" s="359">
        <v>3</v>
      </c>
      <c r="BT35" s="238"/>
      <c r="BU35" s="325">
        <v>281</v>
      </c>
      <c r="BV35" s="359"/>
      <c r="BW35" s="359">
        <v>6.2</v>
      </c>
      <c r="BX35" s="238"/>
      <c r="BY35" s="255"/>
      <c r="BZ35" s="244"/>
      <c r="CA35" s="264"/>
      <c r="CB35" s="238"/>
      <c r="CC35" s="255"/>
      <c r="CD35" s="244"/>
      <c r="CE35" s="256"/>
      <c r="CF35" s="322"/>
      <c r="CG35" s="239"/>
      <c r="CH35" s="239"/>
      <c r="CI35" s="264"/>
      <c r="CJ35" s="238"/>
      <c r="CK35" s="239"/>
      <c r="CL35" s="239"/>
      <c r="CM35" s="240"/>
      <c r="CN35" s="176"/>
      <c r="CO35" s="176"/>
      <c r="CP35" s="176"/>
      <c r="CQ35" s="176"/>
      <c r="CR35" s="176"/>
      <c r="CS35" s="176"/>
      <c r="CT35" s="176"/>
      <c r="CU35" s="176"/>
    </row>
    <row r="36" spans="1:99" s="4" customFormat="1">
      <c r="A36" s="15" t="s">
        <v>31</v>
      </c>
      <c r="B36" s="37">
        <v>40995</v>
      </c>
      <c r="C36" s="38" t="s">
        <v>77</v>
      </c>
      <c r="D36" s="282">
        <v>5.6</v>
      </c>
      <c r="E36" s="283">
        <v>5.5</v>
      </c>
      <c r="F36" s="283">
        <v>6.1</v>
      </c>
      <c r="G36" s="283">
        <v>4.5999999999999996</v>
      </c>
      <c r="H36" s="284">
        <v>5.7</v>
      </c>
      <c r="I36" s="285">
        <v>4.5999999999999996</v>
      </c>
      <c r="J36" s="286">
        <v>5.4</v>
      </c>
      <c r="K36" s="292">
        <v>0</v>
      </c>
      <c r="L36" s="282">
        <v>5.4</v>
      </c>
      <c r="M36" s="283">
        <v>6.5</v>
      </c>
      <c r="N36" s="283">
        <v>5.9</v>
      </c>
      <c r="O36" s="283">
        <v>7.3</v>
      </c>
      <c r="P36" s="287">
        <v>7.9</v>
      </c>
      <c r="Q36" s="285">
        <v>6.9</v>
      </c>
      <c r="R36" s="286">
        <v>5.5</v>
      </c>
      <c r="S36" s="292">
        <v>0</v>
      </c>
      <c r="T36" s="282">
        <v>5.9</v>
      </c>
      <c r="U36" s="283">
        <v>5.8</v>
      </c>
      <c r="V36" s="283">
        <v>6.4</v>
      </c>
      <c r="W36" s="283">
        <v>7.4</v>
      </c>
      <c r="X36" s="287">
        <v>6.7</v>
      </c>
      <c r="Y36" s="285">
        <v>6.2</v>
      </c>
      <c r="Z36" s="286">
        <v>5.5</v>
      </c>
      <c r="AA36" s="292">
        <v>0</v>
      </c>
      <c r="AB36" s="282">
        <v>5.9</v>
      </c>
      <c r="AC36" s="283">
        <v>5.2</v>
      </c>
      <c r="AD36" s="283">
        <v>7.1</v>
      </c>
      <c r="AE36" s="283">
        <v>6.2</v>
      </c>
      <c r="AF36" s="287">
        <v>6.1</v>
      </c>
      <c r="AG36" s="285">
        <v>5</v>
      </c>
      <c r="AH36" s="286">
        <v>6.1</v>
      </c>
      <c r="AI36" s="292">
        <v>0</v>
      </c>
      <c r="AJ36" s="282">
        <v>6.1</v>
      </c>
      <c r="AK36" s="283">
        <v>7.3</v>
      </c>
      <c r="AL36" s="283">
        <v>5.8</v>
      </c>
      <c r="AM36" s="283">
        <v>5.8</v>
      </c>
      <c r="AN36" s="287">
        <v>4.7</v>
      </c>
      <c r="AO36" s="285">
        <v>5.5</v>
      </c>
      <c r="AP36" s="286">
        <v>6.2</v>
      </c>
      <c r="AQ36" s="292">
        <v>0</v>
      </c>
      <c r="AR36" s="288">
        <v>5.5</v>
      </c>
      <c r="AS36" s="285">
        <v>6.1</v>
      </c>
      <c r="AT36" s="285">
        <v>3.9</v>
      </c>
      <c r="AU36" s="285">
        <v>4.5</v>
      </c>
      <c r="AV36" s="289">
        <v>5.6</v>
      </c>
      <c r="AW36" s="285">
        <v>4.8</v>
      </c>
      <c r="AX36" s="286">
        <v>5.5</v>
      </c>
      <c r="AY36" s="44">
        <v>0</v>
      </c>
      <c r="AZ36" s="18">
        <f t="shared" si="6"/>
        <v>5.9942857142857147</v>
      </c>
      <c r="BA36" s="200">
        <f>IF(COUNT(K36,S36,AA36,AI36,AQ36)=0,BA35,AVERAGE(K36,S36,AA36,AI36,AQ36))</f>
        <v>0</v>
      </c>
      <c r="BB36" s="173"/>
      <c r="BC36" s="173"/>
      <c r="BD36" s="173"/>
      <c r="BE36" s="173"/>
      <c r="BF36" s="173"/>
      <c r="BG36" s="173"/>
      <c r="BH36" s="173"/>
      <c r="BI36" s="173"/>
      <c r="BJ36" s="173"/>
      <c r="BK36" s="173"/>
      <c r="BL36" s="173"/>
      <c r="BM36" s="173"/>
      <c r="BN36" s="173"/>
      <c r="BO36" s="323">
        <f>IF(B36=0,BO35,B36-DATE(YEAR(B36)-1,12,31))</f>
        <v>87</v>
      </c>
      <c r="BP36" s="318">
        <v>40652</v>
      </c>
      <c r="BQ36" s="323">
        <v>109</v>
      </c>
      <c r="BR36" s="360">
        <v>5.5657142857142858</v>
      </c>
      <c r="BS36" s="360">
        <v>0</v>
      </c>
      <c r="BT36" s="318">
        <v>40290</v>
      </c>
      <c r="BU36" s="323">
        <v>112</v>
      </c>
      <c r="BV36" s="360">
        <v>5.8085714285714278</v>
      </c>
      <c r="BW36" s="360">
        <v>0</v>
      </c>
      <c r="BX36" s="318">
        <v>39925</v>
      </c>
      <c r="BY36" s="250">
        <v>112</v>
      </c>
      <c r="BZ36" s="251">
        <v>6.0640000000000001</v>
      </c>
      <c r="CA36" s="261">
        <v>0</v>
      </c>
      <c r="CB36" s="249">
        <v>39559</v>
      </c>
      <c r="CC36" s="250">
        <f t="shared" ref="CC36:CC60" si="8">CB36-DATE(YEAR(CB36)-1,12,31)</f>
        <v>112</v>
      </c>
      <c r="CD36" s="251">
        <v>0</v>
      </c>
      <c r="CE36" s="250">
        <v>0</v>
      </c>
      <c r="CF36" s="259">
        <v>39199</v>
      </c>
      <c r="CG36" s="250">
        <f t="shared" ref="CG36:CG57" si="9">CF36-DATE(YEAR(CF36)-1,12,31)</f>
        <v>117</v>
      </c>
      <c r="CH36" s="260">
        <v>7.5720000000000001</v>
      </c>
      <c r="CI36" s="261">
        <v>0</v>
      </c>
      <c r="CJ36" s="318">
        <v>38847</v>
      </c>
      <c r="CK36" s="250">
        <f t="shared" ref="CK36:CK44" si="10">CJ36-DATE(YEAR(CJ36)-1,12,31)</f>
        <v>130</v>
      </c>
      <c r="CL36" s="260">
        <v>12.204000000000001</v>
      </c>
      <c r="CM36" s="257">
        <v>0.6</v>
      </c>
      <c r="CN36" s="173"/>
      <c r="CO36" s="173"/>
      <c r="CP36" s="173"/>
      <c r="CQ36" s="173"/>
      <c r="CR36" s="173"/>
      <c r="CS36" s="173"/>
      <c r="CT36" s="173"/>
      <c r="CU36" s="173"/>
    </row>
    <row r="37" spans="1:99" s="4" customFormat="1">
      <c r="A37" s="16" t="s">
        <v>31</v>
      </c>
      <c r="B37" s="21">
        <v>41037</v>
      </c>
      <c r="C37" s="38" t="s">
        <v>77</v>
      </c>
      <c r="D37" s="265">
        <v>6.8</v>
      </c>
      <c r="E37" s="266">
        <v>6.6</v>
      </c>
      <c r="F37" s="266">
        <v>6.6</v>
      </c>
      <c r="G37" s="266">
        <v>6.1</v>
      </c>
      <c r="H37" s="267">
        <v>7.3</v>
      </c>
      <c r="I37" s="268">
        <v>7.3</v>
      </c>
      <c r="J37" s="269">
        <v>6.9</v>
      </c>
      <c r="K37" s="290">
        <v>0</v>
      </c>
      <c r="L37" s="265">
        <v>6.5</v>
      </c>
      <c r="M37" s="266">
        <v>6</v>
      </c>
      <c r="N37" s="266">
        <v>4.7</v>
      </c>
      <c r="O37" s="266">
        <v>6.4</v>
      </c>
      <c r="P37" s="271">
        <v>7.2</v>
      </c>
      <c r="Q37" s="268">
        <v>8.1999999999999993</v>
      </c>
      <c r="R37" s="269">
        <v>7.4</v>
      </c>
      <c r="S37" s="290">
        <v>0</v>
      </c>
      <c r="T37" s="265">
        <v>6.3</v>
      </c>
      <c r="U37" s="266">
        <v>6.4</v>
      </c>
      <c r="V37" s="266">
        <v>7</v>
      </c>
      <c r="W37" s="266">
        <v>8.1</v>
      </c>
      <c r="X37" s="271">
        <v>6.7</v>
      </c>
      <c r="Y37" s="268">
        <v>6.7</v>
      </c>
      <c r="Z37" s="269">
        <v>5.6</v>
      </c>
      <c r="AA37" s="290">
        <v>0</v>
      </c>
      <c r="AB37" s="265">
        <v>6.7</v>
      </c>
      <c r="AC37" s="266">
        <v>6.8</v>
      </c>
      <c r="AD37" s="266">
        <v>8</v>
      </c>
      <c r="AE37" s="266">
        <v>7.2</v>
      </c>
      <c r="AF37" s="271">
        <v>6.6</v>
      </c>
      <c r="AG37" s="268">
        <v>5.7</v>
      </c>
      <c r="AH37" s="269">
        <v>6.6</v>
      </c>
      <c r="AI37" s="290">
        <v>0</v>
      </c>
      <c r="AJ37" s="265">
        <v>6.5</v>
      </c>
      <c r="AK37" s="266">
        <v>6.6</v>
      </c>
      <c r="AL37" s="266">
        <v>6.4</v>
      </c>
      <c r="AM37" s="266">
        <v>6.8</v>
      </c>
      <c r="AN37" s="271">
        <v>5</v>
      </c>
      <c r="AO37" s="268">
        <v>7.4</v>
      </c>
      <c r="AP37" s="269">
        <v>5.7</v>
      </c>
      <c r="AQ37" s="290">
        <v>0</v>
      </c>
      <c r="AR37" s="272">
        <v>6.4</v>
      </c>
      <c r="AS37" s="268">
        <v>6.7</v>
      </c>
      <c r="AT37" s="268">
        <v>5.4</v>
      </c>
      <c r="AU37" s="268">
        <v>5.7</v>
      </c>
      <c r="AV37" s="273">
        <v>6.1</v>
      </c>
      <c r="AW37" s="268">
        <v>5.6</v>
      </c>
      <c r="AX37" s="269">
        <v>5.8</v>
      </c>
      <c r="AY37" s="45">
        <v>0</v>
      </c>
      <c r="AZ37" s="19">
        <f t="shared" si="6"/>
        <v>6.6514285714285721</v>
      </c>
      <c r="BA37" s="227">
        <f t="shared" ref="BA37:BA65" si="11">IF(COUNT(K37,S37,AA37,AI37,AQ37)=0,BA36,AVERAGE(K37,S37,AA37,AI37,AQ37))</f>
        <v>0</v>
      </c>
      <c r="BB37" s="173"/>
      <c r="BC37" s="173"/>
      <c r="BD37" s="173"/>
      <c r="BE37" s="173"/>
      <c r="BF37" s="173"/>
      <c r="BG37" s="173"/>
      <c r="BH37" s="173"/>
      <c r="BI37" s="173"/>
      <c r="BJ37" s="173"/>
      <c r="BK37" s="173"/>
      <c r="BL37" s="173"/>
      <c r="BM37" s="173"/>
      <c r="BN37" s="173"/>
      <c r="BO37" s="324">
        <f t="shared" ref="BO37:BO65" si="12">IF(B37=0,BO36,B37-DATE(YEAR(B37)-1,12,31))</f>
        <v>129</v>
      </c>
      <c r="BP37" s="319">
        <v>40659</v>
      </c>
      <c r="BQ37" s="324">
        <v>116</v>
      </c>
      <c r="BR37" s="358">
        <v>10.105714285714287</v>
      </c>
      <c r="BS37" s="358">
        <v>0.6</v>
      </c>
      <c r="BT37" s="319">
        <v>40294</v>
      </c>
      <c r="BU37" s="324">
        <v>116</v>
      </c>
      <c r="BV37" s="358">
        <v>6.0057142857142853</v>
      </c>
      <c r="BW37" s="358">
        <v>0</v>
      </c>
      <c r="BX37" s="319">
        <v>39927</v>
      </c>
      <c r="BY37" s="217">
        <v>114</v>
      </c>
      <c r="BZ37" s="219">
        <v>6.048</v>
      </c>
      <c r="CA37" s="262">
        <v>0</v>
      </c>
      <c r="CB37" s="218">
        <v>39562</v>
      </c>
      <c r="CC37" s="217">
        <f t="shared" si="8"/>
        <v>115</v>
      </c>
      <c r="CD37" s="219">
        <v>5.5280000000000005</v>
      </c>
      <c r="CE37" s="217">
        <v>0</v>
      </c>
      <c r="CF37" s="220">
        <v>39202</v>
      </c>
      <c r="CG37" s="217">
        <f t="shared" si="9"/>
        <v>120</v>
      </c>
      <c r="CH37" s="211">
        <v>8.3039999999999985</v>
      </c>
      <c r="CI37" s="262">
        <v>0</v>
      </c>
      <c r="CJ37" s="319">
        <v>38849</v>
      </c>
      <c r="CK37" s="217">
        <f t="shared" si="10"/>
        <v>132</v>
      </c>
      <c r="CL37" s="211">
        <v>14.16</v>
      </c>
      <c r="CM37" s="258">
        <v>1</v>
      </c>
      <c r="CN37" s="173"/>
      <c r="CO37" s="173"/>
      <c r="CP37" s="173"/>
      <c r="CQ37" s="173"/>
      <c r="CR37" s="173"/>
      <c r="CS37" s="173"/>
      <c r="CT37" s="173"/>
      <c r="CU37" s="173"/>
    </row>
    <row r="38" spans="1:99" s="4" customFormat="1">
      <c r="A38" s="16" t="s">
        <v>31</v>
      </c>
      <c r="B38" s="21">
        <v>41041</v>
      </c>
      <c r="C38" s="22" t="s">
        <v>72</v>
      </c>
      <c r="D38" s="265">
        <v>7.8</v>
      </c>
      <c r="E38" s="266">
        <v>8.1999999999999993</v>
      </c>
      <c r="F38" s="266">
        <v>8.6999999999999993</v>
      </c>
      <c r="G38" s="266">
        <v>7.5</v>
      </c>
      <c r="H38" s="267">
        <v>8.4</v>
      </c>
      <c r="I38" s="268">
        <v>8.6999999999999993</v>
      </c>
      <c r="J38" s="269">
        <v>5.8</v>
      </c>
      <c r="K38" s="290">
        <v>0</v>
      </c>
      <c r="L38" s="265">
        <v>6.6</v>
      </c>
      <c r="M38" s="266">
        <v>6.4</v>
      </c>
      <c r="N38" s="266">
        <v>6.1</v>
      </c>
      <c r="O38" s="266">
        <v>7.4</v>
      </c>
      <c r="P38" s="271">
        <v>8.6</v>
      </c>
      <c r="Q38" s="268">
        <v>9.5</v>
      </c>
      <c r="R38" s="269">
        <v>6.8</v>
      </c>
      <c r="S38" s="290">
        <v>0</v>
      </c>
      <c r="T38" s="265">
        <v>7.6</v>
      </c>
      <c r="U38" s="266">
        <v>9.4</v>
      </c>
      <c r="V38" s="266">
        <v>7.4</v>
      </c>
      <c r="W38" s="266">
        <v>9.5</v>
      </c>
      <c r="X38" s="271">
        <v>7.1</v>
      </c>
      <c r="Y38" s="268">
        <v>7.4</v>
      </c>
      <c r="Z38" s="269">
        <v>7</v>
      </c>
      <c r="AA38" s="290">
        <v>0</v>
      </c>
      <c r="AB38" s="265">
        <v>8.1</v>
      </c>
      <c r="AC38" s="266">
        <v>7.3</v>
      </c>
      <c r="AD38" s="266">
        <v>9.3000000000000007</v>
      </c>
      <c r="AE38" s="266">
        <v>9.3000000000000007</v>
      </c>
      <c r="AF38" s="271">
        <v>8.6</v>
      </c>
      <c r="AG38" s="268">
        <v>7.2</v>
      </c>
      <c r="AH38" s="269">
        <v>7.2</v>
      </c>
      <c r="AI38" s="290">
        <v>0</v>
      </c>
      <c r="AJ38" s="265">
        <v>6.4</v>
      </c>
      <c r="AK38" s="266">
        <v>7.5</v>
      </c>
      <c r="AL38" s="266">
        <v>6.7</v>
      </c>
      <c r="AM38" s="266">
        <v>7.1</v>
      </c>
      <c r="AN38" s="271">
        <v>5.4</v>
      </c>
      <c r="AO38" s="268">
        <v>8</v>
      </c>
      <c r="AP38" s="269">
        <v>5.5</v>
      </c>
      <c r="AQ38" s="290">
        <v>0</v>
      </c>
      <c r="AR38" s="272">
        <v>7.1</v>
      </c>
      <c r="AS38" s="268">
        <v>8.5</v>
      </c>
      <c r="AT38" s="268">
        <v>6.8</v>
      </c>
      <c r="AU38" s="268">
        <v>6.2</v>
      </c>
      <c r="AV38" s="273">
        <v>6.7</v>
      </c>
      <c r="AW38" s="268">
        <v>6.6</v>
      </c>
      <c r="AX38" s="269">
        <v>6.5</v>
      </c>
      <c r="AY38" s="45">
        <v>0</v>
      </c>
      <c r="AZ38" s="19">
        <f t="shared" si="6"/>
        <v>7.5857142857142863</v>
      </c>
      <c r="BA38" s="227">
        <f t="shared" si="11"/>
        <v>0</v>
      </c>
      <c r="BB38" s="173"/>
      <c r="BC38" s="173"/>
      <c r="BD38" s="173"/>
      <c r="BE38" s="173"/>
      <c r="BF38" s="173"/>
      <c r="BG38" s="173"/>
      <c r="BH38" s="173"/>
      <c r="BI38" s="173"/>
      <c r="BJ38" s="173"/>
      <c r="BK38" s="173"/>
      <c r="BL38" s="173"/>
      <c r="BM38" s="173"/>
      <c r="BN38" s="173"/>
      <c r="BO38" s="324">
        <f t="shared" si="12"/>
        <v>133</v>
      </c>
      <c r="BP38" s="319">
        <v>40665</v>
      </c>
      <c r="BQ38" s="324">
        <v>122</v>
      </c>
      <c r="BR38" s="358">
        <v>12.088571428571429</v>
      </c>
      <c r="BS38" s="358">
        <v>0.6</v>
      </c>
      <c r="BT38" s="319">
        <v>40301</v>
      </c>
      <c r="BU38" s="324">
        <v>123</v>
      </c>
      <c r="BV38" s="358">
        <v>6.2509523809523815</v>
      </c>
      <c r="BW38" s="358">
        <v>0</v>
      </c>
      <c r="BX38" s="319">
        <v>39931</v>
      </c>
      <c r="BY38" s="217">
        <v>118</v>
      </c>
      <c r="BZ38" s="219">
        <v>6.8680000000000003</v>
      </c>
      <c r="CA38" s="262">
        <v>0</v>
      </c>
      <c r="CB38" s="218">
        <v>39566</v>
      </c>
      <c r="CC38" s="217">
        <f t="shared" si="8"/>
        <v>119</v>
      </c>
      <c r="CD38" s="219">
        <v>5.7520000000000007</v>
      </c>
      <c r="CE38" s="217">
        <v>0</v>
      </c>
      <c r="CF38" s="220">
        <v>39206</v>
      </c>
      <c r="CG38" s="217">
        <f t="shared" si="9"/>
        <v>124</v>
      </c>
      <c r="CH38" s="211">
        <v>10.551999999999998</v>
      </c>
      <c r="CI38" s="262">
        <v>0.2</v>
      </c>
      <c r="CJ38" s="319">
        <v>38852</v>
      </c>
      <c r="CK38" s="217">
        <f t="shared" si="10"/>
        <v>135</v>
      </c>
      <c r="CL38" s="211">
        <v>16.155999999999999</v>
      </c>
      <c r="CM38" s="258">
        <v>1</v>
      </c>
      <c r="CN38" s="173"/>
      <c r="CO38" s="173"/>
      <c r="CP38" s="173"/>
      <c r="CQ38" s="173"/>
      <c r="CR38" s="173"/>
      <c r="CS38" s="173"/>
      <c r="CT38" s="173"/>
      <c r="CU38" s="173"/>
    </row>
    <row r="39" spans="1:99" s="4" customFormat="1">
      <c r="A39" s="16" t="s">
        <v>31</v>
      </c>
      <c r="B39" s="21">
        <v>41046</v>
      </c>
      <c r="C39" s="22" t="s">
        <v>72</v>
      </c>
      <c r="D39" s="265">
        <v>10.5</v>
      </c>
      <c r="E39" s="266">
        <v>12</v>
      </c>
      <c r="F39" s="266">
        <v>11.3</v>
      </c>
      <c r="G39" s="266">
        <v>9.9</v>
      </c>
      <c r="H39" s="267">
        <v>12.1</v>
      </c>
      <c r="I39" s="268">
        <v>12</v>
      </c>
      <c r="J39" s="269">
        <v>6.2</v>
      </c>
      <c r="K39" s="290">
        <v>0</v>
      </c>
      <c r="L39" s="265">
        <v>8</v>
      </c>
      <c r="M39" s="266">
        <v>8.8000000000000007</v>
      </c>
      <c r="N39" s="266">
        <v>8.6</v>
      </c>
      <c r="O39" s="266">
        <v>7.5</v>
      </c>
      <c r="P39" s="271">
        <v>10.199999999999999</v>
      </c>
      <c r="Q39" s="268">
        <v>13.5</v>
      </c>
      <c r="R39" s="269">
        <v>8.5</v>
      </c>
      <c r="S39" s="290">
        <v>0</v>
      </c>
      <c r="T39" s="265">
        <v>8.1</v>
      </c>
      <c r="U39" s="266">
        <v>11.1</v>
      </c>
      <c r="V39" s="266">
        <v>9.8000000000000007</v>
      </c>
      <c r="W39" s="266">
        <v>10.8</v>
      </c>
      <c r="X39" s="271">
        <v>8.8000000000000007</v>
      </c>
      <c r="Y39" s="268">
        <v>10.4</v>
      </c>
      <c r="Z39" s="269">
        <v>8.6</v>
      </c>
      <c r="AA39" s="290">
        <v>0</v>
      </c>
      <c r="AB39" s="265">
        <v>9.6999999999999993</v>
      </c>
      <c r="AC39" s="266">
        <v>9.1</v>
      </c>
      <c r="AD39" s="266">
        <v>10</v>
      </c>
      <c r="AE39" s="266">
        <v>10.7</v>
      </c>
      <c r="AF39" s="271">
        <v>10.6</v>
      </c>
      <c r="AG39" s="268">
        <v>9.1</v>
      </c>
      <c r="AH39" s="269">
        <v>9.1</v>
      </c>
      <c r="AI39" s="290">
        <v>0</v>
      </c>
      <c r="AJ39" s="265">
        <v>7.9</v>
      </c>
      <c r="AK39" s="266">
        <v>8.1</v>
      </c>
      <c r="AL39" s="266">
        <v>6.3</v>
      </c>
      <c r="AM39" s="266">
        <v>10</v>
      </c>
      <c r="AN39" s="271">
        <v>6.5</v>
      </c>
      <c r="AO39" s="268">
        <v>10.5</v>
      </c>
      <c r="AP39" s="269">
        <v>6.9</v>
      </c>
      <c r="AQ39" s="290">
        <v>0</v>
      </c>
      <c r="AR39" s="272">
        <v>7.8</v>
      </c>
      <c r="AS39" s="268">
        <v>10.3</v>
      </c>
      <c r="AT39" s="268">
        <v>8.4</v>
      </c>
      <c r="AU39" s="268">
        <v>6.5</v>
      </c>
      <c r="AV39" s="273">
        <v>6.5</v>
      </c>
      <c r="AW39" s="268">
        <v>7.9</v>
      </c>
      <c r="AX39" s="269">
        <v>8.8000000000000007</v>
      </c>
      <c r="AY39" s="45">
        <v>0</v>
      </c>
      <c r="AZ39" s="19">
        <f t="shared" si="6"/>
        <v>9.4628571428571409</v>
      </c>
      <c r="BA39" s="227">
        <f t="shared" si="11"/>
        <v>0</v>
      </c>
      <c r="BB39" s="173"/>
      <c r="BC39" s="173"/>
      <c r="BD39" s="173"/>
      <c r="BE39" s="173"/>
      <c r="BF39" s="173"/>
      <c r="BG39" s="173"/>
      <c r="BH39" s="173"/>
      <c r="BI39" s="173"/>
      <c r="BJ39" s="173"/>
      <c r="BK39" s="173"/>
      <c r="BL39" s="173"/>
      <c r="BM39" s="173"/>
      <c r="BN39" s="173"/>
      <c r="BO39" s="324">
        <f t="shared" si="12"/>
        <v>138</v>
      </c>
      <c r="BP39" s="319">
        <v>40673</v>
      </c>
      <c r="BQ39" s="324">
        <v>130</v>
      </c>
      <c r="BR39" s="358">
        <v>19.217142857142854</v>
      </c>
      <c r="BS39" s="358">
        <v>1.6</v>
      </c>
      <c r="BT39" s="319">
        <v>40308</v>
      </c>
      <c r="BU39" s="324">
        <v>130</v>
      </c>
      <c r="BV39" s="358">
        <v>6.5171428571428578</v>
      </c>
      <c r="BW39" s="358">
        <v>0</v>
      </c>
      <c r="BX39" s="319">
        <v>39937</v>
      </c>
      <c r="BY39" s="217">
        <v>124</v>
      </c>
      <c r="BZ39" s="219">
        <v>10.435999999999998</v>
      </c>
      <c r="CA39" s="262">
        <v>0</v>
      </c>
      <c r="CB39" s="218">
        <v>39570</v>
      </c>
      <c r="CC39" s="217">
        <f t="shared" si="8"/>
        <v>123</v>
      </c>
      <c r="CD39" s="219">
        <v>6.347999999999999</v>
      </c>
      <c r="CE39" s="217">
        <v>0</v>
      </c>
      <c r="CF39" s="220">
        <v>39210</v>
      </c>
      <c r="CG39" s="217">
        <f t="shared" si="9"/>
        <v>128</v>
      </c>
      <c r="CH39" s="211">
        <v>14.375999999999999</v>
      </c>
      <c r="CI39" s="262">
        <v>0.8</v>
      </c>
      <c r="CJ39" s="319">
        <v>38856</v>
      </c>
      <c r="CK39" s="217">
        <f t="shared" si="10"/>
        <v>139</v>
      </c>
      <c r="CL39" s="211">
        <v>18.38</v>
      </c>
      <c r="CM39" s="258">
        <v>1.6</v>
      </c>
      <c r="CN39" s="173"/>
      <c r="CO39" s="173"/>
      <c r="CP39" s="173"/>
      <c r="CQ39" s="173"/>
      <c r="CR39" s="173"/>
      <c r="CS39" s="173"/>
      <c r="CT39" s="173"/>
      <c r="CU39" s="173"/>
    </row>
    <row r="40" spans="1:99" s="4" customFormat="1">
      <c r="A40" s="16" t="s">
        <v>31</v>
      </c>
      <c r="B40" s="21">
        <v>41050</v>
      </c>
      <c r="C40" s="22" t="s">
        <v>72</v>
      </c>
      <c r="D40" s="265">
        <v>14.5</v>
      </c>
      <c r="E40" s="266">
        <v>14.9</v>
      </c>
      <c r="F40" s="266">
        <v>14.4</v>
      </c>
      <c r="G40" s="266">
        <v>12.1</v>
      </c>
      <c r="H40" s="267">
        <v>15.8</v>
      </c>
      <c r="I40" s="268">
        <v>16.5</v>
      </c>
      <c r="J40" s="269">
        <v>12.9</v>
      </c>
      <c r="K40" s="290">
        <v>1</v>
      </c>
      <c r="L40" s="265">
        <v>11.7</v>
      </c>
      <c r="M40" s="266">
        <v>11.7</v>
      </c>
      <c r="N40" s="266">
        <v>12.2</v>
      </c>
      <c r="O40" s="266">
        <v>11.3</v>
      </c>
      <c r="P40" s="271">
        <v>14.9</v>
      </c>
      <c r="Q40" s="268">
        <v>18.3</v>
      </c>
      <c r="R40" s="269">
        <v>9.1</v>
      </c>
      <c r="S40" s="290">
        <v>0</v>
      </c>
      <c r="T40" s="265">
        <v>10.7</v>
      </c>
      <c r="U40" s="266">
        <v>13.8</v>
      </c>
      <c r="V40" s="266">
        <v>13.7</v>
      </c>
      <c r="W40" s="266">
        <v>15</v>
      </c>
      <c r="X40" s="271">
        <v>11.6</v>
      </c>
      <c r="Y40" s="268">
        <v>12.4</v>
      </c>
      <c r="Z40" s="269">
        <v>12.3</v>
      </c>
      <c r="AA40" s="290">
        <v>1</v>
      </c>
      <c r="AB40" s="265">
        <v>12.1</v>
      </c>
      <c r="AC40" s="266">
        <v>11.1</v>
      </c>
      <c r="AD40" s="266">
        <v>14.7</v>
      </c>
      <c r="AE40" s="266">
        <v>14.1</v>
      </c>
      <c r="AF40" s="271">
        <v>14.1</v>
      </c>
      <c r="AG40" s="268">
        <v>10.9</v>
      </c>
      <c r="AH40" s="269">
        <v>12.3</v>
      </c>
      <c r="AI40" s="290">
        <v>1</v>
      </c>
      <c r="AJ40" s="265">
        <v>10</v>
      </c>
      <c r="AK40" s="266">
        <v>12.4</v>
      </c>
      <c r="AL40" s="266">
        <v>10.4</v>
      </c>
      <c r="AM40" s="266">
        <v>14.1</v>
      </c>
      <c r="AN40" s="271">
        <v>9.1</v>
      </c>
      <c r="AO40" s="268">
        <v>9.8000000000000007</v>
      </c>
      <c r="AP40" s="269">
        <v>9.9</v>
      </c>
      <c r="AQ40" s="290">
        <v>1</v>
      </c>
      <c r="AR40" s="272">
        <v>10.4</v>
      </c>
      <c r="AS40" s="268">
        <v>14.9</v>
      </c>
      <c r="AT40" s="268">
        <v>11.5</v>
      </c>
      <c r="AU40" s="268">
        <v>10.3</v>
      </c>
      <c r="AV40" s="273">
        <v>11.4</v>
      </c>
      <c r="AW40" s="268">
        <v>10.4</v>
      </c>
      <c r="AX40" s="269">
        <v>10.7</v>
      </c>
      <c r="AY40" s="45">
        <v>0</v>
      </c>
      <c r="AZ40" s="19">
        <f t="shared" si="6"/>
        <v>12.708571428571428</v>
      </c>
      <c r="BA40" s="227">
        <f t="shared" si="11"/>
        <v>0.8</v>
      </c>
      <c r="BB40" s="173"/>
      <c r="BC40" s="173"/>
      <c r="BD40" s="173"/>
      <c r="BE40" s="173"/>
      <c r="BF40" s="173"/>
      <c r="BG40" s="173"/>
      <c r="BH40" s="173"/>
      <c r="BI40" s="173"/>
      <c r="BJ40" s="173"/>
      <c r="BK40" s="173"/>
      <c r="BL40" s="173"/>
      <c r="BM40" s="173"/>
      <c r="BN40" s="173"/>
      <c r="BO40" s="324">
        <f t="shared" si="12"/>
        <v>142</v>
      </c>
      <c r="BP40" s="319">
        <v>40679</v>
      </c>
      <c r="BQ40" s="324">
        <v>136</v>
      </c>
      <c r="BR40" s="358">
        <v>31.508571428571429</v>
      </c>
      <c r="BS40" s="358">
        <v>2</v>
      </c>
      <c r="BT40" s="319">
        <v>40315</v>
      </c>
      <c r="BU40" s="324">
        <v>137</v>
      </c>
      <c r="BV40" s="358">
        <v>8.6571428571428584</v>
      </c>
      <c r="BW40" s="358">
        <v>0</v>
      </c>
      <c r="BX40" s="319">
        <v>39941</v>
      </c>
      <c r="BY40" s="217">
        <v>128</v>
      </c>
      <c r="BZ40" s="219">
        <v>12.147999999999998</v>
      </c>
      <c r="CA40" s="262">
        <v>0.4</v>
      </c>
      <c r="CB40" s="218">
        <v>39574</v>
      </c>
      <c r="CC40" s="217">
        <f t="shared" si="8"/>
        <v>127</v>
      </c>
      <c r="CD40" s="219">
        <v>7.6519999999999984</v>
      </c>
      <c r="CE40" s="217">
        <v>0</v>
      </c>
      <c r="CF40" s="220">
        <v>39213</v>
      </c>
      <c r="CG40" s="217">
        <f t="shared" si="9"/>
        <v>131</v>
      </c>
      <c r="CH40" s="211">
        <v>16.151999999999997</v>
      </c>
      <c r="CI40" s="262">
        <v>1</v>
      </c>
      <c r="CJ40" s="319">
        <v>38859</v>
      </c>
      <c r="CK40" s="217">
        <f t="shared" si="10"/>
        <v>142</v>
      </c>
      <c r="CL40" s="211">
        <v>21.015999999999998</v>
      </c>
      <c r="CM40" s="258">
        <v>2</v>
      </c>
      <c r="CN40" s="173"/>
      <c r="CO40" s="173"/>
      <c r="CP40" s="173"/>
      <c r="CQ40" s="173"/>
      <c r="CR40" s="173"/>
      <c r="CS40" s="173"/>
      <c r="CT40" s="173"/>
      <c r="CU40" s="173"/>
    </row>
    <row r="41" spans="1:99" s="4" customFormat="1">
      <c r="A41" s="16" t="s">
        <v>31</v>
      </c>
      <c r="B41" s="21">
        <v>41054</v>
      </c>
      <c r="C41" s="22" t="s">
        <v>72</v>
      </c>
      <c r="D41" s="265">
        <v>27.7</v>
      </c>
      <c r="E41" s="266">
        <v>27.3</v>
      </c>
      <c r="F41" s="266">
        <v>28</v>
      </c>
      <c r="G41" s="266">
        <v>24.1</v>
      </c>
      <c r="H41" s="267">
        <v>32.1</v>
      </c>
      <c r="I41" s="268">
        <v>31.4</v>
      </c>
      <c r="J41" s="269">
        <v>23.1</v>
      </c>
      <c r="K41" s="290">
        <v>2</v>
      </c>
      <c r="L41" s="265">
        <v>26.6</v>
      </c>
      <c r="M41" s="266">
        <v>24.5</v>
      </c>
      <c r="N41" s="266">
        <v>26.2</v>
      </c>
      <c r="O41" s="266">
        <v>22.5</v>
      </c>
      <c r="P41" s="271">
        <v>33.4</v>
      </c>
      <c r="Q41" s="268">
        <v>39.200000000000003</v>
      </c>
      <c r="R41" s="269">
        <v>12.9</v>
      </c>
      <c r="S41" s="290">
        <v>2</v>
      </c>
      <c r="T41" s="265">
        <v>17.2</v>
      </c>
      <c r="U41" s="266">
        <v>23.1</v>
      </c>
      <c r="V41" s="266">
        <v>25.2</v>
      </c>
      <c r="W41" s="266">
        <v>23.4</v>
      </c>
      <c r="X41" s="271">
        <v>20.5</v>
      </c>
      <c r="Y41" s="268">
        <v>23.4</v>
      </c>
      <c r="Z41" s="269">
        <v>21.5</v>
      </c>
      <c r="AA41" s="290">
        <v>2</v>
      </c>
      <c r="AB41" s="265">
        <v>20.9</v>
      </c>
      <c r="AC41" s="266">
        <v>23.4</v>
      </c>
      <c r="AD41" s="266">
        <v>28.4</v>
      </c>
      <c r="AE41" s="266">
        <v>30.9</v>
      </c>
      <c r="AF41" s="271">
        <v>28.4</v>
      </c>
      <c r="AG41" s="268">
        <v>18.600000000000001</v>
      </c>
      <c r="AH41" s="269">
        <v>22.7</v>
      </c>
      <c r="AI41" s="290">
        <v>2</v>
      </c>
      <c r="AJ41" s="265">
        <v>19.7</v>
      </c>
      <c r="AK41" s="266">
        <v>24.3</v>
      </c>
      <c r="AL41" s="266">
        <v>21</v>
      </c>
      <c r="AM41" s="266">
        <v>28.7</v>
      </c>
      <c r="AN41" s="271">
        <v>19.399999999999999</v>
      </c>
      <c r="AO41" s="268">
        <v>30.6</v>
      </c>
      <c r="AP41" s="269">
        <v>19.399999999999999</v>
      </c>
      <c r="AQ41" s="290">
        <v>2</v>
      </c>
      <c r="AR41" s="272">
        <v>22.2</v>
      </c>
      <c r="AS41" s="268">
        <v>33.799999999999997</v>
      </c>
      <c r="AT41" s="268">
        <v>23.3</v>
      </c>
      <c r="AU41" s="268">
        <v>20.8</v>
      </c>
      <c r="AV41" s="273">
        <v>23.4</v>
      </c>
      <c r="AW41" s="268">
        <v>18.7</v>
      </c>
      <c r="AX41" s="269">
        <v>24.1</v>
      </c>
      <c r="AY41" s="45">
        <v>2</v>
      </c>
      <c r="AZ41" s="19">
        <f t="shared" si="6"/>
        <v>24.848571428571425</v>
      </c>
      <c r="BA41" s="227">
        <f t="shared" si="11"/>
        <v>2</v>
      </c>
      <c r="BB41" s="173"/>
      <c r="BC41" s="173"/>
      <c r="BD41" s="173"/>
      <c r="BE41" s="173"/>
      <c r="BF41" s="173"/>
      <c r="BG41" s="173"/>
      <c r="BH41" s="173"/>
      <c r="BI41" s="173"/>
      <c r="BJ41" s="173"/>
      <c r="BK41" s="173"/>
      <c r="BL41" s="173"/>
      <c r="BM41" s="173"/>
      <c r="BN41" s="173"/>
      <c r="BO41" s="324">
        <f t="shared" si="12"/>
        <v>146</v>
      </c>
      <c r="BP41" s="319">
        <v>40683</v>
      </c>
      <c r="BQ41" s="324">
        <v>140</v>
      </c>
      <c r="BR41" s="358">
        <v>36.834285714285713</v>
      </c>
      <c r="BS41" s="358">
        <v>2</v>
      </c>
      <c r="BT41" s="319">
        <v>40319</v>
      </c>
      <c r="BU41" s="324">
        <v>141</v>
      </c>
      <c r="BV41" s="358">
        <v>13.76</v>
      </c>
      <c r="BW41" s="358">
        <v>1</v>
      </c>
      <c r="BX41" s="319">
        <v>39945</v>
      </c>
      <c r="BY41" s="217">
        <v>132</v>
      </c>
      <c r="BZ41" s="219">
        <v>14.408000000000001</v>
      </c>
      <c r="CA41" s="262">
        <v>0.6</v>
      </c>
      <c r="CB41" s="218">
        <v>39577</v>
      </c>
      <c r="CC41" s="217">
        <f t="shared" si="8"/>
        <v>130</v>
      </c>
      <c r="CD41" s="219">
        <v>11.548</v>
      </c>
      <c r="CE41" s="217">
        <v>0.4</v>
      </c>
      <c r="CF41" s="220">
        <v>39217</v>
      </c>
      <c r="CG41" s="217">
        <f t="shared" si="9"/>
        <v>135</v>
      </c>
      <c r="CH41" s="211">
        <v>19.279999999999998</v>
      </c>
      <c r="CI41" s="262">
        <v>1</v>
      </c>
      <c r="CJ41" s="319">
        <v>38861</v>
      </c>
      <c r="CK41" s="217">
        <f t="shared" si="10"/>
        <v>144</v>
      </c>
      <c r="CL41" s="211">
        <v>23.588000000000001</v>
      </c>
      <c r="CM41" s="258">
        <v>2</v>
      </c>
      <c r="CN41" s="173"/>
      <c r="CO41" s="173"/>
      <c r="CP41" s="173"/>
      <c r="CQ41" s="173"/>
      <c r="CR41" s="173"/>
      <c r="CS41" s="173"/>
      <c r="CT41" s="173"/>
      <c r="CU41" s="173"/>
    </row>
    <row r="42" spans="1:99" s="4" customFormat="1">
      <c r="A42" s="16" t="s">
        <v>31</v>
      </c>
      <c r="B42" s="21">
        <v>41058</v>
      </c>
      <c r="C42" s="22" t="s">
        <v>72</v>
      </c>
      <c r="D42" s="265">
        <v>39.6</v>
      </c>
      <c r="E42" s="266">
        <v>40.299999999999997</v>
      </c>
      <c r="F42" s="266">
        <v>40.700000000000003</v>
      </c>
      <c r="G42" s="266">
        <v>33.6</v>
      </c>
      <c r="H42" s="267">
        <v>46.9</v>
      </c>
      <c r="I42" s="268">
        <v>43.2</v>
      </c>
      <c r="J42" s="269">
        <v>34.200000000000003</v>
      </c>
      <c r="K42" s="290">
        <v>2</v>
      </c>
      <c r="L42" s="265">
        <v>41.3</v>
      </c>
      <c r="M42" s="266">
        <v>35.6</v>
      </c>
      <c r="N42" s="266">
        <v>40.200000000000003</v>
      </c>
      <c r="O42" s="266">
        <v>31.3</v>
      </c>
      <c r="P42" s="271">
        <v>63</v>
      </c>
      <c r="Q42" s="268">
        <v>61</v>
      </c>
      <c r="R42" s="269">
        <v>18.3</v>
      </c>
      <c r="S42" s="290">
        <v>2</v>
      </c>
      <c r="T42" s="265">
        <v>28</v>
      </c>
      <c r="U42" s="266">
        <v>31.5</v>
      </c>
      <c r="V42" s="266">
        <v>35.1</v>
      </c>
      <c r="W42" s="266">
        <v>33.299999999999997</v>
      </c>
      <c r="X42" s="271">
        <v>29.1</v>
      </c>
      <c r="Y42" s="268">
        <v>31.4</v>
      </c>
      <c r="Z42" s="269">
        <v>32.799999999999997</v>
      </c>
      <c r="AA42" s="290">
        <v>2</v>
      </c>
      <c r="AB42" s="265">
        <v>31.3</v>
      </c>
      <c r="AC42" s="266">
        <v>37.200000000000003</v>
      </c>
      <c r="AD42" s="266">
        <v>45.7</v>
      </c>
      <c r="AE42" s="266">
        <v>43.1</v>
      </c>
      <c r="AF42" s="271">
        <v>34.799999999999997</v>
      </c>
      <c r="AG42" s="268">
        <v>29.8</v>
      </c>
      <c r="AH42" s="269">
        <v>35.4</v>
      </c>
      <c r="AI42" s="290">
        <v>2</v>
      </c>
      <c r="AJ42" s="265">
        <v>28.6</v>
      </c>
      <c r="AK42" s="266">
        <v>37.200000000000003</v>
      </c>
      <c r="AL42" s="266">
        <v>33</v>
      </c>
      <c r="AM42" s="266">
        <v>41</v>
      </c>
      <c r="AN42" s="271">
        <v>25.5</v>
      </c>
      <c r="AO42" s="268">
        <v>44.6</v>
      </c>
      <c r="AP42" s="269">
        <v>25.3</v>
      </c>
      <c r="AQ42" s="290">
        <v>2</v>
      </c>
      <c r="AR42" s="272">
        <v>38.6</v>
      </c>
      <c r="AS42" s="268">
        <v>54.8</v>
      </c>
      <c r="AT42" s="268">
        <v>31.4</v>
      </c>
      <c r="AU42" s="268">
        <v>36.6</v>
      </c>
      <c r="AV42" s="273">
        <v>41.4</v>
      </c>
      <c r="AW42" s="268">
        <v>35</v>
      </c>
      <c r="AX42" s="269">
        <v>33.9</v>
      </c>
      <c r="AY42" s="45">
        <v>2</v>
      </c>
      <c r="AZ42" s="19">
        <f t="shared" si="6"/>
        <v>36.654285714285713</v>
      </c>
      <c r="BA42" s="227">
        <f t="shared" si="11"/>
        <v>2</v>
      </c>
      <c r="BB42" s="173"/>
      <c r="BC42" s="173"/>
      <c r="BD42" s="173"/>
      <c r="BE42" s="173"/>
      <c r="BF42" s="173"/>
      <c r="BG42" s="173"/>
      <c r="BH42" s="173"/>
      <c r="BI42" s="173"/>
      <c r="BJ42" s="173"/>
      <c r="BK42" s="173"/>
      <c r="BL42" s="173"/>
      <c r="BM42" s="173"/>
      <c r="BN42" s="173"/>
      <c r="BO42" s="324">
        <f t="shared" si="12"/>
        <v>150</v>
      </c>
      <c r="BP42" s="319">
        <v>40689</v>
      </c>
      <c r="BQ42" s="324">
        <v>146</v>
      </c>
      <c r="BR42" s="358">
        <v>46.04</v>
      </c>
      <c r="BS42" s="358">
        <v>2</v>
      </c>
      <c r="BT42" s="319">
        <v>40323</v>
      </c>
      <c r="BU42" s="324">
        <v>145</v>
      </c>
      <c r="BV42" s="358">
        <v>17.868571428571425</v>
      </c>
      <c r="BW42" s="358">
        <v>2</v>
      </c>
      <c r="BX42" s="319">
        <v>39948</v>
      </c>
      <c r="BY42" s="217">
        <v>135</v>
      </c>
      <c r="BZ42" s="219">
        <v>16.335999999999999</v>
      </c>
      <c r="CA42" s="262">
        <v>0.6</v>
      </c>
      <c r="CB42" s="218">
        <v>39581</v>
      </c>
      <c r="CC42" s="217">
        <f t="shared" si="8"/>
        <v>134</v>
      </c>
      <c r="CD42" s="219">
        <v>16.351999999999997</v>
      </c>
      <c r="CE42" s="217">
        <v>1</v>
      </c>
      <c r="CF42" s="220">
        <v>39220</v>
      </c>
      <c r="CG42" s="217">
        <f t="shared" si="9"/>
        <v>138</v>
      </c>
      <c r="CH42" s="211">
        <v>22.015999999999998</v>
      </c>
      <c r="CI42" s="262">
        <v>1.6</v>
      </c>
      <c r="CJ42" s="319">
        <v>38866</v>
      </c>
      <c r="CK42" s="217">
        <f t="shared" si="10"/>
        <v>149</v>
      </c>
      <c r="CL42" s="211">
        <v>29.3</v>
      </c>
      <c r="CM42" s="258">
        <v>2</v>
      </c>
      <c r="CN42" s="173"/>
      <c r="CO42" s="173"/>
      <c r="CP42" s="173"/>
      <c r="CQ42" s="173"/>
      <c r="CR42" s="173"/>
      <c r="CS42" s="173"/>
      <c r="CT42" s="173"/>
      <c r="CU42" s="173"/>
    </row>
    <row r="43" spans="1:99" s="4" customFormat="1">
      <c r="A43" s="16" t="s">
        <v>31</v>
      </c>
      <c r="B43" s="21">
        <v>41061</v>
      </c>
      <c r="C43" s="22" t="s">
        <v>72</v>
      </c>
      <c r="D43" s="265">
        <v>41.7</v>
      </c>
      <c r="E43" s="266">
        <v>42.4</v>
      </c>
      <c r="F43" s="266">
        <v>40.799999999999997</v>
      </c>
      <c r="G43" s="266">
        <v>39.9</v>
      </c>
      <c r="H43" s="267">
        <v>45.4</v>
      </c>
      <c r="I43" s="268">
        <v>45.4</v>
      </c>
      <c r="J43" s="269">
        <v>37.200000000000003</v>
      </c>
      <c r="K43" s="290">
        <v>2</v>
      </c>
      <c r="L43" s="265">
        <v>34.1</v>
      </c>
      <c r="M43" s="266">
        <v>40.4</v>
      </c>
      <c r="N43" s="266">
        <v>43.1</v>
      </c>
      <c r="O43" s="266">
        <v>37.1</v>
      </c>
      <c r="P43" s="271">
        <v>63.3</v>
      </c>
      <c r="Q43" s="268">
        <v>63.6</v>
      </c>
      <c r="R43" s="269">
        <v>20.3</v>
      </c>
      <c r="S43" s="290">
        <v>2</v>
      </c>
      <c r="T43" s="265">
        <v>27.8</v>
      </c>
      <c r="U43" s="266">
        <v>38.299999999999997</v>
      </c>
      <c r="V43" s="266">
        <v>37.200000000000003</v>
      </c>
      <c r="W43" s="266">
        <v>36</v>
      </c>
      <c r="X43" s="271">
        <v>33</v>
      </c>
      <c r="Y43" s="268">
        <v>34.200000000000003</v>
      </c>
      <c r="Z43" s="269">
        <v>33.5</v>
      </c>
      <c r="AA43" s="290">
        <v>2</v>
      </c>
      <c r="AB43" s="265">
        <v>35.200000000000003</v>
      </c>
      <c r="AC43" s="266">
        <v>40.299999999999997</v>
      </c>
      <c r="AD43" s="266">
        <v>32.200000000000003</v>
      </c>
      <c r="AE43" s="266">
        <v>54.1</v>
      </c>
      <c r="AF43" s="271">
        <v>43.2</v>
      </c>
      <c r="AG43" s="268">
        <v>32.9</v>
      </c>
      <c r="AH43" s="269">
        <v>41.9</v>
      </c>
      <c r="AI43" s="290">
        <v>2</v>
      </c>
      <c r="AJ43" s="265">
        <v>32.9</v>
      </c>
      <c r="AK43" s="266">
        <v>38.9</v>
      </c>
      <c r="AL43" s="266">
        <v>36.200000000000003</v>
      </c>
      <c r="AM43" s="266">
        <v>43.9</v>
      </c>
      <c r="AN43" s="271">
        <v>28.4</v>
      </c>
      <c r="AO43" s="268">
        <v>52.3</v>
      </c>
      <c r="AP43" s="269">
        <v>28.9</v>
      </c>
      <c r="AQ43" s="290">
        <v>2</v>
      </c>
      <c r="AR43" s="272">
        <v>40</v>
      </c>
      <c r="AS43" s="268">
        <v>57.6</v>
      </c>
      <c r="AT43" s="268">
        <v>34</v>
      </c>
      <c r="AU43" s="268">
        <v>42.1</v>
      </c>
      <c r="AV43" s="273">
        <v>45</v>
      </c>
      <c r="AW43" s="268">
        <v>34.9</v>
      </c>
      <c r="AX43" s="269">
        <v>40</v>
      </c>
      <c r="AY43" s="45">
        <v>2</v>
      </c>
      <c r="AZ43" s="19">
        <f t="shared" si="6"/>
        <v>39.314285714285717</v>
      </c>
      <c r="BA43" s="227">
        <f t="shared" si="11"/>
        <v>2</v>
      </c>
      <c r="BB43" s="173"/>
      <c r="BC43" s="173"/>
      <c r="BD43" s="173"/>
      <c r="BE43" s="173"/>
      <c r="BF43" s="173"/>
      <c r="BG43" s="173"/>
      <c r="BH43" s="173"/>
      <c r="BI43" s="173"/>
      <c r="BJ43" s="173"/>
      <c r="BK43" s="173"/>
      <c r="BL43" s="173"/>
      <c r="BM43" s="173"/>
      <c r="BN43" s="173"/>
      <c r="BO43" s="324">
        <f t="shared" si="12"/>
        <v>153</v>
      </c>
      <c r="BP43" s="319">
        <v>40697</v>
      </c>
      <c r="BQ43" s="324">
        <v>154</v>
      </c>
      <c r="BR43" s="358">
        <v>51.105714285714285</v>
      </c>
      <c r="BS43" s="358">
        <v>2</v>
      </c>
      <c r="BT43" s="319">
        <v>40326</v>
      </c>
      <c r="BU43" s="324">
        <v>148</v>
      </c>
      <c r="BV43" s="358">
        <v>21.271428571428572</v>
      </c>
      <c r="BW43" s="358">
        <v>2</v>
      </c>
      <c r="BX43" s="319">
        <v>39952</v>
      </c>
      <c r="BY43" s="217">
        <v>139</v>
      </c>
      <c r="BZ43" s="219">
        <v>20.492000000000001</v>
      </c>
      <c r="CA43" s="262">
        <v>1.4</v>
      </c>
      <c r="CB43" s="218">
        <v>39584</v>
      </c>
      <c r="CC43" s="217">
        <f t="shared" si="8"/>
        <v>137</v>
      </c>
      <c r="CD43" s="219">
        <v>19.675999999999998</v>
      </c>
      <c r="CE43" s="217">
        <v>1.4</v>
      </c>
      <c r="CF43" s="220">
        <v>39223</v>
      </c>
      <c r="CG43" s="217">
        <f t="shared" si="9"/>
        <v>141</v>
      </c>
      <c r="CH43" s="211">
        <v>26.592000000000002</v>
      </c>
      <c r="CI43" s="262">
        <v>2</v>
      </c>
      <c r="CJ43" s="319">
        <v>38870</v>
      </c>
      <c r="CK43" s="217">
        <f t="shared" si="10"/>
        <v>153</v>
      </c>
      <c r="CL43" s="211">
        <v>33.851999999999997</v>
      </c>
      <c r="CM43" s="258">
        <v>2</v>
      </c>
      <c r="CN43" s="173"/>
      <c r="CO43" s="173"/>
      <c r="CP43" s="173"/>
      <c r="CQ43" s="173"/>
      <c r="CR43" s="173"/>
      <c r="CS43" s="173"/>
      <c r="CT43" s="173"/>
      <c r="CU43" s="173"/>
    </row>
    <row r="44" spans="1:99" s="4" customFormat="1">
      <c r="A44" s="16" t="s">
        <v>31</v>
      </c>
      <c r="B44" s="21">
        <v>41067</v>
      </c>
      <c r="C44" s="22" t="s">
        <v>72</v>
      </c>
      <c r="D44" s="265">
        <v>46.3</v>
      </c>
      <c r="E44" s="266">
        <v>46.2</v>
      </c>
      <c r="F44" s="266">
        <v>44.2</v>
      </c>
      <c r="G44" s="266">
        <v>40.700000000000003</v>
      </c>
      <c r="H44" s="267">
        <v>52.3</v>
      </c>
      <c r="I44" s="268">
        <v>49.6</v>
      </c>
      <c r="J44" s="269">
        <v>40.6</v>
      </c>
      <c r="K44" s="290">
        <v>2</v>
      </c>
      <c r="L44" s="265">
        <v>49.4</v>
      </c>
      <c r="M44" s="266">
        <v>44.8</v>
      </c>
      <c r="N44" s="266">
        <v>51.2</v>
      </c>
      <c r="O44" s="266">
        <v>44.1</v>
      </c>
      <c r="P44" s="271">
        <v>62.7</v>
      </c>
      <c r="Q44" s="268">
        <v>69.7</v>
      </c>
      <c r="R44" s="269">
        <v>20.9</v>
      </c>
      <c r="S44" s="290">
        <v>2</v>
      </c>
      <c r="T44" s="265">
        <v>31</v>
      </c>
      <c r="U44" s="266">
        <v>39.799999999999997</v>
      </c>
      <c r="V44" s="266">
        <v>42.3</v>
      </c>
      <c r="W44" s="266">
        <v>37.799999999999997</v>
      </c>
      <c r="X44" s="271">
        <v>35.700000000000003</v>
      </c>
      <c r="Y44" s="268">
        <v>37.4</v>
      </c>
      <c r="Z44" s="269">
        <v>37.9</v>
      </c>
      <c r="AA44" s="290">
        <v>2</v>
      </c>
      <c r="AB44" s="265">
        <v>41.5</v>
      </c>
      <c r="AC44" s="266">
        <v>44.3</v>
      </c>
      <c r="AD44" s="266">
        <v>54.2</v>
      </c>
      <c r="AE44" s="266">
        <v>59.5</v>
      </c>
      <c r="AF44" s="271">
        <v>48.8</v>
      </c>
      <c r="AG44" s="268">
        <v>37.200000000000003</v>
      </c>
      <c r="AH44" s="269">
        <v>48.6</v>
      </c>
      <c r="AI44" s="290">
        <v>2</v>
      </c>
      <c r="AJ44" s="265">
        <v>38.4</v>
      </c>
      <c r="AK44" s="266">
        <v>46.8</v>
      </c>
      <c r="AL44" s="266">
        <v>45.6</v>
      </c>
      <c r="AM44" s="266">
        <v>52.6</v>
      </c>
      <c r="AN44" s="271">
        <v>32.4</v>
      </c>
      <c r="AO44" s="268">
        <v>60.2</v>
      </c>
      <c r="AP44" s="269">
        <v>36.200000000000003</v>
      </c>
      <c r="AQ44" s="290">
        <v>2</v>
      </c>
      <c r="AR44" s="272">
        <v>45.5</v>
      </c>
      <c r="AS44" s="268">
        <v>64.3</v>
      </c>
      <c r="AT44" s="268">
        <v>40.299999999999997</v>
      </c>
      <c r="AU44" s="268">
        <v>48.8</v>
      </c>
      <c r="AV44" s="273">
        <v>52.6</v>
      </c>
      <c r="AW44" s="268">
        <v>41.6</v>
      </c>
      <c r="AX44" s="269">
        <v>47.9</v>
      </c>
      <c r="AY44" s="45">
        <v>2</v>
      </c>
      <c r="AZ44" s="19">
        <f t="shared" si="6"/>
        <v>44.882857142857141</v>
      </c>
      <c r="BA44" s="227">
        <f t="shared" si="11"/>
        <v>2</v>
      </c>
      <c r="BB44" s="173"/>
      <c r="BC44" s="173"/>
      <c r="BD44" s="173"/>
      <c r="BE44" s="173"/>
      <c r="BF44" s="173"/>
      <c r="BG44" s="173"/>
      <c r="BH44" s="173"/>
      <c r="BI44" s="173"/>
      <c r="BJ44" s="173"/>
      <c r="BK44" s="173"/>
      <c r="BL44" s="173"/>
      <c r="BM44" s="173"/>
      <c r="BN44" s="173"/>
      <c r="BO44" s="324">
        <f t="shared" si="12"/>
        <v>159</v>
      </c>
      <c r="BP44" s="319">
        <v>40703</v>
      </c>
      <c r="BQ44" s="324">
        <v>160</v>
      </c>
      <c r="BR44" s="358">
        <v>52.179999999999993</v>
      </c>
      <c r="BS44" s="358">
        <v>2.4</v>
      </c>
      <c r="BT44" s="319">
        <v>40332</v>
      </c>
      <c r="BU44" s="324">
        <v>154</v>
      </c>
      <c r="BV44" s="358">
        <v>33.217142857142861</v>
      </c>
      <c r="BW44" s="358">
        <v>2</v>
      </c>
      <c r="BX44" s="319">
        <v>39955</v>
      </c>
      <c r="BY44" s="217">
        <v>142</v>
      </c>
      <c r="BZ44" s="219">
        <v>25.304000000000002</v>
      </c>
      <c r="CA44" s="262">
        <v>1.8</v>
      </c>
      <c r="CB44" s="218">
        <v>39588</v>
      </c>
      <c r="CC44" s="217">
        <f t="shared" si="8"/>
        <v>141</v>
      </c>
      <c r="CD44" s="219">
        <v>20.143999999999998</v>
      </c>
      <c r="CE44" s="217">
        <v>1.4</v>
      </c>
      <c r="CF44" s="220">
        <v>39227</v>
      </c>
      <c r="CG44" s="217">
        <f t="shared" si="9"/>
        <v>145</v>
      </c>
      <c r="CH44" s="211">
        <v>34.463999999999999</v>
      </c>
      <c r="CI44" s="262">
        <v>2</v>
      </c>
      <c r="CJ44" s="319">
        <v>38873</v>
      </c>
      <c r="CK44" s="217">
        <f t="shared" si="10"/>
        <v>156</v>
      </c>
      <c r="CL44" s="211">
        <v>39.947999999999993</v>
      </c>
      <c r="CM44" s="258">
        <v>2.6</v>
      </c>
      <c r="CN44" s="173"/>
      <c r="CO44" s="173"/>
      <c r="CP44" s="173"/>
      <c r="CQ44" s="173"/>
      <c r="CR44" s="173"/>
      <c r="CS44" s="173"/>
      <c r="CT44" s="173"/>
      <c r="CU44" s="173"/>
    </row>
    <row r="45" spans="1:99" s="4" customFormat="1">
      <c r="A45" s="16" t="s">
        <v>31</v>
      </c>
      <c r="B45" s="21">
        <v>41074</v>
      </c>
      <c r="C45" s="22" t="s">
        <v>72</v>
      </c>
      <c r="D45" s="265">
        <v>50.1</v>
      </c>
      <c r="E45" s="266">
        <v>53.3</v>
      </c>
      <c r="F45" s="266">
        <v>49</v>
      </c>
      <c r="G45" s="266">
        <v>43.8</v>
      </c>
      <c r="H45" s="267">
        <v>56.9</v>
      </c>
      <c r="I45" s="268">
        <v>57.4</v>
      </c>
      <c r="J45" s="269">
        <v>46</v>
      </c>
      <c r="K45" s="290">
        <v>2</v>
      </c>
      <c r="L45" s="265">
        <v>54.9</v>
      </c>
      <c r="M45" s="266">
        <v>52.1</v>
      </c>
      <c r="N45" s="266">
        <v>58.4</v>
      </c>
      <c r="O45" s="266">
        <v>51.1</v>
      </c>
      <c r="P45" s="271">
        <v>69.400000000000006</v>
      </c>
      <c r="Q45" s="268">
        <v>73.5</v>
      </c>
      <c r="R45" s="269">
        <v>25.5</v>
      </c>
      <c r="S45" s="290">
        <v>2</v>
      </c>
      <c r="T45" s="265">
        <v>34.799999999999997</v>
      </c>
      <c r="U45" s="266">
        <v>44.6</v>
      </c>
      <c r="V45" s="266">
        <v>47.5</v>
      </c>
      <c r="W45" s="266">
        <v>43.4</v>
      </c>
      <c r="X45" s="271">
        <v>40.6</v>
      </c>
      <c r="Y45" s="268">
        <v>43.1</v>
      </c>
      <c r="Z45" s="269">
        <v>41.7</v>
      </c>
      <c r="AA45" s="290">
        <v>2</v>
      </c>
      <c r="AB45" s="265">
        <v>48.1</v>
      </c>
      <c r="AC45" s="266">
        <v>50</v>
      </c>
      <c r="AD45" s="266">
        <v>63.6</v>
      </c>
      <c r="AE45" s="266">
        <v>70.5</v>
      </c>
      <c r="AF45" s="271">
        <v>54.7</v>
      </c>
      <c r="AG45" s="268">
        <v>38.700000000000003</v>
      </c>
      <c r="AH45" s="269">
        <v>56.1</v>
      </c>
      <c r="AI45" s="290">
        <v>2</v>
      </c>
      <c r="AJ45" s="265">
        <v>40.6</v>
      </c>
      <c r="AK45" s="266">
        <v>55.7</v>
      </c>
      <c r="AL45" s="266">
        <v>55.1</v>
      </c>
      <c r="AM45" s="266">
        <v>58</v>
      </c>
      <c r="AN45" s="271">
        <v>35.6</v>
      </c>
      <c r="AO45" s="268">
        <v>69.900000000000006</v>
      </c>
      <c r="AP45" s="269">
        <v>41.2</v>
      </c>
      <c r="AQ45" s="290">
        <v>2</v>
      </c>
      <c r="AR45" s="272">
        <v>51.6</v>
      </c>
      <c r="AS45" s="268">
        <v>70.7</v>
      </c>
      <c r="AT45" s="268">
        <v>46.6</v>
      </c>
      <c r="AU45" s="268">
        <v>58</v>
      </c>
      <c r="AV45" s="273">
        <v>61.9</v>
      </c>
      <c r="AW45" s="268">
        <v>28.3</v>
      </c>
      <c r="AX45" s="269">
        <v>54.3</v>
      </c>
      <c r="AY45" s="45">
        <v>2</v>
      </c>
      <c r="AZ45" s="19">
        <f t="shared" si="6"/>
        <v>50.711428571428563</v>
      </c>
      <c r="BA45" s="227">
        <f t="shared" si="11"/>
        <v>2</v>
      </c>
      <c r="BB45" s="173"/>
      <c r="BC45" s="173"/>
      <c r="BD45" s="173"/>
      <c r="BE45" s="173"/>
      <c r="BF45" s="173"/>
      <c r="BG45" s="173"/>
      <c r="BH45" s="173"/>
      <c r="BI45" s="173"/>
      <c r="BJ45" s="173"/>
      <c r="BK45" s="173"/>
      <c r="BL45" s="173"/>
      <c r="BM45" s="173"/>
      <c r="BN45" s="173"/>
      <c r="BO45" s="324">
        <f t="shared" si="12"/>
        <v>166</v>
      </c>
      <c r="BP45" s="319">
        <v>40711</v>
      </c>
      <c r="BQ45" s="324">
        <v>168</v>
      </c>
      <c r="BR45" s="358">
        <v>52.27428571428571</v>
      </c>
      <c r="BS45" s="358">
        <v>3</v>
      </c>
      <c r="BT45" s="319">
        <v>40339</v>
      </c>
      <c r="BU45" s="324">
        <v>161</v>
      </c>
      <c r="BV45" s="358">
        <v>42.088571428571427</v>
      </c>
      <c r="BW45" s="358">
        <v>2</v>
      </c>
      <c r="BX45" s="319">
        <v>39958</v>
      </c>
      <c r="BY45" s="217">
        <v>145</v>
      </c>
      <c r="BZ45" s="219">
        <v>31.131999999999994</v>
      </c>
      <c r="CA45" s="262">
        <v>2</v>
      </c>
      <c r="CB45" s="218">
        <v>39591</v>
      </c>
      <c r="CC45" s="217">
        <f t="shared" si="8"/>
        <v>144</v>
      </c>
      <c r="CD45" s="219">
        <v>22.071999999999999</v>
      </c>
      <c r="CE45" s="217">
        <v>1.8</v>
      </c>
      <c r="CF45" s="220">
        <v>39230</v>
      </c>
      <c r="CG45" s="217">
        <f t="shared" si="9"/>
        <v>148</v>
      </c>
      <c r="CH45" s="211">
        <v>40.491999999999997</v>
      </c>
      <c r="CI45" s="262">
        <v>2</v>
      </c>
      <c r="CJ45" s="319"/>
      <c r="CK45" s="211"/>
      <c r="CL45" s="211"/>
      <c r="CM45" s="258"/>
      <c r="CN45" s="173"/>
      <c r="CO45" s="173"/>
      <c r="CP45" s="173"/>
      <c r="CQ45" s="173"/>
      <c r="CR45" s="173"/>
      <c r="CS45" s="173"/>
      <c r="CT45" s="173"/>
      <c r="CU45" s="173"/>
    </row>
    <row r="46" spans="1:99" s="4" customFormat="1">
      <c r="A46" s="16" t="s">
        <v>31</v>
      </c>
      <c r="B46" s="21">
        <v>41081</v>
      </c>
      <c r="C46" s="22" t="s">
        <v>80</v>
      </c>
      <c r="D46" s="265">
        <v>50.9</v>
      </c>
      <c r="E46" s="266">
        <v>54.1</v>
      </c>
      <c r="F46" s="266">
        <v>48.7</v>
      </c>
      <c r="G46" s="266">
        <v>42.7</v>
      </c>
      <c r="H46" s="267">
        <v>57.5</v>
      </c>
      <c r="I46" s="268">
        <v>57.7</v>
      </c>
      <c r="J46" s="269">
        <v>47.1</v>
      </c>
      <c r="K46" s="290">
        <v>2</v>
      </c>
      <c r="L46" s="265">
        <v>57.8</v>
      </c>
      <c r="M46" s="266">
        <v>52.3</v>
      </c>
      <c r="N46" s="266">
        <v>58.7</v>
      </c>
      <c r="O46" s="266">
        <v>50</v>
      </c>
      <c r="P46" s="271">
        <v>73.400000000000006</v>
      </c>
      <c r="Q46" s="268">
        <v>73.8</v>
      </c>
      <c r="R46" s="269">
        <v>26.1</v>
      </c>
      <c r="S46" s="290">
        <v>2</v>
      </c>
      <c r="T46" s="265">
        <v>36.1</v>
      </c>
      <c r="U46" s="266">
        <v>46.6</v>
      </c>
      <c r="V46" s="266">
        <v>48</v>
      </c>
      <c r="W46" s="266">
        <v>45</v>
      </c>
      <c r="X46" s="271">
        <v>41.4</v>
      </c>
      <c r="Y46" s="268">
        <v>44.9</v>
      </c>
      <c r="Z46" s="269">
        <v>43.1</v>
      </c>
      <c r="AA46" s="290">
        <v>2</v>
      </c>
      <c r="AB46" s="265">
        <v>49</v>
      </c>
      <c r="AC46" s="266">
        <v>50.7</v>
      </c>
      <c r="AD46" s="266">
        <v>64.900000000000006</v>
      </c>
      <c r="AE46" s="266">
        <v>66.2</v>
      </c>
      <c r="AF46" s="271">
        <v>55.4</v>
      </c>
      <c r="AG46" s="268">
        <v>45</v>
      </c>
      <c r="AH46" s="269">
        <v>59.3</v>
      </c>
      <c r="AI46" s="290">
        <v>2</v>
      </c>
      <c r="AJ46" s="265">
        <v>42</v>
      </c>
      <c r="AK46" s="266">
        <v>57.4</v>
      </c>
      <c r="AL46" s="266">
        <v>58.6</v>
      </c>
      <c r="AM46" s="266">
        <v>58.4</v>
      </c>
      <c r="AN46" s="271">
        <v>36.299999999999997</v>
      </c>
      <c r="AO46" s="268">
        <v>69.900000000000006</v>
      </c>
      <c r="AP46" s="269">
        <v>45.4</v>
      </c>
      <c r="AQ46" s="290">
        <v>2</v>
      </c>
      <c r="AR46" s="272">
        <v>52.8</v>
      </c>
      <c r="AS46" s="268">
        <v>68.900000000000006</v>
      </c>
      <c r="AT46" s="268">
        <v>48.3</v>
      </c>
      <c r="AU46" s="268">
        <v>60.5</v>
      </c>
      <c r="AV46" s="273">
        <v>62.4</v>
      </c>
      <c r="AW46" s="268">
        <v>49.9</v>
      </c>
      <c r="AX46" s="269">
        <v>55.8</v>
      </c>
      <c r="AY46" s="45">
        <v>2</v>
      </c>
      <c r="AZ46" s="19">
        <f t="shared" si="6"/>
        <v>51.839999999999996</v>
      </c>
      <c r="BA46" s="227">
        <f t="shared" si="11"/>
        <v>2</v>
      </c>
      <c r="BB46" s="173"/>
      <c r="BC46" s="173"/>
      <c r="BD46" s="173"/>
      <c r="BE46" s="173"/>
      <c r="BF46" s="173"/>
      <c r="BG46" s="173"/>
      <c r="BH46" s="173"/>
      <c r="BI46" s="173"/>
      <c r="BJ46" s="173"/>
      <c r="BK46" s="173"/>
      <c r="BL46" s="173"/>
      <c r="BM46" s="173"/>
      <c r="BN46" s="173"/>
      <c r="BO46" s="324">
        <f t="shared" si="12"/>
        <v>173</v>
      </c>
      <c r="BP46" s="319">
        <v>40717</v>
      </c>
      <c r="BQ46" s="324">
        <v>174</v>
      </c>
      <c r="BR46" s="358">
        <v>52.202857142857148</v>
      </c>
      <c r="BS46" s="358">
        <v>3</v>
      </c>
      <c r="BT46" s="319">
        <v>40346</v>
      </c>
      <c r="BU46" s="324">
        <v>168</v>
      </c>
      <c r="BV46" s="358">
        <v>43.214285714285708</v>
      </c>
      <c r="BW46" s="358">
        <v>3</v>
      </c>
      <c r="BX46" s="319">
        <v>39962</v>
      </c>
      <c r="BY46" s="217">
        <v>149</v>
      </c>
      <c r="BZ46" s="219">
        <v>37.984000000000002</v>
      </c>
      <c r="CA46" s="262">
        <v>2</v>
      </c>
      <c r="CB46" s="218">
        <v>39595</v>
      </c>
      <c r="CC46" s="217">
        <f t="shared" si="8"/>
        <v>148</v>
      </c>
      <c r="CD46" s="219">
        <v>25.856000000000002</v>
      </c>
      <c r="CE46" s="217">
        <v>1.8</v>
      </c>
      <c r="CF46" s="220">
        <v>39234</v>
      </c>
      <c r="CG46" s="217">
        <f t="shared" si="9"/>
        <v>152</v>
      </c>
      <c r="CH46" s="211">
        <v>43.943999999999996</v>
      </c>
      <c r="CI46" s="262">
        <v>2</v>
      </c>
      <c r="CJ46" s="319"/>
      <c r="CK46" s="211"/>
      <c r="CL46" s="211"/>
      <c r="CM46" s="258"/>
      <c r="CN46" s="173"/>
      <c r="CO46" s="173"/>
      <c r="CP46" s="173"/>
      <c r="CQ46" s="173"/>
      <c r="CR46" s="173"/>
      <c r="CS46" s="173"/>
      <c r="CT46" s="173"/>
      <c r="CU46" s="173"/>
    </row>
    <row r="47" spans="1:99" s="4" customFormat="1">
      <c r="A47" s="16" t="s">
        <v>31</v>
      </c>
      <c r="B47" s="21">
        <v>41089</v>
      </c>
      <c r="C47" s="22" t="s">
        <v>80</v>
      </c>
      <c r="D47" s="265">
        <v>50.2</v>
      </c>
      <c r="E47" s="266">
        <v>53.9</v>
      </c>
      <c r="F47" s="266">
        <v>48.5</v>
      </c>
      <c r="G47" s="266">
        <v>45.3</v>
      </c>
      <c r="H47" s="267">
        <v>58.4</v>
      </c>
      <c r="I47" s="268">
        <v>57.8</v>
      </c>
      <c r="J47" s="269">
        <v>46.8</v>
      </c>
      <c r="K47" s="290">
        <v>3</v>
      </c>
      <c r="L47" s="265">
        <v>57.5</v>
      </c>
      <c r="M47" s="266">
        <v>52.1</v>
      </c>
      <c r="N47" s="266">
        <v>59.1</v>
      </c>
      <c r="O47" s="266">
        <v>51.6</v>
      </c>
      <c r="P47" s="271">
        <v>70.3</v>
      </c>
      <c r="Q47" s="268">
        <v>73.400000000000006</v>
      </c>
      <c r="R47" s="269">
        <v>26</v>
      </c>
      <c r="S47" s="290">
        <v>3</v>
      </c>
      <c r="T47" s="265">
        <v>38.299999999999997</v>
      </c>
      <c r="U47" s="266">
        <v>46.2</v>
      </c>
      <c r="V47" s="266">
        <v>48.6</v>
      </c>
      <c r="W47" s="266">
        <v>45</v>
      </c>
      <c r="X47" s="271">
        <v>42.1</v>
      </c>
      <c r="Y47" s="268">
        <v>45.2</v>
      </c>
      <c r="Z47" s="269">
        <v>43.4</v>
      </c>
      <c r="AA47" s="290">
        <v>3</v>
      </c>
      <c r="AB47" s="265">
        <v>50.1</v>
      </c>
      <c r="AC47" s="266">
        <v>51.1</v>
      </c>
      <c r="AD47" s="266">
        <v>64.900000000000006</v>
      </c>
      <c r="AE47" s="266">
        <v>67.099999999999994</v>
      </c>
      <c r="AF47" s="271">
        <v>57.1</v>
      </c>
      <c r="AG47" s="268">
        <v>45.8</v>
      </c>
      <c r="AH47" s="269">
        <v>58.7</v>
      </c>
      <c r="AI47" s="290">
        <v>3</v>
      </c>
      <c r="AJ47" s="265">
        <v>42.6</v>
      </c>
      <c r="AK47" s="266">
        <v>57.4</v>
      </c>
      <c r="AL47" s="266">
        <v>58.4</v>
      </c>
      <c r="AM47" s="266">
        <v>58.9</v>
      </c>
      <c r="AN47" s="271">
        <v>40.6</v>
      </c>
      <c r="AO47" s="268">
        <v>70.400000000000006</v>
      </c>
      <c r="AP47" s="269">
        <v>46.4</v>
      </c>
      <c r="AQ47" s="290">
        <v>3</v>
      </c>
      <c r="AR47" s="272">
        <v>52.3</v>
      </c>
      <c r="AS47" s="268">
        <v>71.400000000000006</v>
      </c>
      <c r="AT47" s="268">
        <v>48.4</v>
      </c>
      <c r="AU47" s="268">
        <v>60.3</v>
      </c>
      <c r="AV47" s="273">
        <v>62.8</v>
      </c>
      <c r="AW47" s="268">
        <v>49.9</v>
      </c>
      <c r="AX47" s="269">
        <v>55.8</v>
      </c>
      <c r="AY47" s="45">
        <v>3</v>
      </c>
      <c r="AZ47" s="19">
        <f t="shared" si="6"/>
        <v>52.262857142857136</v>
      </c>
      <c r="BA47" s="227">
        <f t="shared" si="11"/>
        <v>3</v>
      </c>
      <c r="BB47" s="173"/>
      <c r="BC47" s="173"/>
      <c r="BD47" s="173"/>
      <c r="BE47" s="173"/>
      <c r="BF47" s="173"/>
      <c r="BG47" s="173"/>
      <c r="BH47" s="173"/>
      <c r="BI47" s="173"/>
      <c r="BJ47" s="173"/>
      <c r="BK47" s="173"/>
      <c r="BL47" s="173"/>
      <c r="BM47" s="173"/>
      <c r="BN47" s="173"/>
      <c r="BO47" s="324">
        <f t="shared" si="12"/>
        <v>181</v>
      </c>
      <c r="BP47" s="319">
        <v>40781</v>
      </c>
      <c r="BQ47" s="324">
        <v>238</v>
      </c>
      <c r="BR47" s="358"/>
      <c r="BS47" s="358">
        <v>4</v>
      </c>
      <c r="BT47" s="319">
        <v>40353</v>
      </c>
      <c r="BU47" s="324">
        <v>175</v>
      </c>
      <c r="BV47" s="358">
        <v>43.570952380952384</v>
      </c>
      <c r="BW47" s="358">
        <v>3</v>
      </c>
      <c r="BX47" s="319">
        <v>39965</v>
      </c>
      <c r="BY47" s="217">
        <v>152</v>
      </c>
      <c r="BZ47" s="219">
        <v>45.607999999999997</v>
      </c>
      <c r="CA47" s="262">
        <v>2</v>
      </c>
      <c r="CB47" s="218">
        <v>39597</v>
      </c>
      <c r="CC47" s="217">
        <f t="shared" si="8"/>
        <v>150</v>
      </c>
      <c r="CD47" s="219">
        <v>33.260000000000005</v>
      </c>
      <c r="CE47" s="217">
        <v>2</v>
      </c>
      <c r="CF47" s="220">
        <v>39237</v>
      </c>
      <c r="CG47" s="217">
        <f t="shared" si="9"/>
        <v>155</v>
      </c>
      <c r="CH47" s="211">
        <v>47.291999999999994</v>
      </c>
      <c r="CI47" s="262">
        <v>2</v>
      </c>
      <c r="CJ47" s="319"/>
      <c r="CK47" s="211"/>
      <c r="CL47" s="211"/>
      <c r="CM47" s="258"/>
      <c r="CN47" s="173"/>
      <c r="CO47" s="173"/>
      <c r="CP47" s="173"/>
      <c r="CQ47" s="173"/>
      <c r="CR47" s="173"/>
      <c r="CS47" s="173"/>
      <c r="CT47" s="173"/>
      <c r="CU47" s="173"/>
    </row>
    <row r="48" spans="1:99" s="4" customFormat="1">
      <c r="A48" s="16" t="s">
        <v>31</v>
      </c>
      <c r="B48" s="21">
        <v>41141</v>
      </c>
      <c r="C48" s="22" t="s">
        <v>72</v>
      </c>
      <c r="D48" s="265"/>
      <c r="E48" s="266"/>
      <c r="F48" s="266"/>
      <c r="G48" s="266"/>
      <c r="H48" s="267"/>
      <c r="I48" s="268"/>
      <c r="J48" s="269"/>
      <c r="K48" s="290">
        <v>4</v>
      </c>
      <c r="L48" s="265"/>
      <c r="M48" s="266"/>
      <c r="N48" s="266"/>
      <c r="O48" s="266"/>
      <c r="P48" s="271"/>
      <c r="Q48" s="268"/>
      <c r="R48" s="269"/>
      <c r="S48" s="290">
        <v>4</v>
      </c>
      <c r="T48" s="265"/>
      <c r="U48" s="266"/>
      <c r="V48" s="266"/>
      <c r="W48" s="266"/>
      <c r="X48" s="271"/>
      <c r="Y48" s="268"/>
      <c r="Z48" s="269"/>
      <c r="AA48" s="290">
        <v>4</v>
      </c>
      <c r="AB48" s="265"/>
      <c r="AC48" s="266"/>
      <c r="AD48" s="266"/>
      <c r="AE48" s="266"/>
      <c r="AF48" s="271"/>
      <c r="AG48" s="268"/>
      <c r="AH48" s="269"/>
      <c r="AI48" s="290">
        <v>4</v>
      </c>
      <c r="AJ48" s="265"/>
      <c r="AK48" s="266"/>
      <c r="AL48" s="266"/>
      <c r="AM48" s="266"/>
      <c r="AN48" s="271"/>
      <c r="AO48" s="268"/>
      <c r="AP48" s="269"/>
      <c r="AQ48" s="290">
        <v>4</v>
      </c>
      <c r="AR48" s="272"/>
      <c r="AS48" s="268"/>
      <c r="AT48" s="268"/>
      <c r="AU48" s="268"/>
      <c r="AV48" s="273"/>
      <c r="AW48" s="268"/>
      <c r="AX48" s="269"/>
      <c r="AY48" s="45">
        <v>4</v>
      </c>
      <c r="AZ48" s="19">
        <f t="shared" si="6"/>
        <v>52.262857142857136</v>
      </c>
      <c r="BA48" s="227">
        <f t="shared" si="11"/>
        <v>4</v>
      </c>
      <c r="BB48" s="173"/>
      <c r="BC48" s="173"/>
      <c r="BD48" s="173"/>
      <c r="BE48" s="173"/>
      <c r="BF48" s="173"/>
      <c r="BG48" s="173"/>
      <c r="BH48" s="173"/>
      <c r="BI48" s="173"/>
      <c r="BJ48" s="173"/>
      <c r="BK48" s="173"/>
      <c r="BL48" s="173"/>
      <c r="BM48" s="173"/>
      <c r="BN48" s="173"/>
      <c r="BO48" s="324">
        <f t="shared" si="12"/>
        <v>233</v>
      </c>
      <c r="BP48" s="319">
        <v>40788</v>
      </c>
      <c r="BQ48" s="324">
        <v>245</v>
      </c>
      <c r="BR48" s="358"/>
      <c r="BS48" s="358">
        <v>5</v>
      </c>
      <c r="BT48" s="319">
        <v>40429</v>
      </c>
      <c r="BU48" s="324">
        <v>251</v>
      </c>
      <c r="BV48" s="358">
        <v>43.570952380952384</v>
      </c>
      <c r="BW48" s="358">
        <v>4</v>
      </c>
      <c r="BX48" s="319">
        <v>39973</v>
      </c>
      <c r="BY48" s="217">
        <v>160</v>
      </c>
      <c r="BZ48" s="219">
        <v>51.351999999999997</v>
      </c>
      <c r="CA48" s="262">
        <v>3</v>
      </c>
      <c r="CB48" s="218">
        <v>39601</v>
      </c>
      <c r="CC48" s="217">
        <f t="shared" si="8"/>
        <v>154</v>
      </c>
      <c r="CD48" s="219">
        <v>42.875999999999991</v>
      </c>
      <c r="CE48" s="217">
        <v>2</v>
      </c>
      <c r="CF48" s="220">
        <v>39241</v>
      </c>
      <c r="CG48" s="217">
        <f t="shared" si="9"/>
        <v>159</v>
      </c>
      <c r="CH48" s="211">
        <v>49.947999999999993</v>
      </c>
      <c r="CI48" s="262">
        <v>2.8</v>
      </c>
      <c r="CJ48" s="319"/>
      <c r="CK48" s="211"/>
      <c r="CL48" s="211"/>
      <c r="CM48" s="258"/>
      <c r="CN48" s="173"/>
      <c r="CO48" s="173"/>
      <c r="CP48" s="173"/>
      <c r="CQ48" s="173"/>
      <c r="CR48" s="173"/>
      <c r="CS48" s="173"/>
      <c r="CT48" s="173"/>
      <c r="CU48" s="173"/>
    </row>
    <row r="49" spans="1:99" s="4" customFormat="1">
      <c r="A49" s="16" t="s">
        <v>31</v>
      </c>
      <c r="B49" s="21">
        <v>41158</v>
      </c>
      <c r="C49" s="22" t="s">
        <v>72</v>
      </c>
      <c r="D49" s="265"/>
      <c r="E49" s="266"/>
      <c r="F49" s="266"/>
      <c r="G49" s="266"/>
      <c r="H49" s="267"/>
      <c r="I49" s="268"/>
      <c r="J49" s="269"/>
      <c r="K49" s="290">
        <v>5</v>
      </c>
      <c r="L49" s="265"/>
      <c r="M49" s="266"/>
      <c r="N49" s="266"/>
      <c r="O49" s="266"/>
      <c r="P49" s="271"/>
      <c r="Q49" s="268"/>
      <c r="R49" s="269"/>
      <c r="S49" s="290">
        <v>5</v>
      </c>
      <c r="T49" s="265"/>
      <c r="U49" s="266"/>
      <c r="V49" s="266"/>
      <c r="W49" s="266"/>
      <c r="X49" s="271"/>
      <c r="Y49" s="268"/>
      <c r="Z49" s="269"/>
      <c r="AA49" s="290">
        <v>4</v>
      </c>
      <c r="AB49" s="265"/>
      <c r="AC49" s="266"/>
      <c r="AD49" s="266"/>
      <c r="AE49" s="266"/>
      <c r="AF49" s="271"/>
      <c r="AG49" s="268"/>
      <c r="AH49" s="269"/>
      <c r="AI49" s="290">
        <v>5</v>
      </c>
      <c r="AJ49" s="265"/>
      <c r="AK49" s="266"/>
      <c r="AL49" s="266"/>
      <c r="AM49" s="266"/>
      <c r="AN49" s="271"/>
      <c r="AO49" s="268"/>
      <c r="AP49" s="269"/>
      <c r="AQ49" s="290">
        <v>4</v>
      </c>
      <c r="AR49" s="272"/>
      <c r="AS49" s="268"/>
      <c r="AT49" s="268"/>
      <c r="AU49" s="268"/>
      <c r="AV49" s="273"/>
      <c r="AW49" s="268"/>
      <c r="AX49" s="269"/>
      <c r="AY49" s="45">
        <v>5</v>
      </c>
      <c r="AZ49" s="19">
        <f t="shared" si="6"/>
        <v>52.262857142857136</v>
      </c>
      <c r="BA49" s="227">
        <f t="shared" si="11"/>
        <v>4.5999999999999996</v>
      </c>
      <c r="BB49" s="173"/>
      <c r="BC49" s="173"/>
      <c r="BD49" s="173"/>
      <c r="BE49" s="173"/>
      <c r="BF49" s="173"/>
      <c r="BG49" s="173"/>
      <c r="BH49" s="173"/>
      <c r="BI49" s="173"/>
      <c r="BJ49" s="173"/>
      <c r="BK49" s="173"/>
      <c r="BL49" s="173"/>
      <c r="BM49" s="173"/>
      <c r="BN49" s="173"/>
      <c r="BO49" s="324">
        <f t="shared" si="12"/>
        <v>250</v>
      </c>
      <c r="BP49" s="319">
        <v>40795</v>
      </c>
      <c r="BQ49" s="324">
        <v>252</v>
      </c>
      <c r="BR49" s="358"/>
      <c r="BS49" s="358">
        <v>6.6</v>
      </c>
      <c r="BT49" s="319">
        <v>40438</v>
      </c>
      <c r="BU49" s="324">
        <v>260</v>
      </c>
      <c r="BV49" s="358">
        <v>43.570952380952384</v>
      </c>
      <c r="BW49" s="358">
        <v>5.2</v>
      </c>
      <c r="BX49" s="319">
        <v>39981</v>
      </c>
      <c r="BY49" s="217">
        <v>168</v>
      </c>
      <c r="BZ49" s="219">
        <v>53.368000000000009</v>
      </c>
      <c r="CA49" s="262">
        <v>3</v>
      </c>
      <c r="CB49" s="218">
        <v>39604</v>
      </c>
      <c r="CC49" s="217">
        <f t="shared" si="8"/>
        <v>157</v>
      </c>
      <c r="CD49" s="219">
        <v>46.631999999999991</v>
      </c>
      <c r="CE49" s="217">
        <v>2</v>
      </c>
      <c r="CF49" s="220">
        <v>39245</v>
      </c>
      <c r="CG49" s="217">
        <f t="shared" si="9"/>
        <v>163</v>
      </c>
      <c r="CH49" s="211">
        <v>51.047999999999995</v>
      </c>
      <c r="CI49" s="262">
        <v>3</v>
      </c>
      <c r="CJ49" s="319"/>
      <c r="CK49" s="211"/>
      <c r="CL49" s="211"/>
      <c r="CM49" s="258"/>
      <c r="CN49" s="173"/>
      <c r="CO49" s="173"/>
      <c r="CP49" s="173"/>
      <c r="CQ49" s="173"/>
      <c r="CR49" s="173"/>
      <c r="CS49" s="173"/>
      <c r="CT49" s="173"/>
      <c r="CU49" s="173"/>
    </row>
    <row r="50" spans="1:99" s="4" customFormat="1">
      <c r="A50" s="16" t="s">
        <v>31</v>
      </c>
      <c r="B50" s="21">
        <v>41170</v>
      </c>
      <c r="C50" s="22" t="s">
        <v>72</v>
      </c>
      <c r="D50" s="265"/>
      <c r="E50" s="266"/>
      <c r="F50" s="266"/>
      <c r="G50" s="266"/>
      <c r="H50" s="267"/>
      <c r="I50" s="268"/>
      <c r="J50" s="269"/>
      <c r="K50" s="290">
        <v>5</v>
      </c>
      <c r="L50" s="265"/>
      <c r="M50" s="266"/>
      <c r="N50" s="266"/>
      <c r="O50" s="266"/>
      <c r="P50" s="271"/>
      <c r="Q50" s="268"/>
      <c r="R50" s="269"/>
      <c r="S50" s="290">
        <v>5</v>
      </c>
      <c r="T50" s="265"/>
      <c r="U50" s="266"/>
      <c r="V50" s="266"/>
      <c r="W50" s="266"/>
      <c r="X50" s="271"/>
      <c r="Y50" s="268"/>
      <c r="Z50" s="269"/>
      <c r="AA50" s="290">
        <v>5</v>
      </c>
      <c r="AB50" s="265"/>
      <c r="AC50" s="266"/>
      <c r="AD50" s="266"/>
      <c r="AE50" s="266"/>
      <c r="AF50" s="271"/>
      <c r="AG50" s="268"/>
      <c r="AH50" s="269"/>
      <c r="AI50" s="290">
        <v>6</v>
      </c>
      <c r="AJ50" s="265"/>
      <c r="AK50" s="266"/>
      <c r="AL50" s="266"/>
      <c r="AM50" s="266"/>
      <c r="AN50" s="271"/>
      <c r="AO50" s="268"/>
      <c r="AP50" s="269"/>
      <c r="AQ50" s="290">
        <v>5</v>
      </c>
      <c r="AR50" s="272"/>
      <c r="AS50" s="268"/>
      <c r="AT50" s="268"/>
      <c r="AU50" s="268"/>
      <c r="AV50" s="273"/>
      <c r="AW50" s="268"/>
      <c r="AX50" s="269"/>
      <c r="AY50" s="45">
        <v>7</v>
      </c>
      <c r="AZ50" s="19">
        <f t="shared" si="6"/>
        <v>52.262857142857136</v>
      </c>
      <c r="BA50" s="227">
        <f t="shared" si="11"/>
        <v>5.2</v>
      </c>
      <c r="BB50" s="173"/>
      <c r="BC50" s="173"/>
      <c r="BD50" s="173"/>
      <c r="BE50" s="173"/>
      <c r="BF50" s="173"/>
      <c r="BG50" s="173"/>
      <c r="BH50" s="173"/>
      <c r="BI50" s="173"/>
      <c r="BJ50" s="173"/>
      <c r="BK50" s="173"/>
      <c r="BL50" s="173"/>
      <c r="BM50" s="173"/>
      <c r="BN50" s="173"/>
      <c r="BO50" s="324">
        <f t="shared" si="12"/>
        <v>262</v>
      </c>
      <c r="BP50" s="319">
        <v>40802</v>
      </c>
      <c r="BQ50" s="324">
        <v>259</v>
      </c>
      <c r="BR50" s="358"/>
      <c r="BS50" s="358">
        <v>7</v>
      </c>
      <c r="BT50" s="319">
        <v>40445</v>
      </c>
      <c r="BU50" s="324">
        <v>267</v>
      </c>
      <c r="BV50" s="358">
        <v>43.570952380952384</v>
      </c>
      <c r="BW50" s="358">
        <v>5.2</v>
      </c>
      <c r="BX50" s="319">
        <v>39989</v>
      </c>
      <c r="BY50" s="217">
        <v>176</v>
      </c>
      <c r="BZ50" s="219">
        <v>54.435999999999993</v>
      </c>
      <c r="CA50" s="262">
        <v>3</v>
      </c>
      <c r="CB50" s="218">
        <v>39608</v>
      </c>
      <c r="CC50" s="217">
        <f t="shared" si="8"/>
        <v>161</v>
      </c>
      <c r="CD50" s="219">
        <v>48.048000000000002</v>
      </c>
      <c r="CE50" s="217">
        <v>3</v>
      </c>
      <c r="CF50" s="220">
        <v>39248</v>
      </c>
      <c r="CG50" s="217">
        <f t="shared" si="9"/>
        <v>166</v>
      </c>
      <c r="CH50" s="211">
        <v>51.224000000000004</v>
      </c>
      <c r="CI50" s="262">
        <v>3</v>
      </c>
      <c r="CJ50" s="319"/>
      <c r="CK50" s="211"/>
      <c r="CL50" s="211"/>
      <c r="CM50" s="258"/>
      <c r="CN50" s="173"/>
      <c r="CO50" s="173"/>
      <c r="CP50" s="173"/>
      <c r="CQ50" s="173"/>
      <c r="CR50" s="173"/>
      <c r="CS50" s="173"/>
      <c r="CT50" s="173"/>
      <c r="CU50" s="173"/>
    </row>
    <row r="51" spans="1:99" s="4" customFormat="1">
      <c r="A51" s="16" t="s">
        <v>31</v>
      </c>
      <c r="B51" s="21">
        <v>41177</v>
      </c>
      <c r="C51" s="22" t="s">
        <v>72</v>
      </c>
      <c r="D51" s="265"/>
      <c r="E51" s="266"/>
      <c r="F51" s="266"/>
      <c r="G51" s="266"/>
      <c r="H51" s="267"/>
      <c r="I51" s="268"/>
      <c r="J51" s="269"/>
      <c r="K51" s="290">
        <v>7</v>
      </c>
      <c r="L51" s="265"/>
      <c r="M51" s="266"/>
      <c r="N51" s="266"/>
      <c r="O51" s="266"/>
      <c r="P51" s="271"/>
      <c r="Q51" s="268"/>
      <c r="R51" s="269"/>
      <c r="S51" s="290">
        <v>7</v>
      </c>
      <c r="T51" s="265"/>
      <c r="U51" s="266"/>
      <c r="V51" s="266"/>
      <c r="W51" s="266"/>
      <c r="X51" s="271"/>
      <c r="Y51" s="268"/>
      <c r="Z51" s="269"/>
      <c r="AA51" s="290">
        <v>6</v>
      </c>
      <c r="AB51" s="265"/>
      <c r="AC51" s="266"/>
      <c r="AD51" s="266"/>
      <c r="AE51" s="266"/>
      <c r="AF51" s="271"/>
      <c r="AG51" s="268"/>
      <c r="AH51" s="269"/>
      <c r="AI51" s="290">
        <v>7</v>
      </c>
      <c r="AJ51" s="265"/>
      <c r="AK51" s="266"/>
      <c r="AL51" s="266"/>
      <c r="AM51" s="266"/>
      <c r="AN51" s="271"/>
      <c r="AO51" s="268"/>
      <c r="AP51" s="269"/>
      <c r="AQ51" s="290">
        <v>6</v>
      </c>
      <c r="AR51" s="272"/>
      <c r="AS51" s="268"/>
      <c r="AT51" s="268"/>
      <c r="AU51" s="268"/>
      <c r="AV51" s="273"/>
      <c r="AW51" s="268"/>
      <c r="AX51" s="269"/>
      <c r="AY51" s="45">
        <v>7</v>
      </c>
      <c r="AZ51" s="19">
        <f t="shared" si="6"/>
        <v>52.262857142857136</v>
      </c>
      <c r="BA51" s="227">
        <f t="shared" si="11"/>
        <v>6.6</v>
      </c>
      <c r="BB51" s="173"/>
      <c r="BC51" s="173"/>
      <c r="BD51" s="173"/>
      <c r="BE51" s="173"/>
      <c r="BF51" s="173"/>
      <c r="BG51" s="173"/>
      <c r="BH51" s="173"/>
      <c r="BI51" s="173"/>
      <c r="BJ51" s="173"/>
      <c r="BK51" s="173"/>
      <c r="BL51" s="173"/>
      <c r="BM51" s="173"/>
      <c r="BN51" s="173"/>
      <c r="BO51" s="324">
        <f t="shared" si="12"/>
        <v>269</v>
      </c>
      <c r="BP51" s="319">
        <v>40815</v>
      </c>
      <c r="BQ51" s="324">
        <v>272</v>
      </c>
      <c r="BR51" s="358"/>
      <c r="BS51" s="358">
        <v>7</v>
      </c>
      <c r="BT51" s="319">
        <v>40456</v>
      </c>
      <c r="BU51" s="324">
        <v>278</v>
      </c>
      <c r="BV51" s="358">
        <v>43.570952380952384</v>
      </c>
      <c r="BW51" s="358">
        <v>7.2</v>
      </c>
      <c r="BX51" s="319">
        <v>39996</v>
      </c>
      <c r="BY51" s="217">
        <v>183</v>
      </c>
      <c r="BZ51" s="219">
        <v>54.760000000000005</v>
      </c>
      <c r="CA51" s="262">
        <v>3</v>
      </c>
      <c r="CB51" s="218">
        <v>39612</v>
      </c>
      <c r="CC51" s="217">
        <f t="shared" si="8"/>
        <v>165</v>
      </c>
      <c r="CD51" s="219">
        <v>50.287999999999997</v>
      </c>
      <c r="CE51" s="217">
        <v>3</v>
      </c>
      <c r="CF51" s="220">
        <v>39254</v>
      </c>
      <c r="CG51" s="217">
        <f t="shared" si="9"/>
        <v>172</v>
      </c>
      <c r="CH51" s="211">
        <v>51.308000000000007</v>
      </c>
      <c r="CI51" s="262">
        <v>3</v>
      </c>
      <c r="CJ51" s="319"/>
      <c r="CK51" s="211"/>
      <c r="CL51" s="211"/>
      <c r="CM51" s="258"/>
      <c r="CN51" s="173"/>
      <c r="CO51" s="173"/>
      <c r="CP51" s="173"/>
      <c r="CQ51" s="173"/>
      <c r="CR51" s="173"/>
      <c r="CS51" s="173"/>
      <c r="CT51" s="173"/>
      <c r="CU51" s="173"/>
    </row>
    <row r="52" spans="1:99" s="4" customFormat="1">
      <c r="A52" s="16" t="s">
        <v>31</v>
      </c>
      <c r="B52" s="21">
        <v>41180</v>
      </c>
      <c r="C52" s="22" t="s">
        <v>72</v>
      </c>
      <c r="D52" s="265"/>
      <c r="E52" s="266"/>
      <c r="F52" s="266"/>
      <c r="G52" s="266"/>
      <c r="H52" s="267"/>
      <c r="I52" s="268"/>
      <c r="J52" s="269"/>
      <c r="K52" s="290">
        <v>7</v>
      </c>
      <c r="L52" s="265"/>
      <c r="M52" s="266"/>
      <c r="N52" s="266"/>
      <c r="O52" s="266"/>
      <c r="P52" s="271"/>
      <c r="Q52" s="268"/>
      <c r="R52" s="269"/>
      <c r="S52" s="290">
        <v>7</v>
      </c>
      <c r="T52" s="265"/>
      <c r="U52" s="266"/>
      <c r="V52" s="266"/>
      <c r="W52" s="266"/>
      <c r="X52" s="271"/>
      <c r="Y52" s="268"/>
      <c r="Z52" s="269"/>
      <c r="AA52" s="290">
        <v>7</v>
      </c>
      <c r="AB52" s="265"/>
      <c r="AC52" s="266"/>
      <c r="AD52" s="266"/>
      <c r="AE52" s="266"/>
      <c r="AF52" s="271"/>
      <c r="AG52" s="268"/>
      <c r="AH52" s="269"/>
      <c r="AI52" s="290">
        <v>7</v>
      </c>
      <c r="AJ52" s="265"/>
      <c r="AK52" s="266"/>
      <c r="AL52" s="266"/>
      <c r="AM52" s="266"/>
      <c r="AN52" s="271"/>
      <c r="AO52" s="268"/>
      <c r="AP52" s="269"/>
      <c r="AQ52" s="290">
        <v>6</v>
      </c>
      <c r="AR52" s="272"/>
      <c r="AS52" s="268"/>
      <c r="AT52" s="268"/>
      <c r="AU52" s="268"/>
      <c r="AV52" s="273"/>
      <c r="AW52" s="268"/>
      <c r="AX52" s="269"/>
      <c r="AY52" s="45">
        <v>7</v>
      </c>
      <c r="AZ52" s="19">
        <f t="shared" si="6"/>
        <v>52.262857142857136</v>
      </c>
      <c r="BA52" s="227">
        <f t="shared" si="11"/>
        <v>6.8</v>
      </c>
      <c r="BB52" s="173"/>
      <c r="BC52" s="173"/>
      <c r="BD52" s="173"/>
      <c r="BE52" s="173"/>
      <c r="BF52" s="173"/>
      <c r="BG52" s="173"/>
      <c r="BH52" s="173"/>
      <c r="BI52" s="173"/>
      <c r="BJ52" s="173"/>
      <c r="BK52" s="173"/>
      <c r="BL52" s="173"/>
      <c r="BM52" s="173"/>
      <c r="BN52" s="173"/>
      <c r="BO52" s="324">
        <f t="shared" si="12"/>
        <v>272</v>
      </c>
      <c r="BP52" s="319">
        <v>40823</v>
      </c>
      <c r="BQ52" s="324">
        <v>280</v>
      </c>
      <c r="BR52" s="358"/>
      <c r="BS52" s="358">
        <v>8</v>
      </c>
      <c r="BT52" s="319">
        <v>40469</v>
      </c>
      <c r="BU52" s="324">
        <v>291</v>
      </c>
      <c r="BV52" s="358">
        <v>43.570952380952384</v>
      </c>
      <c r="BW52" s="358">
        <v>8</v>
      </c>
      <c r="BX52" s="319">
        <v>40057</v>
      </c>
      <c r="BY52" s="217">
        <v>244</v>
      </c>
      <c r="BZ52" s="219"/>
      <c r="CA52" s="262">
        <v>4</v>
      </c>
      <c r="CB52" s="218">
        <v>39616</v>
      </c>
      <c r="CC52" s="217">
        <f t="shared" si="8"/>
        <v>169</v>
      </c>
      <c r="CD52" s="219">
        <v>51.155999999999999</v>
      </c>
      <c r="CE52" s="217">
        <v>3</v>
      </c>
      <c r="CF52" s="220">
        <v>39328</v>
      </c>
      <c r="CG52" s="217">
        <f t="shared" si="9"/>
        <v>246</v>
      </c>
      <c r="CH52" s="211"/>
      <c r="CI52" s="262">
        <v>3.4</v>
      </c>
      <c r="CJ52" s="319"/>
      <c r="CK52" s="211"/>
      <c r="CL52" s="211"/>
      <c r="CM52" s="258"/>
      <c r="CN52" s="173"/>
      <c r="CO52" s="173"/>
      <c r="CP52" s="173"/>
      <c r="CQ52" s="173"/>
      <c r="CR52" s="173"/>
      <c r="CS52" s="173"/>
      <c r="CT52" s="173"/>
      <c r="CU52" s="173"/>
    </row>
    <row r="53" spans="1:99" s="4" customFormat="1">
      <c r="A53" s="16" t="s">
        <v>31</v>
      </c>
      <c r="B53" s="21">
        <v>41190</v>
      </c>
      <c r="C53" s="22" t="s">
        <v>72</v>
      </c>
      <c r="D53" s="265"/>
      <c r="E53" s="266"/>
      <c r="F53" s="266"/>
      <c r="G53" s="266"/>
      <c r="H53" s="267"/>
      <c r="I53" s="268"/>
      <c r="J53" s="269"/>
      <c r="K53" s="290">
        <v>8</v>
      </c>
      <c r="L53" s="265"/>
      <c r="M53" s="266"/>
      <c r="N53" s="266"/>
      <c r="O53" s="266"/>
      <c r="P53" s="271"/>
      <c r="Q53" s="268"/>
      <c r="R53" s="269"/>
      <c r="S53" s="290">
        <v>7</v>
      </c>
      <c r="T53" s="265"/>
      <c r="U53" s="266"/>
      <c r="V53" s="266"/>
      <c r="W53" s="266"/>
      <c r="X53" s="271"/>
      <c r="Y53" s="268"/>
      <c r="Z53" s="269"/>
      <c r="AA53" s="290">
        <v>7</v>
      </c>
      <c r="AB53" s="265"/>
      <c r="AC53" s="266"/>
      <c r="AD53" s="266"/>
      <c r="AE53" s="266"/>
      <c r="AF53" s="271"/>
      <c r="AG53" s="268"/>
      <c r="AH53" s="269"/>
      <c r="AI53" s="290">
        <v>8</v>
      </c>
      <c r="AJ53" s="265"/>
      <c r="AK53" s="266"/>
      <c r="AL53" s="266"/>
      <c r="AM53" s="266"/>
      <c r="AN53" s="271"/>
      <c r="AO53" s="268"/>
      <c r="AP53" s="269"/>
      <c r="AQ53" s="290">
        <v>7</v>
      </c>
      <c r="AR53" s="272"/>
      <c r="AS53" s="268"/>
      <c r="AT53" s="268"/>
      <c r="AU53" s="268"/>
      <c r="AV53" s="273"/>
      <c r="AW53" s="268"/>
      <c r="AX53" s="269"/>
      <c r="AY53" s="45">
        <v>8</v>
      </c>
      <c r="AZ53" s="19">
        <f t="shared" si="6"/>
        <v>52.262857142857136</v>
      </c>
      <c r="BA53" s="227">
        <f t="shared" si="11"/>
        <v>7.4</v>
      </c>
      <c r="BB53" s="173"/>
      <c r="BC53" s="173"/>
      <c r="BD53" s="173"/>
      <c r="BE53" s="173"/>
      <c r="BF53" s="173"/>
      <c r="BG53" s="173"/>
      <c r="BH53" s="173"/>
      <c r="BI53" s="173"/>
      <c r="BJ53" s="173"/>
      <c r="BK53" s="173"/>
      <c r="BL53" s="173"/>
      <c r="BM53" s="173"/>
      <c r="BN53" s="173"/>
      <c r="BO53" s="324">
        <f t="shared" si="12"/>
        <v>282</v>
      </c>
      <c r="BP53" s="319"/>
      <c r="BQ53" s="324">
        <v>280</v>
      </c>
      <c r="BR53" s="358"/>
      <c r="BS53" s="358">
        <v>8</v>
      </c>
      <c r="BT53" s="319"/>
      <c r="BU53" s="324">
        <v>291</v>
      </c>
      <c r="BV53" s="358">
        <v>43.570952380952384</v>
      </c>
      <c r="BW53" s="358">
        <v>8</v>
      </c>
      <c r="BX53" s="319">
        <v>40070</v>
      </c>
      <c r="BY53" s="217">
        <v>257</v>
      </c>
      <c r="BZ53" s="219"/>
      <c r="CA53" s="262">
        <v>4.8</v>
      </c>
      <c r="CB53" s="218">
        <v>39624</v>
      </c>
      <c r="CC53" s="217">
        <f t="shared" si="8"/>
        <v>177</v>
      </c>
      <c r="CD53" s="219">
        <v>48.496000000000002</v>
      </c>
      <c r="CE53" s="217">
        <v>3</v>
      </c>
      <c r="CF53" s="220">
        <v>39335</v>
      </c>
      <c r="CG53" s="217">
        <f t="shared" si="9"/>
        <v>253</v>
      </c>
      <c r="CH53" s="211"/>
      <c r="CI53" s="262">
        <v>4</v>
      </c>
      <c r="CJ53" s="319"/>
      <c r="CK53" s="211"/>
      <c r="CL53" s="211"/>
      <c r="CM53" s="258"/>
      <c r="CN53" s="173"/>
      <c r="CO53" s="173"/>
      <c r="CP53" s="173"/>
      <c r="CQ53" s="173"/>
      <c r="CR53" s="173"/>
      <c r="CS53" s="173"/>
      <c r="CT53" s="173"/>
      <c r="CU53" s="173"/>
    </row>
    <row r="54" spans="1:99" s="4" customFormat="1">
      <c r="A54" s="16" t="s">
        <v>31</v>
      </c>
      <c r="B54" s="21">
        <v>41197</v>
      </c>
      <c r="C54" s="22" t="s">
        <v>72</v>
      </c>
      <c r="D54" s="265"/>
      <c r="E54" s="266"/>
      <c r="F54" s="266"/>
      <c r="G54" s="266"/>
      <c r="H54" s="267"/>
      <c r="I54" s="268"/>
      <c r="J54" s="269"/>
      <c r="K54" s="290">
        <v>8</v>
      </c>
      <c r="L54" s="265"/>
      <c r="M54" s="266"/>
      <c r="N54" s="266"/>
      <c r="O54" s="266"/>
      <c r="P54" s="271"/>
      <c r="Q54" s="268"/>
      <c r="R54" s="269"/>
      <c r="S54" s="290">
        <v>8</v>
      </c>
      <c r="T54" s="265"/>
      <c r="U54" s="266"/>
      <c r="V54" s="266"/>
      <c r="W54" s="266"/>
      <c r="X54" s="271"/>
      <c r="Y54" s="268"/>
      <c r="Z54" s="269"/>
      <c r="AA54" s="290">
        <v>8</v>
      </c>
      <c r="AB54" s="265"/>
      <c r="AC54" s="266"/>
      <c r="AD54" s="266"/>
      <c r="AE54" s="266"/>
      <c r="AF54" s="271"/>
      <c r="AG54" s="268"/>
      <c r="AH54" s="269"/>
      <c r="AI54" s="290">
        <v>8</v>
      </c>
      <c r="AJ54" s="265"/>
      <c r="AK54" s="266"/>
      <c r="AL54" s="266"/>
      <c r="AM54" s="266"/>
      <c r="AN54" s="271"/>
      <c r="AO54" s="268"/>
      <c r="AP54" s="269"/>
      <c r="AQ54" s="290">
        <v>8</v>
      </c>
      <c r="AR54" s="272"/>
      <c r="AS54" s="268"/>
      <c r="AT54" s="268"/>
      <c r="AU54" s="268"/>
      <c r="AV54" s="273"/>
      <c r="AW54" s="268"/>
      <c r="AX54" s="269"/>
      <c r="AY54" s="45">
        <v>8</v>
      </c>
      <c r="AZ54" s="19">
        <f t="shared" si="6"/>
        <v>52.262857142857136</v>
      </c>
      <c r="BA54" s="227">
        <f t="shared" si="11"/>
        <v>8</v>
      </c>
      <c r="BB54" s="173"/>
      <c r="BC54" s="173"/>
      <c r="BD54" s="173"/>
      <c r="BE54" s="173"/>
      <c r="BF54" s="173"/>
      <c r="BG54" s="173"/>
      <c r="BH54" s="173"/>
      <c r="BI54" s="173"/>
      <c r="BJ54" s="173"/>
      <c r="BK54" s="173"/>
      <c r="BL54" s="173"/>
      <c r="BM54" s="173"/>
      <c r="BN54" s="173"/>
      <c r="BO54" s="324">
        <f t="shared" si="12"/>
        <v>289</v>
      </c>
      <c r="BP54" s="319"/>
      <c r="BQ54" s="324">
        <v>280</v>
      </c>
      <c r="BR54" s="358"/>
      <c r="BS54" s="358">
        <v>8</v>
      </c>
      <c r="BT54" s="319"/>
      <c r="BU54" s="324">
        <v>291</v>
      </c>
      <c r="BV54" s="358">
        <v>43.570952380952384</v>
      </c>
      <c r="BW54" s="358">
        <v>8</v>
      </c>
      <c r="BX54" s="319">
        <v>40077</v>
      </c>
      <c r="BY54" s="217">
        <v>264</v>
      </c>
      <c r="BZ54" s="219"/>
      <c r="CA54" s="262">
        <v>6.2</v>
      </c>
      <c r="CB54" s="218">
        <v>39693</v>
      </c>
      <c r="CC54" s="217">
        <f t="shared" si="8"/>
        <v>246</v>
      </c>
      <c r="CD54" s="219"/>
      <c r="CE54" s="217">
        <v>3.4</v>
      </c>
      <c r="CF54" s="220">
        <v>39342</v>
      </c>
      <c r="CG54" s="217">
        <f t="shared" si="9"/>
        <v>260</v>
      </c>
      <c r="CH54" s="211"/>
      <c r="CI54" s="262">
        <v>4.4000000000000004</v>
      </c>
      <c r="CJ54" s="319"/>
      <c r="CK54" s="211"/>
      <c r="CL54" s="211"/>
      <c r="CM54" s="258"/>
      <c r="CN54" s="173"/>
      <c r="CO54" s="173"/>
      <c r="CP54" s="173"/>
      <c r="CQ54" s="173"/>
      <c r="CR54" s="173"/>
      <c r="CS54" s="173"/>
      <c r="CT54" s="173"/>
      <c r="CU54" s="173"/>
    </row>
    <row r="55" spans="1:99" s="4" customFormat="1">
      <c r="A55" s="16" t="s">
        <v>31</v>
      </c>
      <c r="B55" s="21"/>
      <c r="C55" s="22"/>
      <c r="D55" s="265"/>
      <c r="E55" s="266"/>
      <c r="F55" s="266"/>
      <c r="G55" s="266"/>
      <c r="H55" s="267"/>
      <c r="I55" s="268"/>
      <c r="J55" s="269"/>
      <c r="K55" s="290"/>
      <c r="L55" s="265"/>
      <c r="M55" s="266"/>
      <c r="N55" s="266"/>
      <c r="O55" s="266"/>
      <c r="P55" s="271"/>
      <c r="Q55" s="268"/>
      <c r="R55" s="269"/>
      <c r="S55" s="290"/>
      <c r="T55" s="265"/>
      <c r="U55" s="266"/>
      <c r="V55" s="266"/>
      <c r="W55" s="266"/>
      <c r="X55" s="271"/>
      <c r="Y55" s="268"/>
      <c r="Z55" s="269"/>
      <c r="AA55" s="290"/>
      <c r="AB55" s="265"/>
      <c r="AC55" s="266"/>
      <c r="AD55" s="266"/>
      <c r="AE55" s="266"/>
      <c r="AF55" s="271"/>
      <c r="AG55" s="268"/>
      <c r="AH55" s="269"/>
      <c r="AI55" s="290"/>
      <c r="AJ55" s="265"/>
      <c r="AK55" s="266"/>
      <c r="AL55" s="266"/>
      <c r="AM55" s="266"/>
      <c r="AN55" s="271"/>
      <c r="AO55" s="268"/>
      <c r="AP55" s="269"/>
      <c r="AQ55" s="290"/>
      <c r="AR55" s="272"/>
      <c r="AS55" s="268"/>
      <c r="AT55" s="268"/>
      <c r="AU55" s="268"/>
      <c r="AV55" s="273"/>
      <c r="AW55" s="268"/>
      <c r="AX55" s="269"/>
      <c r="AY55" s="45"/>
      <c r="AZ55" s="19">
        <f t="shared" si="6"/>
        <v>52.262857142857136</v>
      </c>
      <c r="BA55" s="227">
        <f t="shared" si="11"/>
        <v>8</v>
      </c>
      <c r="BB55" s="173"/>
      <c r="BC55" s="173"/>
      <c r="BD55" s="173"/>
      <c r="BE55" s="173"/>
      <c r="BF55" s="173"/>
      <c r="BG55" s="173"/>
      <c r="BH55" s="173"/>
      <c r="BI55" s="173"/>
      <c r="BJ55" s="173"/>
      <c r="BK55" s="173"/>
      <c r="BL55" s="173"/>
      <c r="BM55" s="173"/>
      <c r="BN55" s="173"/>
      <c r="BO55" s="324">
        <f t="shared" si="12"/>
        <v>289</v>
      </c>
      <c r="BP55" s="319"/>
      <c r="BQ55" s="324">
        <v>280</v>
      </c>
      <c r="BR55" s="358"/>
      <c r="BS55" s="358">
        <v>8</v>
      </c>
      <c r="BT55" s="319"/>
      <c r="BU55" s="324">
        <v>291</v>
      </c>
      <c r="BV55" s="358">
        <v>43.570952380952384</v>
      </c>
      <c r="BW55" s="358">
        <v>8</v>
      </c>
      <c r="BX55" s="319">
        <v>40084</v>
      </c>
      <c r="BY55" s="217">
        <v>271</v>
      </c>
      <c r="BZ55" s="219"/>
      <c r="CA55" s="262">
        <v>7</v>
      </c>
      <c r="CB55" s="218">
        <v>39699</v>
      </c>
      <c r="CC55" s="217">
        <f t="shared" si="8"/>
        <v>252</v>
      </c>
      <c r="CD55" s="219"/>
      <c r="CE55" s="217">
        <v>4</v>
      </c>
      <c r="CF55" s="220">
        <v>39346</v>
      </c>
      <c r="CG55" s="217">
        <f t="shared" si="9"/>
        <v>264</v>
      </c>
      <c r="CH55" s="211"/>
      <c r="CI55" s="262">
        <v>5</v>
      </c>
      <c r="CJ55" s="319"/>
      <c r="CK55" s="211"/>
      <c r="CL55" s="211"/>
      <c r="CM55" s="258"/>
      <c r="CN55" s="173"/>
      <c r="CO55" s="173"/>
      <c r="CP55" s="173"/>
      <c r="CQ55" s="173"/>
      <c r="CR55" s="173"/>
      <c r="CS55" s="173"/>
      <c r="CT55" s="173"/>
      <c r="CU55" s="173"/>
    </row>
    <row r="56" spans="1:99" s="4" customFormat="1">
      <c r="A56" s="16" t="s">
        <v>31</v>
      </c>
      <c r="B56" s="21"/>
      <c r="C56" s="22"/>
      <c r="D56" s="265"/>
      <c r="E56" s="266"/>
      <c r="F56" s="266"/>
      <c r="G56" s="266"/>
      <c r="H56" s="267"/>
      <c r="I56" s="268"/>
      <c r="J56" s="269"/>
      <c r="K56" s="290"/>
      <c r="L56" s="265"/>
      <c r="M56" s="266"/>
      <c r="N56" s="266"/>
      <c r="O56" s="266"/>
      <c r="P56" s="271"/>
      <c r="Q56" s="268"/>
      <c r="R56" s="269"/>
      <c r="S56" s="290"/>
      <c r="T56" s="265"/>
      <c r="U56" s="266"/>
      <c r="V56" s="266"/>
      <c r="W56" s="266"/>
      <c r="X56" s="271"/>
      <c r="Y56" s="268"/>
      <c r="Z56" s="269"/>
      <c r="AA56" s="290"/>
      <c r="AB56" s="265"/>
      <c r="AC56" s="266"/>
      <c r="AD56" s="266"/>
      <c r="AE56" s="266"/>
      <c r="AF56" s="271"/>
      <c r="AG56" s="268"/>
      <c r="AH56" s="269"/>
      <c r="AI56" s="290"/>
      <c r="AJ56" s="265"/>
      <c r="AK56" s="266"/>
      <c r="AL56" s="266"/>
      <c r="AM56" s="266"/>
      <c r="AN56" s="271"/>
      <c r="AO56" s="268"/>
      <c r="AP56" s="269"/>
      <c r="AQ56" s="290"/>
      <c r="AR56" s="272"/>
      <c r="AS56" s="268"/>
      <c r="AT56" s="268"/>
      <c r="AU56" s="268"/>
      <c r="AV56" s="273"/>
      <c r="AW56" s="268"/>
      <c r="AX56" s="269"/>
      <c r="AY56" s="45"/>
      <c r="AZ56" s="19">
        <f t="shared" si="6"/>
        <v>52.262857142857136</v>
      </c>
      <c r="BA56" s="227">
        <f t="shared" si="11"/>
        <v>8</v>
      </c>
      <c r="BB56" s="173"/>
      <c r="BC56" s="173"/>
      <c r="BD56" s="173"/>
      <c r="BE56" s="173"/>
      <c r="BF56" s="173"/>
      <c r="BG56" s="173"/>
      <c r="BH56" s="173"/>
      <c r="BI56" s="173"/>
      <c r="BJ56" s="173"/>
      <c r="BK56" s="173"/>
      <c r="BL56" s="173"/>
      <c r="BM56" s="173"/>
      <c r="BN56" s="173"/>
      <c r="BO56" s="324">
        <f t="shared" si="12"/>
        <v>289</v>
      </c>
      <c r="BP56" s="319"/>
      <c r="BQ56" s="324">
        <v>280</v>
      </c>
      <c r="BR56" s="358"/>
      <c r="BS56" s="358">
        <v>8</v>
      </c>
      <c r="BT56" s="319"/>
      <c r="BU56" s="324">
        <v>291</v>
      </c>
      <c r="BV56" s="358">
        <v>43.570952380952384</v>
      </c>
      <c r="BW56" s="358">
        <v>8</v>
      </c>
      <c r="BX56" s="319">
        <v>40100</v>
      </c>
      <c r="BY56" s="217">
        <v>287</v>
      </c>
      <c r="BZ56" s="219"/>
      <c r="CA56" s="262">
        <v>8</v>
      </c>
      <c r="CB56" s="218">
        <v>39710</v>
      </c>
      <c r="CC56" s="217">
        <f t="shared" si="8"/>
        <v>263</v>
      </c>
      <c r="CD56" s="219"/>
      <c r="CE56" s="217">
        <v>5</v>
      </c>
      <c r="CF56" s="220">
        <v>39360</v>
      </c>
      <c r="CG56" s="217">
        <f t="shared" si="9"/>
        <v>278</v>
      </c>
      <c r="CH56" s="211"/>
      <c r="CI56" s="262">
        <v>7.8</v>
      </c>
      <c r="CJ56" s="319"/>
      <c r="CK56" s="211"/>
      <c r="CL56" s="211"/>
      <c r="CM56" s="258"/>
      <c r="CN56" s="173"/>
      <c r="CO56" s="173"/>
      <c r="CP56" s="173"/>
      <c r="CQ56" s="173"/>
      <c r="CR56" s="173"/>
      <c r="CS56" s="173"/>
      <c r="CT56" s="173"/>
      <c r="CU56" s="173"/>
    </row>
    <row r="57" spans="1:99" s="4" customFormat="1">
      <c r="A57" s="16" t="s">
        <v>31</v>
      </c>
      <c r="B57" s="21"/>
      <c r="C57" s="22"/>
      <c r="D57" s="265"/>
      <c r="E57" s="266"/>
      <c r="F57" s="266"/>
      <c r="G57" s="266"/>
      <c r="H57" s="267"/>
      <c r="I57" s="268"/>
      <c r="J57" s="269"/>
      <c r="K57" s="290"/>
      <c r="L57" s="265"/>
      <c r="M57" s="266"/>
      <c r="N57" s="266"/>
      <c r="O57" s="266"/>
      <c r="P57" s="271"/>
      <c r="Q57" s="268"/>
      <c r="R57" s="269"/>
      <c r="S57" s="290"/>
      <c r="T57" s="265"/>
      <c r="U57" s="266"/>
      <c r="V57" s="266"/>
      <c r="W57" s="266"/>
      <c r="X57" s="271"/>
      <c r="Y57" s="268"/>
      <c r="Z57" s="269"/>
      <c r="AA57" s="290"/>
      <c r="AB57" s="265"/>
      <c r="AC57" s="266"/>
      <c r="AD57" s="266"/>
      <c r="AE57" s="266"/>
      <c r="AF57" s="271"/>
      <c r="AG57" s="268"/>
      <c r="AH57" s="269"/>
      <c r="AI57" s="290"/>
      <c r="AJ57" s="265"/>
      <c r="AK57" s="266"/>
      <c r="AL57" s="266"/>
      <c r="AM57" s="266"/>
      <c r="AN57" s="271"/>
      <c r="AO57" s="268"/>
      <c r="AP57" s="269"/>
      <c r="AQ57" s="290"/>
      <c r="AR57" s="272"/>
      <c r="AS57" s="268"/>
      <c r="AT57" s="268"/>
      <c r="AU57" s="268"/>
      <c r="AV57" s="273"/>
      <c r="AW57" s="268"/>
      <c r="AX57" s="269"/>
      <c r="AY57" s="45"/>
      <c r="AZ57" s="19">
        <f t="shared" si="6"/>
        <v>52.262857142857136</v>
      </c>
      <c r="BA57" s="227">
        <f t="shared" si="11"/>
        <v>8</v>
      </c>
      <c r="BB57" s="173"/>
      <c r="BC57" s="173"/>
      <c r="BD57" s="173"/>
      <c r="BE57" s="173"/>
      <c r="BF57" s="173"/>
      <c r="BG57" s="173"/>
      <c r="BH57" s="173"/>
      <c r="BI57" s="173"/>
      <c r="BJ57" s="173"/>
      <c r="BK57" s="173"/>
      <c r="BL57" s="173"/>
      <c r="BM57" s="173"/>
      <c r="BN57" s="173"/>
      <c r="BO57" s="324">
        <f t="shared" si="12"/>
        <v>289</v>
      </c>
      <c r="BP57" s="319"/>
      <c r="BQ57" s="324">
        <v>280</v>
      </c>
      <c r="BR57" s="358"/>
      <c r="BS57" s="358">
        <v>8</v>
      </c>
      <c r="BT57" s="319"/>
      <c r="BU57" s="324">
        <v>291</v>
      </c>
      <c r="BV57" s="358">
        <v>43.570952380952384</v>
      </c>
      <c r="BW57" s="358">
        <v>8</v>
      </c>
      <c r="BX57" s="319"/>
      <c r="BY57" s="217"/>
      <c r="BZ57" s="219"/>
      <c r="CA57" s="262"/>
      <c r="CB57" s="218">
        <v>39717</v>
      </c>
      <c r="CC57" s="217">
        <f t="shared" si="8"/>
        <v>270</v>
      </c>
      <c r="CD57" s="219"/>
      <c r="CE57" s="217">
        <v>6</v>
      </c>
      <c r="CF57" s="220">
        <v>39363</v>
      </c>
      <c r="CG57" s="217">
        <f t="shared" si="9"/>
        <v>281</v>
      </c>
      <c r="CH57" s="211"/>
      <c r="CI57" s="262">
        <v>8</v>
      </c>
      <c r="CJ57" s="319"/>
      <c r="CK57" s="211"/>
      <c r="CL57" s="211"/>
      <c r="CM57" s="258"/>
      <c r="CN57" s="173"/>
      <c r="CO57" s="173"/>
      <c r="CP57" s="173"/>
      <c r="CQ57" s="173"/>
      <c r="CR57" s="173"/>
      <c r="CS57" s="173"/>
      <c r="CT57" s="173"/>
      <c r="CU57" s="173"/>
    </row>
    <row r="58" spans="1:99" s="4" customFormat="1">
      <c r="A58" s="16" t="s">
        <v>31</v>
      </c>
      <c r="B58" s="21"/>
      <c r="C58" s="22"/>
      <c r="D58" s="265"/>
      <c r="E58" s="266"/>
      <c r="F58" s="266"/>
      <c r="G58" s="266"/>
      <c r="H58" s="267"/>
      <c r="I58" s="268"/>
      <c r="J58" s="269"/>
      <c r="K58" s="290"/>
      <c r="L58" s="265"/>
      <c r="M58" s="266"/>
      <c r="N58" s="266"/>
      <c r="O58" s="266"/>
      <c r="P58" s="271"/>
      <c r="Q58" s="268"/>
      <c r="R58" s="269"/>
      <c r="S58" s="290"/>
      <c r="T58" s="265"/>
      <c r="U58" s="266"/>
      <c r="V58" s="266"/>
      <c r="W58" s="266"/>
      <c r="X58" s="271"/>
      <c r="Y58" s="268"/>
      <c r="Z58" s="269"/>
      <c r="AA58" s="290"/>
      <c r="AB58" s="265"/>
      <c r="AC58" s="266"/>
      <c r="AD58" s="266"/>
      <c r="AE58" s="266"/>
      <c r="AF58" s="271"/>
      <c r="AG58" s="268"/>
      <c r="AH58" s="269"/>
      <c r="AI58" s="290"/>
      <c r="AJ58" s="265"/>
      <c r="AK58" s="266"/>
      <c r="AL58" s="266"/>
      <c r="AM58" s="266"/>
      <c r="AN58" s="271"/>
      <c r="AO58" s="268"/>
      <c r="AP58" s="269"/>
      <c r="AQ58" s="290"/>
      <c r="AR58" s="272"/>
      <c r="AS58" s="268"/>
      <c r="AT58" s="268"/>
      <c r="AU58" s="268"/>
      <c r="AV58" s="273"/>
      <c r="AW58" s="268"/>
      <c r="AX58" s="269"/>
      <c r="AY58" s="45"/>
      <c r="AZ58" s="19">
        <f t="shared" si="6"/>
        <v>52.262857142857136</v>
      </c>
      <c r="BA58" s="227">
        <f t="shared" si="11"/>
        <v>8</v>
      </c>
      <c r="BB58" s="173"/>
      <c r="BC58" s="173"/>
      <c r="BD58" s="173"/>
      <c r="BE58" s="173"/>
      <c r="BF58" s="173"/>
      <c r="BG58" s="173"/>
      <c r="BH58" s="173"/>
      <c r="BI58" s="173"/>
      <c r="BJ58" s="173"/>
      <c r="BK58" s="173"/>
      <c r="BL58" s="173"/>
      <c r="BM58" s="173"/>
      <c r="BN58" s="173"/>
      <c r="BO58" s="324">
        <f t="shared" si="12"/>
        <v>289</v>
      </c>
      <c r="BP58" s="319"/>
      <c r="BQ58" s="324">
        <v>280</v>
      </c>
      <c r="BR58" s="358"/>
      <c r="BS58" s="358">
        <v>8</v>
      </c>
      <c r="BT58" s="319"/>
      <c r="BU58" s="324">
        <v>291</v>
      </c>
      <c r="BV58" s="358">
        <v>43.570952380952384</v>
      </c>
      <c r="BW58" s="358">
        <v>8</v>
      </c>
      <c r="BX58" s="319"/>
      <c r="BY58" s="217"/>
      <c r="BZ58" s="219"/>
      <c r="CA58" s="262"/>
      <c r="CB58" s="218">
        <v>39721</v>
      </c>
      <c r="CC58" s="217">
        <f t="shared" si="8"/>
        <v>274</v>
      </c>
      <c r="CD58" s="219"/>
      <c r="CE58" s="217">
        <v>6.8</v>
      </c>
      <c r="CF58" s="220"/>
      <c r="CG58" s="211"/>
      <c r="CH58" s="211"/>
      <c r="CI58" s="262"/>
      <c r="CJ58" s="319"/>
      <c r="CK58" s="211"/>
      <c r="CL58" s="211"/>
      <c r="CM58" s="258"/>
      <c r="CN58" s="173"/>
      <c r="CO58" s="173"/>
      <c r="CP58" s="173"/>
      <c r="CQ58" s="173"/>
      <c r="CR58" s="173"/>
      <c r="CS58" s="173"/>
      <c r="CT58" s="173"/>
      <c r="CU58" s="173"/>
    </row>
    <row r="59" spans="1:99" s="4" customFormat="1">
      <c r="A59" s="16" t="s">
        <v>31</v>
      </c>
      <c r="B59" s="21"/>
      <c r="C59" s="22"/>
      <c r="D59" s="265"/>
      <c r="E59" s="266"/>
      <c r="F59" s="266"/>
      <c r="G59" s="266"/>
      <c r="H59" s="267"/>
      <c r="I59" s="268"/>
      <c r="J59" s="269"/>
      <c r="K59" s="290"/>
      <c r="L59" s="265"/>
      <c r="M59" s="266"/>
      <c r="N59" s="266"/>
      <c r="O59" s="266"/>
      <c r="P59" s="271"/>
      <c r="Q59" s="268"/>
      <c r="R59" s="269"/>
      <c r="S59" s="290"/>
      <c r="T59" s="265"/>
      <c r="U59" s="266"/>
      <c r="V59" s="266"/>
      <c r="W59" s="266"/>
      <c r="X59" s="271"/>
      <c r="Y59" s="268"/>
      <c r="Z59" s="269"/>
      <c r="AA59" s="290"/>
      <c r="AB59" s="265"/>
      <c r="AC59" s="266"/>
      <c r="AD59" s="266"/>
      <c r="AE59" s="266"/>
      <c r="AF59" s="271"/>
      <c r="AG59" s="268"/>
      <c r="AH59" s="269"/>
      <c r="AI59" s="290"/>
      <c r="AJ59" s="265"/>
      <c r="AK59" s="266"/>
      <c r="AL59" s="266"/>
      <c r="AM59" s="266"/>
      <c r="AN59" s="271"/>
      <c r="AO59" s="268"/>
      <c r="AP59" s="269"/>
      <c r="AQ59" s="290"/>
      <c r="AR59" s="272"/>
      <c r="AS59" s="268"/>
      <c r="AT59" s="268"/>
      <c r="AU59" s="268"/>
      <c r="AV59" s="273"/>
      <c r="AW59" s="268"/>
      <c r="AX59" s="269"/>
      <c r="AY59" s="45"/>
      <c r="AZ59" s="19">
        <f t="shared" si="6"/>
        <v>52.262857142857136</v>
      </c>
      <c r="BA59" s="227">
        <f t="shared" si="11"/>
        <v>8</v>
      </c>
      <c r="BB59" s="173"/>
      <c r="BC59" s="173"/>
      <c r="BD59" s="173"/>
      <c r="BE59" s="173"/>
      <c r="BF59" s="173"/>
      <c r="BG59" s="173"/>
      <c r="BH59" s="173"/>
      <c r="BI59" s="173"/>
      <c r="BJ59" s="173"/>
      <c r="BK59" s="173"/>
      <c r="BL59" s="173"/>
      <c r="BM59" s="173"/>
      <c r="BN59" s="173"/>
      <c r="BO59" s="324">
        <f t="shared" si="12"/>
        <v>289</v>
      </c>
      <c r="BP59" s="319"/>
      <c r="BQ59" s="324">
        <v>280</v>
      </c>
      <c r="BR59" s="358"/>
      <c r="BS59" s="358">
        <v>8</v>
      </c>
      <c r="BT59" s="319"/>
      <c r="BU59" s="324">
        <v>291</v>
      </c>
      <c r="BV59" s="358">
        <v>43.570952380952384</v>
      </c>
      <c r="BW59" s="358">
        <v>8</v>
      </c>
      <c r="BX59" s="319"/>
      <c r="BY59" s="217"/>
      <c r="BZ59" s="219"/>
      <c r="CA59" s="262"/>
      <c r="CB59" s="218">
        <v>39727</v>
      </c>
      <c r="CC59" s="217">
        <f t="shared" si="8"/>
        <v>280</v>
      </c>
      <c r="CD59" s="219"/>
      <c r="CE59" s="217">
        <v>7.4</v>
      </c>
      <c r="CF59" s="220"/>
      <c r="CG59" s="211"/>
      <c r="CH59" s="211"/>
      <c r="CI59" s="262"/>
      <c r="CJ59" s="319"/>
      <c r="CK59" s="211"/>
      <c r="CL59" s="211"/>
      <c r="CM59" s="258"/>
      <c r="CN59" s="173"/>
      <c r="CO59" s="173"/>
      <c r="CP59" s="173"/>
      <c r="CQ59" s="173"/>
      <c r="CR59" s="173"/>
      <c r="CS59" s="173"/>
      <c r="CT59" s="173"/>
      <c r="CU59" s="173"/>
    </row>
    <row r="60" spans="1:99" s="4" customFormat="1">
      <c r="A60" s="16" t="s">
        <v>31</v>
      </c>
      <c r="B60" s="21"/>
      <c r="C60" s="22"/>
      <c r="D60" s="265"/>
      <c r="E60" s="266"/>
      <c r="F60" s="266"/>
      <c r="G60" s="266"/>
      <c r="H60" s="267"/>
      <c r="I60" s="268"/>
      <c r="J60" s="269"/>
      <c r="K60" s="290"/>
      <c r="L60" s="265"/>
      <c r="M60" s="266"/>
      <c r="N60" s="266"/>
      <c r="O60" s="266"/>
      <c r="P60" s="271"/>
      <c r="Q60" s="268"/>
      <c r="R60" s="269"/>
      <c r="S60" s="290"/>
      <c r="T60" s="265"/>
      <c r="U60" s="266"/>
      <c r="V60" s="266"/>
      <c r="W60" s="266"/>
      <c r="X60" s="271"/>
      <c r="Y60" s="268"/>
      <c r="Z60" s="269"/>
      <c r="AA60" s="290"/>
      <c r="AB60" s="265"/>
      <c r="AC60" s="266"/>
      <c r="AD60" s="266"/>
      <c r="AE60" s="266"/>
      <c r="AF60" s="271"/>
      <c r="AG60" s="268"/>
      <c r="AH60" s="269"/>
      <c r="AI60" s="290"/>
      <c r="AJ60" s="265"/>
      <c r="AK60" s="266"/>
      <c r="AL60" s="266"/>
      <c r="AM60" s="266"/>
      <c r="AN60" s="271"/>
      <c r="AO60" s="268"/>
      <c r="AP60" s="269"/>
      <c r="AQ60" s="290"/>
      <c r="AR60" s="272"/>
      <c r="AS60" s="268"/>
      <c r="AT60" s="268"/>
      <c r="AU60" s="268"/>
      <c r="AV60" s="273"/>
      <c r="AW60" s="268"/>
      <c r="AX60" s="269"/>
      <c r="AY60" s="45"/>
      <c r="AZ60" s="19">
        <f t="shared" si="6"/>
        <v>52.262857142857136</v>
      </c>
      <c r="BA60" s="227">
        <f t="shared" si="11"/>
        <v>8</v>
      </c>
      <c r="BB60" s="173"/>
      <c r="BC60" s="173"/>
      <c r="BD60" s="173"/>
      <c r="BE60" s="173"/>
      <c r="BF60" s="173"/>
      <c r="BG60" s="173"/>
      <c r="BH60" s="173"/>
      <c r="BI60" s="173"/>
      <c r="BJ60" s="173"/>
      <c r="BK60" s="173"/>
      <c r="BL60" s="173"/>
      <c r="BM60" s="173"/>
      <c r="BN60" s="173"/>
      <c r="BO60" s="324">
        <f t="shared" si="12"/>
        <v>289</v>
      </c>
      <c r="BP60" s="319"/>
      <c r="BQ60" s="324">
        <v>280</v>
      </c>
      <c r="BR60" s="358"/>
      <c r="BS60" s="358">
        <v>8</v>
      </c>
      <c r="BT60" s="319"/>
      <c r="BU60" s="324">
        <v>291</v>
      </c>
      <c r="BV60" s="358">
        <v>43.570952380952384</v>
      </c>
      <c r="BW60" s="358">
        <v>8</v>
      </c>
      <c r="BX60" s="319"/>
      <c r="BY60" s="217"/>
      <c r="BZ60" s="219"/>
      <c r="CA60" s="262"/>
      <c r="CB60" s="218">
        <v>39734</v>
      </c>
      <c r="CC60" s="217">
        <f t="shared" si="8"/>
        <v>287</v>
      </c>
      <c r="CD60" s="219"/>
      <c r="CE60" s="217">
        <v>8</v>
      </c>
      <c r="CF60" s="220"/>
      <c r="CG60" s="211"/>
      <c r="CH60" s="211"/>
      <c r="CI60" s="262"/>
      <c r="CJ60" s="319"/>
      <c r="CK60" s="211"/>
      <c r="CL60" s="211"/>
      <c r="CM60" s="258"/>
      <c r="CN60" s="173"/>
      <c r="CO60" s="173"/>
      <c r="CP60" s="173"/>
      <c r="CQ60" s="173"/>
      <c r="CR60" s="173"/>
      <c r="CS60" s="173"/>
      <c r="CT60" s="173"/>
      <c r="CU60" s="173"/>
    </row>
    <row r="61" spans="1:99" s="4" customFormat="1">
      <c r="A61" s="16" t="s">
        <v>31</v>
      </c>
      <c r="B61" s="21"/>
      <c r="C61" s="22"/>
      <c r="D61" s="265"/>
      <c r="E61" s="266"/>
      <c r="F61" s="266"/>
      <c r="G61" s="266"/>
      <c r="H61" s="267"/>
      <c r="I61" s="268"/>
      <c r="J61" s="269"/>
      <c r="K61" s="290"/>
      <c r="L61" s="265"/>
      <c r="M61" s="266"/>
      <c r="N61" s="266"/>
      <c r="O61" s="266"/>
      <c r="P61" s="271"/>
      <c r="Q61" s="268"/>
      <c r="R61" s="269"/>
      <c r="S61" s="290"/>
      <c r="T61" s="265"/>
      <c r="U61" s="266"/>
      <c r="V61" s="266"/>
      <c r="W61" s="266"/>
      <c r="X61" s="271"/>
      <c r="Y61" s="268"/>
      <c r="Z61" s="269"/>
      <c r="AA61" s="290"/>
      <c r="AB61" s="265"/>
      <c r="AC61" s="266"/>
      <c r="AD61" s="266"/>
      <c r="AE61" s="266"/>
      <c r="AF61" s="271"/>
      <c r="AG61" s="268"/>
      <c r="AH61" s="269"/>
      <c r="AI61" s="290"/>
      <c r="AJ61" s="265"/>
      <c r="AK61" s="266"/>
      <c r="AL61" s="266"/>
      <c r="AM61" s="266"/>
      <c r="AN61" s="271"/>
      <c r="AO61" s="268"/>
      <c r="AP61" s="269"/>
      <c r="AQ61" s="290"/>
      <c r="AR61" s="272"/>
      <c r="AS61" s="268"/>
      <c r="AT61" s="268"/>
      <c r="AU61" s="268"/>
      <c r="AV61" s="273"/>
      <c r="AW61" s="268"/>
      <c r="AX61" s="269"/>
      <c r="AY61" s="45"/>
      <c r="AZ61" s="19">
        <f t="shared" si="6"/>
        <v>52.262857142857136</v>
      </c>
      <c r="BA61" s="227">
        <f t="shared" si="11"/>
        <v>8</v>
      </c>
      <c r="BB61" s="173"/>
      <c r="BC61" s="173"/>
      <c r="BD61" s="173"/>
      <c r="BE61" s="173"/>
      <c r="BF61" s="173"/>
      <c r="BG61" s="173"/>
      <c r="BH61" s="173"/>
      <c r="BI61" s="173"/>
      <c r="BJ61" s="173"/>
      <c r="BK61" s="173"/>
      <c r="BL61" s="173"/>
      <c r="BM61" s="173"/>
      <c r="BN61" s="173"/>
      <c r="BO61" s="324">
        <f t="shared" si="12"/>
        <v>289</v>
      </c>
      <c r="BP61" s="319"/>
      <c r="BQ61" s="324">
        <v>280</v>
      </c>
      <c r="BR61" s="358"/>
      <c r="BS61" s="358">
        <v>8</v>
      </c>
      <c r="BT61" s="319"/>
      <c r="BU61" s="324">
        <v>291</v>
      </c>
      <c r="BV61" s="358">
        <v>43.570952380952384</v>
      </c>
      <c r="BW61" s="358">
        <v>8</v>
      </c>
      <c r="BX61" s="319"/>
      <c r="BY61" s="217"/>
      <c r="BZ61" s="219"/>
      <c r="CA61" s="262"/>
      <c r="CB61" s="218"/>
      <c r="CC61" s="217"/>
      <c r="CD61" s="219"/>
      <c r="CE61" s="217"/>
      <c r="CF61" s="220"/>
      <c r="CG61" s="211"/>
      <c r="CH61" s="211"/>
      <c r="CI61" s="262"/>
      <c r="CJ61" s="319"/>
      <c r="CK61" s="211"/>
      <c r="CL61" s="211"/>
      <c r="CM61" s="258"/>
      <c r="CN61" s="173"/>
      <c r="CO61" s="173"/>
      <c r="CP61" s="173"/>
      <c r="CQ61" s="173"/>
      <c r="CR61" s="173"/>
      <c r="CS61" s="173"/>
      <c r="CT61" s="173"/>
      <c r="CU61" s="173"/>
    </row>
    <row r="62" spans="1:99" s="4" customFormat="1">
      <c r="A62" s="16" t="s">
        <v>31</v>
      </c>
      <c r="B62" s="21"/>
      <c r="C62" s="22"/>
      <c r="D62" s="265"/>
      <c r="E62" s="266"/>
      <c r="F62" s="266"/>
      <c r="G62" s="266"/>
      <c r="H62" s="267"/>
      <c r="I62" s="268"/>
      <c r="J62" s="269"/>
      <c r="K62" s="290"/>
      <c r="L62" s="265"/>
      <c r="M62" s="266"/>
      <c r="N62" s="266"/>
      <c r="O62" s="266"/>
      <c r="P62" s="271"/>
      <c r="Q62" s="268"/>
      <c r="R62" s="269"/>
      <c r="S62" s="290"/>
      <c r="T62" s="265"/>
      <c r="U62" s="266"/>
      <c r="V62" s="266"/>
      <c r="W62" s="266"/>
      <c r="X62" s="271"/>
      <c r="Y62" s="268"/>
      <c r="Z62" s="269"/>
      <c r="AA62" s="290"/>
      <c r="AB62" s="265"/>
      <c r="AC62" s="266"/>
      <c r="AD62" s="266"/>
      <c r="AE62" s="266"/>
      <c r="AF62" s="271"/>
      <c r="AG62" s="268"/>
      <c r="AH62" s="269"/>
      <c r="AI62" s="290"/>
      <c r="AJ62" s="265"/>
      <c r="AK62" s="266"/>
      <c r="AL62" s="266"/>
      <c r="AM62" s="266"/>
      <c r="AN62" s="271"/>
      <c r="AO62" s="268"/>
      <c r="AP62" s="269"/>
      <c r="AQ62" s="290"/>
      <c r="AR62" s="272"/>
      <c r="AS62" s="268"/>
      <c r="AT62" s="268"/>
      <c r="AU62" s="268"/>
      <c r="AV62" s="273"/>
      <c r="AW62" s="268"/>
      <c r="AX62" s="269"/>
      <c r="AY62" s="45"/>
      <c r="AZ62" s="19">
        <f t="shared" si="6"/>
        <v>52.262857142857136</v>
      </c>
      <c r="BA62" s="227">
        <f t="shared" si="11"/>
        <v>8</v>
      </c>
      <c r="BB62" s="173"/>
      <c r="BC62" s="173"/>
      <c r="BD62" s="173"/>
      <c r="BE62" s="173"/>
      <c r="BF62" s="173"/>
      <c r="BG62" s="173"/>
      <c r="BH62" s="173"/>
      <c r="BI62" s="173"/>
      <c r="BJ62" s="173"/>
      <c r="BK62" s="173"/>
      <c r="BL62" s="173"/>
      <c r="BM62" s="173"/>
      <c r="BN62" s="173"/>
      <c r="BO62" s="324">
        <f t="shared" si="12"/>
        <v>289</v>
      </c>
      <c r="BP62" s="319"/>
      <c r="BQ62" s="324">
        <v>280</v>
      </c>
      <c r="BR62" s="358"/>
      <c r="BS62" s="358">
        <v>8</v>
      </c>
      <c r="BT62" s="319"/>
      <c r="BU62" s="324">
        <v>291</v>
      </c>
      <c r="BV62" s="358">
        <v>43.570952380952384</v>
      </c>
      <c r="BW62" s="358">
        <v>8</v>
      </c>
      <c r="BX62" s="319"/>
      <c r="BY62" s="217"/>
      <c r="BZ62" s="219"/>
      <c r="CA62" s="262"/>
      <c r="CB62" s="218"/>
      <c r="CC62" s="217"/>
      <c r="CD62" s="219"/>
      <c r="CE62" s="217"/>
      <c r="CF62" s="220"/>
      <c r="CG62" s="211"/>
      <c r="CH62" s="211"/>
      <c r="CI62" s="262"/>
      <c r="CJ62" s="319"/>
      <c r="CK62" s="211"/>
      <c r="CL62" s="211"/>
      <c r="CM62" s="258"/>
      <c r="CN62" s="173"/>
      <c r="CO62" s="173"/>
      <c r="CP62" s="173"/>
      <c r="CQ62" s="173"/>
      <c r="CR62" s="173"/>
      <c r="CS62" s="173"/>
      <c r="CT62" s="173"/>
      <c r="CU62" s="173"/>
    </row>
    <row r="63" spans="1:99" s="4" customFormat="1">
      <c r="A63" s="16" t="s">
        <v>31</v>
      </c>
      <c r="B63" s="21"/>
      <c r="C63" s="22"/>
      <c r="D63" s="265"/>
      <c r="E63" s="266"/>
      <c r="F63" s="266"/>
      <c r="G63" s="266"/>
      <c r="H63" s="267"/>
      <c r="I63" s="268"/>
      <c r="J63" s="269"/>
      <c r="K63" s="290"/>
      <c r="L63" s="265"/>
      <c r="M63" s="266"/>
      <c r="N63" s="266"/>
      <c r="O63" s="266"/>
      <c r="P63" s="271"/>
      <c r="Q63" s="268"/>
      <c r="R63" s="269"/>
      <c r="S63" s="290"/>
      <c r="T63" s="265"/>
      <c r="U63" s="266"/>
      <c r="V63" s="266"/>
      <c r="W63" s="266"/>
      <c r="X63" s="271"/>
      <c r="Y63" s="268"/>
      <c r="Z63" s="269"/>
      <c r="AA63" s="290"/>
      <c r="AB63" s="265"/>
      <c r="AC63" s="266"/>
      <c r="AD63" s="266"/>
      <c r="AE63" s="266"/>
      <c r="AF63" s="271"/>
      <c r="AG63" s="268"/>
      <c r="AH63" s="269"/>
      <c r="AI63" s="290"/>
      <c r="AJ63" s="265"/>
      <c r="AK63" s="266"/>
      <c r="AL63" s="266"/>
      <c r="AM63" s="266"/>
      <c r="AN63" s="271"/>
      <c r="AO63" s="268"/>
      <c r="AP63" s="269"/>
      <c r="AQ63" s="290"/>
      <c r="AR63" s="272"/>
      <c r="AS63" s="268"/>
      <c r="AT63" s="268"/>
      <c r="AU63" s="268"/>
      <c r="AV63" s="273"/>
      <c r="AW63" s="268"/>
      <c r="AX63" s="269"/>
      <c r="AY63" s="45"/>
      <c r="AZ63" s="19">
        <f t="shared" si="6"/>
        <v>52.262857142857136</v>
      </c>
      <c r="BA63" s="227">
        <f t="shared" si="11"/>
        <v>8</v>
      </c>
      <c r="BB63" s="173"/>
      <c r="BC63" s="173"/>
      <c r="BD63" s="173"/>
      <c r="BE63" s="173"/>
      <c r="BF63" s="173"/>
      <c r="BG63" s="173"/>
      <c r="BH63" s="173"/>
      <c r="BI63" s="173"/>
      <c r="BJ63" s="173"/>
      <c r="BK63" s="173"/>
      <c r="BL63" s="173"/>
      <c r="BM63" s="173"/>
      <c r="BN63" s="173"/>
      <c r="BO63" s="324">
        <f t="shared" si="12"/>
        <v>289</v>
      </c>
      <c r="BP63" s="319"/>
      <c r="BQ63" s="324">
        <v>280</v>
      </c>
      <c r="BR63" s="358"/>
      <c r="BS63" s="358">
        <v>8</v>
      </c>
      <c r="BT63" s="319"/>
      <c r="BU63" s="324">
        <v>291</v>
      </c>
      <c r="BV63" s="358">
        <v>43.570952380952384</v>
      </c>
      <c r="BW63" s="358">
        <v>8</v>
      </c>
      <c r="BX63" s="319"/>
      <c r="BY63" s="217"/>
      <c r="BZ63" s="219"/>
      <c r="CA63" s="262"/>
      <c r="CB63" s="218"/>
      <c r="CC63" s="217"/>
      <c r="CD63" s="219"/>
      <c r="CE63" s="217"/>
      <c r="CF63" s="220"/>
      <c r="CG63" s="211"/>
      <c r="CH63" s="211"/>
      <c r="CI63" s="262"/>
      <c r="CJ63" s="319"/>
      <c r="CK63" s="211"/>
      <c r="CL63" s="211"/>
      <c r="CM63" s="258"/>
      <c r="CN63" s="173"/>
      <c r="CO63" s="173"/>
      <c r="CP63" s="173"/>
      <c r="CQ63" s="173"/>
      <c r="CR63" s="173"/>
      <c r="CS63" s="173"/>
      <c r="CT63" s="173"/>
      <c r="CU63" s="173"/>
    </row>
    <row r="64" spans="1:99" s="4" customFormat="1">
      <c r="A64" s="16" t="s">
        <v>31</v>
      </c>
      <c r="B64" s="21"/>
      <c r="C64" s="22"/>
      <c r="D64" s="265"/>
      <c r="E64" s="266"/>
      <c r="F64" s="266"/>
      <c r="G64" s="266"/>
      <c r="H64" s="267"/>
      <c r="I64" s="268"/>
      <c r="J64" s="269"/>
      <c r="K64" s="290"/>
      <c r="L64" s="265"/>
      <c r="M64" s="266"/>
      <c r="N64" s="266"/>
      <c r="O64" s="266"/>
      <c r="P64" s="271"/>
      <c r="Q64" s="268"/>
      <c r="R64" s="269"/>
      <c r="S64" s="290"/>
      <c r="T64" s="265"/>
      <c r="U64" s="266"/>
      <c r="V64" s="266"/>
      <c r="W64" s="266"/>
      <c r="X64" s="271"/>
      <c r="Y64" s="268"/>
      <c r="Z64" s="269"/>
      <c r="AA64" s="290"/>
      <c r="AB64" s="265"/>
      <c r="AC64" s="266"/>
      <c r="AD64" s="266"/>
      <c r="AE64" s="266"/>
      <c r="AF64" s="271"/>
      <c r="AG64" s="268"/>
      <c r="AH64" s="269"/>
      <c r="AI64" s="290"/>
      <c r="AJ64" s="265"/>
      <c r="AK64" s="266"/>
      <c r="AL64" s="266"/>
      <c r="AM64" s="266"/>
      <c r="AN64" s="271"/>
      <c r="AO64" s="268"/>
      <c r="AP64" s="269"/>
      <c r="AQ64" s="290"/>
      <c r="AR64" s="272"/>
      <c r="AS64" s="268"/>
      <c r="AT64" s="268"/>
      <c r="AU64" s="268"/>
      <c r="AV64" s="273"/>
      <c r="AW64" s="268"/>
      <c r="AX64" s="269"/>
      <c r="AY64" s="45"/>
      <c r="AZ64" s="19">
        <f t="shared" si="6"/>
        <v>52.262857142857136</v>
      </c>
      <c r="BA64" s="227">
        <f t="shared" si="11"/>
        <v>8</v>
      </c>
      <c r="BB64" s="173"/>
      <c r="BC64" s="173"/>
      <c r="BD64" s="173"/>
      <c r="BE64" s="173"/>
      <c r="BF64" s="173"/>
      <c r="BG64" s="173"/>
      <c r="BH64" s="173"/>
      <c r="BI64" s="173"/>
      <c r="BJ64" s="173"/>
      <c r="BK64" s="173"/>
      <c r="BL64" s="173"/>
      <c r="BM64" s="173"/>
      <c r="BN64" s="173"/>
      <c r="BO64" s="324">
        <f t="shared" si="12"/>
        <v>289</v>
      </c>
      <c r="BP64" s="319"/>
      <c r="BQ64" s="324">
        <v>280</v>
      </c>
      <c r="BR64" s="358"/>
      <c r="BS64" s="358">
        <v>8</v>
      </c>
      <c r="BT64" s="319"/>
      <c r="BU64" s="324">
        <v>291</v>
      </c>
      <c r="BV64" s="358">
        <v>43.570952380952384</v>
      </c>
      <c r="BW64" s="358">
        <v>8</v>
      </c>
      <c r="BX64" s="319"/>
      <c r="BY64" s="217"/>
      <c r="BZ64" s="219"/>
      <c r="CA64" s="262"/>
      <c r="CB64" s="218"/>
      <c r="CC64" s="217"/>
      <c r="CD64" s="219"/>
      <c r="CE64" s="217"/>
      <c r="CF64" s="220"/>
      <c r="CG64" s="211"/>
      <c r="CH64" s="211"/>
      <c r="CI64" s="262"/>
      <c r="CJ64" s="319"/>
      <c r="CK64" s="211"/>
      <c r="CL64" s="211"/>
      <c r="CM64" s="258"/>
      <c r="CN64" s="173"/>
      <c r="CO64" s="173"/>
      <c r="CP64" s="173"/>
      <c r="CQ64" s="173"/>
      <c r="CR64" s="173"/>
      <c r="CS64" s="173"/>
      <c r="CT64" s="173"/>
      <c r="CU64" s="173"/>
    </row>
    <row r="65" spans="1:99" s="13" customFormat="1" ht="13" thickBot="1">
      <c r="A65" s="17" t="s">
        <v>31</v>
      </c>
      <c r="B65" s="29"/>
      <c r="C65" s="30"/>
      <c r="D65" s="274"/>
      <c r="E65" s="275"/>
      <c r="F65" s="275"/>
      <c r="G65" s="275"/>
      <c r="H65" s="276"/>
      <c r="I65" s="277"/>
      <c r="J65" s="278"/>
      <c r="K65" s="291"/>
      <c r="L65" s="274"/>
      <c r="M65" s="275"/>
      <c r="N65" s="275"/>
      <c r="O65" s="275"/>
      <c r="P65" s="279"/>
      <c r="Q65" s="277"/>
      <c r="R65" s="278"/>
      <c r="S65" s="291"/>
      <c r="T65" s="274"/>
      <c r="U65" s="275"/>
      <c r="V65" s="275"/>
      <c r="W65" s="275"/>
      <c r="X65" s="279"/>
      <c r="Y65" s="277"/>
      <c r="Z65" s="278"/>
      <c r="AA65" s="291"/>
      <c r="AB65" s="274"/>
      <c r="AC65" s="275"/>
      <c r="AD65" s="275"/>
      <c r="AE65" s="275"/>
      <c r="AF65" s="279"/>
      <c r="AG65" s="277"/>
      <c r="AH65" s="278"/>
      <c r="AI65" s="291"/>
      <c r="AJ65" s="274"/>
      <c r="AK65" s="275"/>
      <c r="AL65" s="275"/>
      <c r="AM65" s="275"/>
      <c r="AN65" s="279"/>
      <c r="AO65" s="277"/>
      <c r="AP65" s="278"/>
      <c r="AQ65" s="291"/>
      <c r="AR65" s="280"/>
      <c r="AS65" s="277"/>
      <c r="AT65" s="277"/>
      <c r="AU65" s="277"/>
      <c r="AV65" s="281"/>
      <c r="AW65" s="277"/>
      <c r="AX65" s="278"/>
      <c r="AY65" s="46"/>
      <c r="AZ65" s="20"/>
      <c r="BA65" s="208">
        <f t="shared" si="11"/>
        <v>8</v>
      </c>
      <c r="BB65" s="176"/>
      <c r="BC65" s="176"/>
      <c r="BD65" s="176"/>
      <c r="BE65" s="176"/>
      <c r="BF65" s="176"/>
      <c r="BG65" s="176"/>
      <c r="BH65" s="176"/>
      <c r="BI65" s="176"/>
      <c r="BJ65" s="176"/>
      <c r="BK65" s="176"/>
      <c r="BL65" s="176"/>
      <c r="BM65" s="176"/>
      <c r="BN65" s="176"/>
      <c r="BO65" s="325">
        <f t="shared" si="12"/>
        <v>289</v>
      </c>
      <c r="BP65" s="238"/>
      <c r="BQ65" s="325">
        <v>280</v>
      </c>
      <c r="BR65" s="359"/>
      <c r="BS65" s="359">
        <v>8</v>
      </c>
      <c r="BT65" s="238"/>
      <c r="BU65" s="325">
        <v>291</v>
      </c>
      <c r="BV65" s="359">
        <v>43.570952380952384</v>
      </c>
      <c r="BW65" s="359">
        <v>8</v>
      </c>
      <c r="BX65" s="238"/>
      <c r="BY65" s="255"/>
      <c r="BZ65" s="244"/>
      <c r="CA65" s="264"/>
      <c r="CB65" s="254"/>
      <c r="CC65" s="255"/>
      <c r="CD65" s="244"/>
      <c r="CE65" s="255"/>
      <c r="CF65" s="263"/>
      <c r="CG65" s="239"/>
      <c r="CH65" s="239"/>
      <c r="CI65" s="264"/>
      <c r="CJ65" s="238"/>
      <c r="CK65" s="239"/>
      <c r="CL65" s="239"/>
      <c r="CM65" s="240"/>
      <c r="CN65" s="176"/>
      <c r="CO65" s="176"/>
      <c r="CP65" s="176"/>
      <c r="CQ65" s="176"/>
      <c r="CR65" s="176"/>
      <c r="CS65" s="176"/>
      <c r="CT65" s="176"/>
      <c r="CU65" s="176"/>
    </row>
    <row r="66" spans="1:99" s="4" customFormat="1">
      <c r="A66" s="15" t="s">
        <v>32</v>
      </c>
      <c r="B66" s="37"/>
      <c r="C66" s="38"/>
      <c r="D66" s="282"/>
      <c r="E66" s="283"/>
      <c r="F66" s="283"/>
      <c r="G66" s="283"/>
      <c r="H66" s="284"/>
      <c r="I66" s="285"/>
      <c r="J66" s="286"/>
      <c r="K66" s="292"/>
      <c r="L66" s="282"/>
      <c r="M66" s="283"/>
      <c r="N66" s="283"/>
      <c r="O66" s="283"/>
      <c r="P66" s="287"/>
      <c r="Q66" s="285"/>
      <c r="R66" s="286"/>
      <c r="S66" s="292"/>
      <c r="T66" s="282"/>
      <c r="U66" s="283"/>
      <c r="V66" s="283"/>
      <c r="W66" s="283"/>
      <c r="X66" s="287"/>
      <c r="Y66" s="285"/>
      <c r="Z66" s="286"/>
      <c r="AA66" s="292"/>
      <c r="AB66" s="282"/>
      <c r="AC66" s="283"/>
      <c r="AD66" s="283"/>
      <c r="AE66" s="283"/>
      <c r="AF66" s="287"/>
      <c r="AG66" s="285"/>
      <c r="AH66" s="286"/>
      <c r="AI66" s="292"/>
      <c r="AJ66" s="282"/>
      <c r="AK66" s="283"/>
      <c r="AL66" s="283"/>
      <c r="AM66" s="283"/>
      <c r="AN66" s="287"/>
      <c r="AO66" s="285"/>
      <c r="AP66" s="286"/>
      <c r="AQ66" s="292"/>
      <c r="AR66" s="288"/>
      <c r="AS66" s="285"/>
      <c r="AT66" s="285"/>
      <c r="AU66" s="285"/>
      <c r="AV66" s="289"/>
      <c r="AW66" s="285"/>
      <c r="AX66" s="286"/>
      <c r="AY66" s="44"/>
      <c r="AZ66" s="18">
        <f t="shared" si="6"/>
        <v>0</v>
      </c>
      <c r="BA66" s="200">
        <f t="shared" si="7"/>
        <v>8</v>
      </c>
      <c r="BB66" s="173"/>
      <c r="BC66" s="173"/>
      <c r="BD66" s="173"/>
      <c r="BE66" s="173"/>
      <c r="BF66" s="173"/>
      <c r="BG66" s="173"/>
      <c r="BH66" s="173"/>
      <c r="BI66" s="173"/>
      <c r="BJ66" s="173"/>
      <c r="BK66" s="173"/>
      <c r="BL66" s="173"/>
      <c r="BM66" s="173"/>
      <c r="BN66" s="173"/>
      <c r="BO66" s="323">
        <f t="shared" ref="BO66:BO69" si="13">IF(B66=0,BO65,B66-DATE(YEAR(B66)-1,12,31))</f>
        <v>289</v>
      </c>
      <c r="BP66" s="318"/>
      <c r="BQ66" s="323">
        <v>280</v>
      </c>
      <c r="BR66" s="360">
        <v>0</v>
      </c>
      <c r="BS66" s="360">
        <v>8</v>
      </c>
      <c r="BT66" s="318"/>
      <c r="BU66" s="323">
        <v>291</v>
      </c>
      <c r="BV66" s="360">
        <v>43.570952380952384</v>
      </c>
      <c r="BW66" s="360">
        <v>8</v>
      </c>
      <c r="BX66" s="318"/>
      <c r="BY66" s="250">
        <v>287</v>
      </c>
      <c r="BZ66" s="251">
        <v>0</v>
      </c>
      <c r="CA66" s="261">
        <v>0</v>
      </c>
      <c r="CB66" s="249">
        <v>39563</v>
      </c>
      <c r="CC66" s="250">
        <f t="shared" ref="CC66:CC77" si="14">CB66-DATE(YEAR(CB66)-1,12,31)</f>
        <v>116</v>
      </c>
      <c r="CD66" s="251">
        <v>6.7714285714285705</v>
      </c>
      <c r="CE66" s="250">
        <v>0</v>
      </c>
      <c r="CF66" s="259">
        <v>39187</v>
      </c>
      <c r="CG66" s="250">
        <f>CF66-DATE(YEAR(CF66)-1,12,31)</f>
        <v>105</v>
      </c>
      <c r="CH66" s="260">
        <v>0</v>
      </c>
      <c r="CI66" s="261">
        <v>0</v>
      </c>
      <c r="CJ66" s="318">
        <v>38822</v>
      </c>
      <c r="CK66" s="250">
        <f>CJ66-DATE(YEAR(CJ66)-1,12,31)</f>
        <v>105</v>
      </c>
      <c r="CL66" s="260">
        <v>0</v>
      </c>
      <c r="CM66" s="257">
        <v>0</v>
      </c>
      <c r="CN66" s="173"/>
      <c r="CO66" s="173"/>
      <c r="CP66" s="173"/>
      <c r="CQ66" s="173"/>
      <c r="CR66" s="173"/>
      <c r="CS66" s="173"/>
      <c r="CT66" s="173"/>
      <c r="CU66" s="173"/>
    </row>
    <row r="67" spans="1:99" s="4" customFormat="1">
      <c r="A67" s="16" t="s">
        <v>32</v>
      </c>
      <c r="B67" s="21"/>
      <c r="C67" s="22"/>
      <c r="D67" s="265"/>
      <c r="E67" s="266"/>
      <c r="F67" s="266"/>
      <c r="G67" s="266"/>
      <c r="H67" s="267"/>
      <c r="I67" s="268"/>
      <c r="J67" s="269"/>
      <c r="K67" s="290"/>
      <c r="L67" s="265"/>
      <c r="M67" s="266"/>
      <c r="N67" s="266"/>
      <c r="O67" s="266"/>
      <c r="P67" s="271"/>
      <c r="Q67" s="268"/>
      <c r="R67" s="269"/>
      <c r="S67" s="290"/>
      <c r="T67" s="265"/>
      <c r="U67" s="266"/>
      <c r="V67" s="266"/>
      <c r="W67" s="266"/>
      <c r="X67" s="271"/>
      <c r="Y67" s="268"/>
      <c r="Z67" s="269"/>
      <c r="AA67" s="290"/>
      <c r="AB67" s="265"/>
      <c r="AC67" s="266"/>
      <c r="AD67" s="266"/>
      <c r="AE67" s="266"/>
      <c r="AF67" s="271"/>
      <c r="AG67" s="268"/>
      <c r="AH67" s="269"/>
      <c r="AI67" s="290"/>
      <c r="AJ67" s="265"/>
      <c r="AK67" s="266"/>
      <c r="AL67" s="266"/>
      <c r="AM67" s="266"/>
      <c r="AN67" s="271"/>
      <c r="AO67" s="268"/>
      <c r="AP67" s="269"/>
      <c r="AQ67" s="290"/>
      <c r="AR67" s="272"/>
      <c r="AS67" s="268"/>
      <c r="AT67" s="268"/>
      <c r="AU67" s="268"/>
      <c r="AV67" s="273"/>
      <c r="AW67" s="268"/>
      <c r="AX67" s="269"/>
      <c r="AY67" s="45"/>
      <c r="AZ67" s="19">
        <f t="shared" si="6"/>
        <v>0</v>
      </c>
      <c r="BA67" s="227">
        <f t="shared" si="7"/>
        <v>8</v>
      </c>
      <c r="BB67" s="173"/>
      <c r="BC67" s="173"/>
      <c r="BD67" s="173"/>
      <c r="BE67" s="173"/>
      <c r="BF67" s="173"/>
      <c r="BG67" s="173"/>
      <c r="BH67" s="173"/>
      <c r="BI67" s="173"/>
      <c r="BJ67" s="173"/>
      <c r="BK67" s="173"/>
      <c r="BL67" s="173"/>
      <c r="BM67" s="173"/>
      <c r="BN67" s="173"/>
      <c r="BO67" s="324">
        <f t="shared" si="13"/>
        <v>289</v>
      </c>
      <c r="BP67" s="319"/>
      <c r="BQ67" s="324">
        <v>280</v>
      </c>
      <c r="BR67" s="358">
        <v>0</v>
      </c>
      <c r="BS67" s="358">
        <v>8</v>
      </c>
      <c r="BT67" s="319"/>
      <c r="BU67" s="324">
        <v>291</v>
      </c>
      <c r="BV67" s="358">
        <v>43.570952380952384</v>
      </c>
      <c r="BW67" s="358">
        <v>8</v>
      </c>
      <c r="BX67" s="319"/>
      <c r="BY67" s="217"/>
      <c r="BZ67" s="219"/>
      <c r="CA67" s="262"/>
      <c r="CB67" s="218">
        <v>39568</v>
      </c>
      <c r="CC67" s="217">
        <f t="shared" si="14"/>
        <v>121</v>
      </c>
      <c r="CD67" s="219">
        <v>11.86857142857143</v>
      </c>
      <c r="CE67" s="217">
        <v>0.8</v>
      </c>
      <c r="CF67" s="220"/>
      <c r="CG67" s="211"/>
      <c r="CH67" s="211">
        <v>0</v>
      </c>
      <c r="CI67" s="262">
        <v>0</v>
      </c>
      <c r="CJ67" s="319"/>
      <c r="CK67" s="211"/>
      <c r="CL67" s="211"/>
      <c r="CM67" s="258"/>
      <c r="CN67" s="173"/>
      <c r="CO67" s="173"/>
      <c r="CP67" s="173"/>
      <c r="CQ67" s="173"/>
      <c r="CR67" s="173"/>
      <c r="CS67" s="173"/>
      <c r="CT67" s="173"/>
      <c r="CU67" s="173"/>
    </row>
    <row r="68" spans="1:99" s="4" customFormat="1">
      <c r="A68" s="16" t="s">
        <v>32</v>
      </c>
      <c r="B68" s="21"/>
      <c r="C68" s="22"/>
      <c r="D68" s="265"/>
      <c r="E68" s="266"/>
      <c r="F68" s="266"/>
      <c r="G68" s="266"/>
      <c r="H68" s="267"/>
      <c r="I68" s="268"/>
      <c r="J68" s="269"/>
      <c r="K68" s="290"/>
      <c r="L68" s="265"/>
      <c r="M68" s="266"/>
      <c r="N68" s="266"/>
      <c r="O68" s="266"/>
      <c r="P68" s="271"/>
      <c r="Q68" s="268"/>
      <c r="R68" s="269"/>
      <c r="S68" s="290"/>
      <c r="T68" s="265"/>
      <c r="U68" s="266"/>
      <c r="V68" s="266"/>
      <c r="W68" s="266"/>
      <c r="X68" s="271"/>
      <c r="Y68" s="268"/>
      <c r="Z68" s="269"/>
      <c r="AA68" s="290"/>
      <c r="AB68" s="265"/>
      <c r="AC68" s="266"/>
      <c r="AD68" s="266"/>
      <c r="AE68" s="266"/>
      <c r="AF68" s="271"/>
      <c r="AG68" s="268"/>
      <c r="AH68" s="269"/>
      <c r="AI68" s="290"/>
      <c r="AJ68" s="265"/>
      <c r="AK68" s="266"/>
      <c r="AL68" s="266"/>
      <c r="AM68" s="266"/>
      <c r="AN68" s="271"/>
      <c r="AO68" s="268"/>
      <c r="AP68" s="269"/>
      <c r="AQ68" s="290"/>
      <c r="AR68" s="272"/>
      <c r="AS68" s="268"/>
      <c r="AT68" s="268"/>
      <c r="AU68" s="268"/>
      <c r="AV68" s="273"/>
      <c r="AW68" s="268"/>
      <c r="AX68" s="269"/>
      <c r="AY68" s="45"/>
      <c r="AZ68" s="19">
        <f t="shared" si="6"/>
        <v>0</v>
      </c>
      <c r="BA68" s="227">
        <f t="shared" si="7"/>
        <v>8</v>
      </c>
      <c r="BB68" s="173"/>
      <c r="BC68" s="173"/>
      <c r="BD68" s="173"/>
      <c r="BE68" s="173"/>
      <c r="BF68" s="173"/>
      <c r="BG68" s="173"/>
      <c r="BH68" s="173"/>
      <c r="BI68" s="173"/>
      <c r="BJ68" s="173"/>
      <c r="BK68" s="173"/>
      <c r="BL68" s="173"/>
      <c r="BM68" s="173"/>
      <c r="BN68" s="173"/>
      <c r="BO68" s="324">
        <f t="shared" si="13"/>
        <v>289</v>
      </c>
      <c r="BP68" s="319"/>
      <c r="BQ68" s="324">
        <v>280</v>
      </c>
      <c r="BR68" s="358">
        <v>0</v>
      </c>
      <c r="BS68" s="358">
        <v>8</v>
      </c>
      <c r="BT68" s="319"/>
      <c r="BU68" s="324">
        <v>291</v>
      </c>
      <c r="BV68" s="358">
        <v>43.570952380952384</v>
      </c>
      <c r="BW68" s="358">
        <v>8</v>
      </c>
      <c r="BX68" s="319"/>
      <c r="BY68" s="217"/>
      <c r="BZ68" s="219"/>
      <c r="CA68" s="262"/>
      <c r="CB68" s="218">
        <v>39574</v>
      </c>
      <c r="CC68" s="217">
        <f t="shared" si="14"/>
        <v>127</v>
      </c>
      <c r="CD68" s="219">
        <v>19.314285714285717</v>
      </c>
      <c r="CE68" s="217">
        <v>1.8</v>
      </c>
      <c r="CF68" s="220"/>
      <c r="CG68" s="211"/>
      <c r="CH68" s="211">
        <v>0</v>
      </c>
      <c r="CI68" s="262">
        <v>0</v>
      </c>
      <c r="CJ68" s="319"/>
      <c r="CK68" s="211"/>
      <c r="CL68" s="211"/>
      <c r="CM68" s="258"/>
      <c r="CN68" s="173"/>
      <c r="CO68" s="173"/>
      <c r="CP68" s="173"/>
      <c r="CQ68" s="173"/>
      <c r="CR68" s="173"/>
      <c r="CS68" s="173"/>
      <c r="CT68" s="173"/>
      <c r="CU68" s="173"/>
    </row>
    <row r="69" spans="1:99" s="4" customFormat="1">
      <c r="A69" s="16" t="s">
        <v>32</v>
      </c>
      <c r="B69" s="21"/>
      <c r="C69" s="22"/>
      <c r="D69" s="265"/>
      <c r="E69" s="266"/>
      <c r="F69" s="266"/>
      <c r="G69" s="266"/>
      <c r="H69" s="267"/>
      <c r="I69" s="268"/>
      <c r="J69" s="269"/>
      <c r="K69" s="290"/>
      <c r="L69" s="265"/>
      <c r="M69" s="266"/>
      <c r="N69" s="266"/>
      <c r="O69" s="266"/>
      <c r="P69" s="271"/>
      <c r="Q69" s="268"/>
      <c r="R69" s="269"/>
      <c r="S69" s="290"/>
      <c r="T69" s="265"/>
      <c r="U69" s="266"/>
      <c r="V69" s="266"/>
      <c r="W69" s="266"/>
      <c r="X69" s="271"/>
      <c r="Y69" s="268"/>
      <c r="Z69" s="269"/>
      <c r="AA69" s="290"/>
      <c r="AB69" s="265"/>
      <c r="AC69" s="266"/>
      <c r="AD69" s="266"/>
      <c r="AE69" s="266"/>
      <c r="AF69" s="271"/>
      <c r="AG69" s="268"/>
      <c r="AH69" s="269"/>
      <c r="AI69" s="290"/>
      <c r="AJ69" s="265"/>
      <c r="AK69" s="266"/>
      <c r="AL69" s="266"/>
      <c r="AM69" s="266"/>
      <c r="AN69" s="271"/>
      <c r="AO69" s="268"/>
      <c r="AP69" s="269"/>
      <c r="AQ69" s="290"/>
      <c r="AR69" s="272"/>
      <c r="AS69" s="268"/>
      <c r="AT69" s="268"/>
      <c r="AU69" s="268"/>
      <c r="AV69" s="273"/>
      <c r="AW69" s="268"/>
      <c r="AX69" s="269"/>
      <c r="AY69" s="45"/>
      <c r="AZ69" s="19">
        <f t="shared" si="6"/>
        <v>0</v>
      </c>
      <c r="BA69" s="227">
        <f t="shared" si="7"/>
        <v>8</v>
      </c>
      <c r="BB69" s="173"/>
      <c r="BC69" s="173"/>
      <c r="BD69" s="173"/>
      <c r="BE69" s="173"/>
      <c r="BF69" s="173"/>
      <c r="BG69" s="173"/>
      <c r="BH69" s="173"/>
      <c r="BI69" s="173"/>
      <c r="BJ69" s="173"/>
      <c r="BK69" s="173"/>
      <c r="BL69" s="173"/>
      <c r="BM69" s="173"/>
      <c r="BN69" s="173"/>
      <c r="BO69" s="324">
        <f t="shared" si="13"/>
        <v>289</v>
      </c>
      <c r="BP69" s="319"/>
      <c r="BQ69" s="324">
        <v>280</v>
      </c>
      <c r="BR69" s="358">
        <v>0</v>
      </c>
      <c r="BS69" s="358">
        <v>8</v>
      </c>
      <c r="BT69" s="319"/>
      <c r="BU69" s="324">
        <v>291</v>
      </c>
      <c r="BV69" s="358">
        <v>43.570952380952384</v>
      </c>
      <c r="BW69" s="358">
        <v>8</v>
      </c>
      <c r="BX69" s="319"/>
      <c r="BY69" s="217"/>
      <c r="BZ69" s="219"/>
      <c r="CA69" s="262"/>
      <c r="CB69" s="218">
        <v>39579</v>
      </c>
      <c r="CC69" s="217">
        <f t="shared" si="14"/>
        <v>132</v>
      </c>
      <c r="CD69" s="219">
        <v>33.77428571428571</v>
      </c>
      <c r="CE69" s="217">
        <v>2</v>
      </c>
      <c r="CF69" s="220"/>
      <c r="CG69" s="211"/>
      <c r="CH69" s="211">
        <v>0</v>
      </c>
      <c r="CI69" s="262">
        <v>0</v>
      </c>
      <c r="CJ69" s="319"/>
      <c r="CK69" s="211"/>
      <c r="CL69" s="211"/>
      <c r="CM69" s="258"/>
      <c r="CN69" s="173"/>
      <c r="CO69" s="173"/>
      <c r="CP69" s="173"/>
      <c r="CQ69" s="173"/>
      <c r="CR69" s="173"/>
      <c r="CS69" s="173"/>
      <c r="CT69" s="173"/>
      <c r="CU69" s="173"/>
    </row>
    <row r="70" spans="1:99" s="4" customFormat="1">
      <c r="A70" s="16" t="s">
        <v>32</v>
      </c>
      <c r="B70" s="21"/>
      <c r="C70" s="22"/>
      <c r="D70" s="265"/>
      <c r="E70" s="266"/>
      <c r="F70" s="266"/>
      <c r="G70" s="266"/>
      <c r="H70" s="267"/>
      <c r="I70" s="268"/>
      <c r="J70" s="269"/>
      <c r="K70" s="290"/>
      <c r="L70" s="265"/>
      <c r="M70" s="266"/>
      <c r="N70" s="266"/>
      <c r="O70" s="266"/>
      <c r="P70" s="271"/>
      <c r="Q70" s="268"/>
      <c r="R70" s="269"/>
      <c r="S70" s="290"/>
      <c r="T70" s="265"/>
      <c r="U70" s="266"/>
      <c r="V70" s="266"/>
      <c r="W70" s="266"/>
      <c r="X70" s="271"/>
      <c r="Y70" s="268"/>
      <c r="Z70" s="269"/>
      <c r="AA70" s="290"/>
      <c r="AB70" s="265"/>
      <c r="AC70" s="266"/>
      <c r="AD70" s="266"/>
      <c r="AE70" s="266"/>
      <c r="AF70" s="271"/>
      <c r="AG70" s="268"/>
      <c r="AH70" s="269"/>
      <c r="AI70" s="290"/>
      <c r="AJ70" s="265"/>
      <c r="AK70" s="266"/>
      <c r="AL70" s="266"/>
      <c r="AM70" s="266"/>
      <c r="AN70" s="271"/>
      <c r="AO70" s="268"/>
      <c r="AP70" s="269"/>
      <c r="AQ70" s="290"/>
      <c r="AR70" s="272"/>
      <c r="AS70" s="268"/>
      <c r="AT70" s="268"/>
      <c r="AU70" s="268"/>
      <c r="AV70" s="273"/>
      <c r="AW70" s="268"/>
      <c r="AX70" s="269"/>
      <c r="AY70" s="45"/>
      <c r="AZ70" s="19">
        <f t="shared" si="6"/>
        <v>0</v>
      </c>
      <c r="BA70" s="227">
        <f t="shared" si="7"/>
        <v>8</v>
      </c>
      <c r="BB70" s="173"/>
      <c r="BC70" s="173"/>
      <c r="BD70" s="173"/>
      <c r="BE70" s="173"/>
      <c r="BF70" s="173"/>
      <c r="BG70" s="173"/>
      <c r="BH70" s="173"/>
      <c r="BI70" s="173"/>
      <c r="BJ70" s="173"/>
      <c r="BK70" s="173"/>
      <c r="BL70" s="173"/>
      <c r="BM70" s="173"/>
      <c r="BN70" s="173"/>
      <c r="BO70" s="324">
        <f t="shared" ref="BO70:BO101" si="15">IF(B70=0,BO69,B70-DATE(YEAR(B70)-1,12,31))</f>
        <v>289</v>
      </c>
      <c r="BP70" s="319"/>
      <c r="BQ70" s="324">
        <v>280</v>
      </c>
      <c r="BR70" s="358">
        <v>0</v>
      </c>
      <c r="BS70" s="358">
        <v>8</v>
      </c>
      <c r="BT70" s="319"/>
      <c r="BU70" s="324">
        <v>291</v>
      </c>
      <c r="BV70" s="358">
        <v>43.570952380952384</v>
      </c>
      <c r="BW70" s="358">
        <v>8</v>
      </c>
      <c r="BX70" s="319"/>
      <c r="BY70" s="217"/>
      <c r="BZ70" s="219"/>
      <c r="CA70" s="262"/>
      <c r="CB70" s="218">
        <v>39583</v>
      </c>
      <c r="CC70" s="217">
        <f t="shared" si="14"/>
        <v>136</v>
      </c>
      <c r="CD70" s="219">
        <v>38.231428571428573</v>
      </c>
      <c r="CE70" s="217">
        <v>2.2000000000000002</v>
      </c>
      <c r="CF70" s="220"/>
      <c r="CG70" s="211"/>
      <c r="CH70" s="211">
        <v>0</v>
      </c>
      <c r="CI70" s="262">
        <v>0</v>
      </c>
      <c r="CJ70" s="319"/>
      <c r="CK70" s="211"/>
      <c r="CL70" s="211"/>
      <c r="CM70" s="258"/>
      <c r="CN70" s="173"/>
      <c r="CO70" s="173"/>
      <c r="CP70" s="173"/>
      <c r="CQ70" s="173"/>
      <c r="CR70" s="173"/>
      <c r="CS70" s="173"/>
      <c r="CT70" s="173"/>
      <c r="CU70" s="173"/>
    </row>
    <row r="71" spans="1:99" s="4" customFormat="1">
      <c r="A71" s="16" t="s">
        <v>32</v>
      </c>
      <c r="B71" s="21"/>
      <c r="C71" s="22"/>
      <c r="D71" s="265"/>
      <c r="E71" s="266"/>
      <c r="F71" s="266"/>
      <c r="G71" s="266"/>
      <c r="H71" s="267"/>
      <c r="I71" s="268"/>
      <c r="J71" s="269"/>
      <c r="K71" s="290"/>
      <c r="L71" s="265"/>
      <c r="M71" s="266"/>
      <c r="N71" s="266"/>
      <c r="O71" s="266"/>
      <c r="P71" s="271"/>
      <c r="Q71" s="268"/>
      <c r="R71" s="269"/>
      <c r="S71" s="290"/>
      <c r="T71" s="265"/>
      <c r="U71" s="266"/>
      <c r="V71" s="266"/>
      <c r="W71" s="266"/>
      <c r="X71" s="271"/>
      <c r="Y71" s="268"/>
      <c r="Z71" s="269"/>
      <c r="AA71" s="290"/>
      <c r="AB71" s="265"/>
      <c r="AC71" s="266"/>
      <c r="AD71" s="266"/>
      <c r="AE71" s="266"/>
      <c r="AF71" s="271"/>
      <c r="AG71" s="268"/>
      <c r="AH71" s="269"/>
      <c r="AI71" s="290"/>
      <c r="AJ71" s="265"/>
      <c r="AK71" s="266"/>
      <c r="AL71" s="266"/>
      <c r="AM71" s="266"/>
      <c r="AN71" s="271"/>
      <c r="AO71" s="268"/>
      <c r="AP71" s="269"/>
      <c r="AQ71" s="290"/>
      <c r="AR71" s="272"/>
      <c r="AS71" s="268"/>
      <c r="AT71" s="268"/>
      <c r="AU71" s="268"/>
      <c r="AV71" s="273"/>
      <c r="AW71" s="268"/>
      <c r="AX71" s="269"/>
      <c r="AY71" s="45"/>
      <c r="AZ71" s="19">
        <f t="shared" si="6"/>
        <v>0</v>
      </c>
      <c r="BA71" s="227">
        <f t="shared" si="7"/>
        <v>8</v>
      </c>
      <c r="BB71" s="173"/>
      <c r="BC71" s="173"/>
      <c r="BD71" s="173"/>
      <c r="BE71" s="173"/>
      <c r="BF71" s="173"/>
      <c r="BG71" s="173"/>
      <c r="BH71" s="173"/>
      <c r="BI71" s="173"/>
      <c r="BJ71" s="173"/>
      <c r="BK71" s="173"/>
      <c r="BL71" s="173"/>
      <c r="BM71" s="173"/>
      <c r="BN71" s="173"/>
      <c r="BO71" s="324">
        <f t="shared" si="15"/>
        <v>289</v>
      </c>
      <c r="BP71" s="319"/>
      <c r="BQ71" s="324">
        <v>280</v>
      </c>
      <c r="BR71" s="358">
        <v>0</v>
      </c>
      <c r="BS71" s="358">
        <v>8</v>
      </c>
      <c r="BT71" s="319"/>
      <c r="BU71" s="324">
        <v>291</v>
      </c>
      <c r="BV71" s="358">
        <v>43.570952380952384</v>
      </c>
      <c r="BW71" s="358">
        <v>8</v>
      </c>
      <c r="BX71" s="319"/>
      <c r="BY71" s="217"/>
      <c r="BZ71" s="219"/>
      <c r="CA71" s="262"/>
      <c r="CB71" s="218">
        <v>39594</v>
      </c>
      <c r="CC71" s="217">
        <f t="shared" si="14"/>
        <v>147</v>
      </c>
      <c r="CD71" s="219">
        <v>44.46</v>
      </c>
      <c r="CE71" s="217">
        <v>3</v>
      </c>
      <c r="CF71" s="220"/>
      <c r="CG71" s="211"/>
      <c r="CH71" s="211">
        <v>0</v>
      </c>
      <c r="CI71" s="262">
        <v>0</v>
      </c>
      <c r="CJ71" s="319"/>
      <c r="CK71" s="211"/>
      <c r="CL71" s="211"/>
      <c r="CM71" s="258"/>
      <c r="CN71" s="173"/>
      <c r="CO71" s="173"/>
      <c r="CP71" s="173"/>
      <c r="CQ71" s="173"/>
      <c r="CR71" s="173"/>
      <c r="CS71" s="173"/>
      <c r="CT71" s="173"/>
      <c r="CU71" s="173"/>
    </row>
    <row r="72" spans="1:99" s="4" customFormat="1">
      <c r="A72" s="16" t="s">
        <v>32</v>
      </c>
      <c r="B72" s="21"/>
      <c r="C72" s="22"/>
      <c r="D72" s="265"/>
      <c r="E72" s="266"/>
      <c r="F72" s="266"/>
      <c r="G72" s="266"/>
      <c r="H72" s="267"/>
      <c r="I72" s="268"/>
      <c r="J72" s="269"/>
      <c r="K72" s="290"/>
      <c r="L72" s="265"/>
      <c r="M72" s="266"/>
      <c r="N72" s="266"/>
      <c r="O72" s="266"/>
      <c r="P72" s="271"/>
      <c r="Q72" s="268"/>
      <c r="R72" s="269"/>
      <c r="S72" s="290"/>
      <c r="T72" s="265"/>
      <c r="U72" s="266"/>
      <c r="V72" s="266"/>
      <c r="W72" s="266"/>
      <c r="X72" s="271"/>
      <c r="Y72" s="268"/>
      <c r="Z72" s="269"/>
      <c r="AA72" s="290"/>
      <c r="AB72" s="265"/>
      <c r="AC72" s="266"/>
      <c r="AD72" s="266"/>
      <c r="AE72" s="266"/>
      <c r="AF72" s="271"/>
      <c r="AG72" s="268"/>
      <c r="AH72" s="269"/>
      <c r="AI72" s="290"/>
      <c r="AJ72" s="265"/>
      <c r="AK72" s="266"/>
      <c r="AL72" s="266"/>
      <c r="AM72" s="266"/>
      <c r="AN72" s="271"/>
      <c r="AO72" s="268"/>
      <c r="AP72" s="269"/>
      <c r="AQ72" s="290"/>
      <c r="AR72" s="272"/>
      <c r="AS72" s="268"/>
      <c r="AT72" s="268"/>
      <c r="AU72" s="268"/>
      <c r="AV72" s="273"/>
      <c r="AW72" s="268"/>
      <c r="AX72" s="269"/>
      <c r="AY72" s="45"/>
      <c r="AZ72" s="19">
        <f t="shared" si="6"/>
        <v>0</v>
      </c>
      <c r="BA72" s="227">
        <f t="shared" si="7"/>
        <v>8</v>
      </c>
      <c r="BB72" s="173"/>
      <c r="BC72" s="173"/>
      <c r="BD72" s="173"/>
      <c r="BE72" s="173"/>
      <c r="BF72" s="173"/>
      <c r="BG72" s="173"/>
      <c r="BH72" s="173"/>
      <c r="BI72" s="173"/>
      <c r="BJ72" s="173"/>
      <c r="BK72" s="173"/>
      <c r="BL72" s="173"/>
      <c r="BM72" s="173"/>
      <c r="BN72" s="173"/>
      <c r="BO72" s="324">
        <f t="shared" si="15"/>
        <v>289</v>
      </c>
      <c r="BP72" s="319"/>
      <c r="BQ72" s="324">
        <v>280</v>
      </c>
      <c r="BR72" s="358">
        <v>0</v>
      </c>
      <c r="BS72" s="358">
        <v>8</v>
      </c>
      <c r="BT72" s="319"/>
      <c r="BU72" s="324">
        <v>291</v>
      </c>
      <c r="BV72" s="358">
        <v>43.570952380952384</v>
      </c>
      <c r="BW72" s="358">
        <v>8</v>
      </c>
      <c r="BX72" s="319"/>
      <c r="BY72" s="217"/>
      <c r="BZ72" s="219"/>
      <c r="CA72" s="262"/>
      <c r="CB72" s="218">
        <v>39601</v>
      </c>
      <c r="CC72" s="217">
        <f t="shared" si="14"/>
        <v>154</v>
      </c>
      <c r="CD72" s="219"/>
      <c r="CE72" s="217"/>
      <c r="CF72" s="220"/>
      <c r="CG72" s="211"/>
      <c r="CH72" s="211">
        <v>0</v>
      </c>
      <c r="CI72" s="262">
        <v>0</v>
      </c>
      <c r="CJ72" s="319"/>
      <c r="CK72" s="211"/>
      <c r="CL72" s="211"/>
      <c r="CM72" s="258"/>
      <c r="CN72" s="173"/>
      <c r="CO72" s="173"/>
      <c r="CP72" s="173"/>
      <c r="CQ72" s="173"/>
      <c r="CR72" s="173"/>
      <c r="CS72" s="173"/>
      <c r="CT72" s="173"/>
      <c r="CU72" s="173"/>
    </row>
    <row r="73" spans="1:99" s="4" customFormat="1">
      <c r="A73" s="16" t="s">
        <v>32</v>
      </c>
      <c r="B73" s="21"/>
      <c r="C73" s="22"/>
      <c r="D73" s="265"/>
      <c r="E73" s="266"/>
      <c r="F73" s="266"/>
      <c r="G73" s="266"/>
      <c r="H73" s="267"/>
      <c r="I73" s="268"/>
      <c r="J73" s="269"/>
      <c r="K73" s="290"/>
      <c r="L73" s="265"/>
      <c r="M73" s="266"/>
      <c r="N73" s="266"/>
      <c r="O73" s="266"/>
      <c r="P73" s="271"/>
      <c r="Q73" s="268"/>
      <c r="R73" s="269"/>
      <c r="S73" s="290"/>
      <c r="T73" s="265"/>
      <c r="U73" s="266"/>
      <c r="V73" s="266"/>
      <c r="W73" s="266"/>
      <c r="X73" s="271"/>
      <c r="Y73" s="268"/>
      <c r="Z73" s="269"/>
      <c r="AA73" s="290"/>
      <c r="AB73" s="265"/>
      <c r="AC73" s="266"/>
      <c r="AD73" s="266"/>
      <c r="AE73" s="266"/>
      <c r="AF73" s="271"/>
      <c r="AG73" s="268"/>
      <c r="AH73" s="269"/>
      <c r="AI73" s="290"/>
      <c r="AJ73" s="265"/>
      <c r="AK73" s="266"/>
      <c r="AL73" s="266"/>
      <c r="AM73" s="266"/>
      <c r="AN73" s="271"/>
      <c r="AO73" s="268"/>
      <c r="AP73" s="269"/>
      <c r="AQ73" s="290"/>
      <c r="AR73" s="272"/>
      <c r="AS73" s="268"/>
      <c r="AT73" s="268"/>
      <c r="AU73" s="268"/>
      <c r="AV73" s="273"/>
      <c r="AW73" s="268"/>
      <c r="AX73" s="269"/>
      <c r="AY73" s="45"/>
      <c r="AZ73" s="19">
        <f t="shared" si="6"/>
        <v>0</v>
      </c>
      <c r="BA73" s="227">
        <f t="shared" si="7"/>
        <v>8</v>
      </c>
      <c r="BB73" s="173"/>
      <c r="BC73" s="173"/>
      <c r="BD73" s="173"/>
      <c r="BE73" s="173"/>
      <c r="BF73" s="173"/>
      <c r="BG73" s="173"/>
      <c r="BH73" s="173"/>
      <c r="BI73" s="173"/>
      <c r="BJ73" s="173"/>
      <c r="BK73" s="173"/>
      <c r="BL73" s="173"/>
      <c r="BM73" s="173"/>
      <c r="BN73" s="173"/>
      <c r="BO73" s="324">
        <f t="shared" si="15"/>
        <v>289</v>
      </c>
      <c r="BP73" s="319"/>
      <c r="BQ73" s="324">
        <v>280</v>
      </c>
      <c r="BR73" s="358">
        <v>0</v>
      </c>
      <c r="BS73" s="358">
        <v>8</v>
      </c>
      <c r="BT73" s="319"/>
      <c r="BU73" s="324">
        <v>291</v>
      </c>
      <c r="BV73" s="358">
        <v>43.570952380952384</v>
      </c>
      <c r="BW73" s="358">
        <v>8</v>
      </c>
      <c r="BX73" s="319"/>
      <c r="BY73" s="217"/>
      <c r="BZ73" s="219"/>
      <c r="CA73" s="262"/>
      <c r="CB73" s="218">
        <v>39608</v>
      </c>
      <c r="CC73" s="217">
        <f t="shared" si="14"/>
        <v>161</v>
      </c>
      <c r="CD73" s="219"/>
      <c r="CE73" s="217"/>
      <c r="CF73" s="220"/>
      <c r="CG73" s="211"/>
      <c r="CH73" s="211">
        <v>0</v>
      </c>
      <c r="CI73" s="262">
        <v>0</v>
      </c>
      <c r="CJ73" s="319"/>
      <c r="CK73" s="211"/>
      <c r="CL73" s="211"/>
      <c r="CM73" s="258"/>
      <c r="CN73" s="173"/>
      <c r="CO73" s="173"/>
      <c r="CP73" s="173"/>
      <c r="CQ73" s="173"/>
      <c r="CR73" s="173"/>
      <c r="CS73" s="173"/>
      <c r="CT73" s="173"/>
      <c r="CU73" s="173"/>
    </row>
    <row r="74" spans="1:99" s="4" customFormat="1">
      <c r="A74" s="16" t="s">
        <v>32</v>
      </c>
      <c r="B74" s="21"/>
      <c r="C74" s="22"/>
      <c r="D74" s="265"/>
      <c r="E74" s="266"/>
      <c r="F74" s="266"/>
      <c r="G74" s="266"/>
      <c r="H74" s="267"/>
      <c r="I74" s="268"/>
      <c r="J74" s="269"/>
      <c r="K74" s="290"/>
      <c r="L74" s="265"/>
      <c r="M74" s="266"/>
      <c r="N74" s="266"/>
      <c r="O74" s="266"/>
      <c r="P74" s="271"/>
      <c r="Q74" s="268"/>
      <c r="R74" s="269"/>
      <c r="S74" s="290"/>
      <c r="T74" s="265"/>
      <c r="U74" s="266"/>
      <c r="V74" s="266"/>
      <c r="W74" s="266"/>
      <c r="X74" s="271"/>
      <c r="Y74" s="268"/>
      <c r="Z74" s="269"/>
      <c r="AA74" s="290"/>
      <c r="AB74" s="265"/>
      <c r="AC74" s="266"/>
      <c r="AD74" s="266"/>
      <c r="AE74" s="266"/>
      <c r="AF74" s="271"/>
      <c r="AG74" s="268"/>
      <c r="AH74" s="269"/>
      <c r="AI74" s="290"/>
      <c r="AJ74" s="265"/>
      <c r="AK74" s="266"/>
      <c r="AL74" s="266"/>
      <c r="AM74" s="266"/>
      <c r="AN74" s="271"/>
      <c r="AO74" s="268"/>
      <c r="AP74" s="269"/>
      <c r="AQ74" s="290"/>
      <c r="AR74" s="272"/>
      <c r="AS74" s="268"/>
      <c r="AT74" s="268"/>
      <c r="AU74" s="268"/>
      <c r="AV74" s="273"/>
      <c r="AW74" s="268"/>
      <c r="AX74" s="269"/>
      <c r="AY74" s="45"/>
      <c r="AZ74" s="19">
        <f t="shared" si="6"/>
        <v>0</v>
      </c>
      <c r="BA74" s="227">
        <f t="shared" si="7"/>
        <v>8</v>
      </c>
      <c r="BB74" s="173"/>
      <c r="BC74" s="173"/>
      <c r="BD74" s="173"/>
      <c r="BE74" s="173"/>
      <c r="BF74" s="173"/>
      <c r="BG74" s="173"/>
      <c r="BH74" s="173"/>
      <c r="BI74" s="173"/>
      <c r="BJ74" s="173"/>
      <c r="BK74" s="173"/>
      <c r="BL74" s="173"/>
      <c r="BM74" s="173"/>
      <c r="BN74" s="173"/>
      <c r="BO74" s="324">
        <f t="shared" si="15"/>
        <v>289</v>
      </c>
      <c r="BP74" s="319"/>
      <c r="BQ74" s="324">
        <v>280</v>
      </c>
      <c r="BR74" s="358">
        <v>0</v>
      </c>
      <c r="BS74" s="358">
        <v>8</v>
      </c>
      <c r="BT74" s="319"/>
      <c r="BU74" s="324">
        <v>291</v>
      </c>
      <c r="BV74" s="358">
        <v>43.570952380952384</v>
      </c>
      <c r="BW74" s="358">
        <v>8</v>
      </c>
      <c r="BX74" s="319"/>
      <c r="BY74" s="217"/>
      <c r="BZ74" s="219"/>
      <c r="CA74" s="262"/>
      <c r="CB74" s="218">
        <v>39615</v>
      </c>
      <c r="CC74" s="217">
        <f t="shared" si="14"/>
        <v>168</v>
      </c>
      <c r="CD74" s="219"/>
      <c r="CE74" s="217"/>
      <c r="CF74" s="220"/>
      <c r="CG74" s="211"/>
      <c r="CH74" s="211">
        <v>0</v>
      </c>
      <c r="CI74" s="262">
        <v>0</v>
      </c>
      <c r="CJ74" s="319"/>
      <c r="CK74" s="211"/>
      <c r="CL74" s="211"/>
      <c r="CM74" s="258"/>
      <c r="CN74" s="173"/>
      <c r="CO74" s="173"/>
      <c r="CP74" s="173"/>
      <c r="CQ74" s="173"/>
      <c r="CR74" s="173"/>
      <c r="CS74" s="173"/>
      <c r="CT74" s="173"/>
      <c r="CU74" s="173"/>
    </row>
    <row r="75" spans="1:99" s="4" customFormat="1">
      <c r="A75" s="16" t="s">
        <v>32</v>
      </c>
      <c r="B75" s="21"/>
      <c r="C75" s="22"/>
      <c r="D75" s="265"/>
      <c r="E75" s="266"/>
      <c r="F75" s="266"/>
      <c r="G75" s="266"/>
      <c r="H75" s="267"/>
      <c r="I75" s="268"/>
      <c r="J75" s="269"/>
      <c r="K75" s="290"/>
      <c r="L75" s="265"/>
      <c r="M75" s="266"/>
      <c r="N75" s="266"/>
      <c r="O75" s="266"/>
      <c r="P75" s="271"/>
      <c r="Q75" s="268"/>
      <c r="R75" s="269"/>
      <c r="S75" s="290"/>
      <c r="T75" s="265"/>
      <c r="U75" s="266"/>
      <c r="V75" s="266"/>
      <c r="W75" s="266"/>
      <c r="X75" s="271"/>
      <c r="Y75" s="268"/>
      <c r="Z75" s="269"/>
      <c r="AA75" s="290"/>
      <c r="AB75" s="265"/>
      <c r="AC75" s="266"/>
      <c r="AD75" s="266"/>
      <c r="AE75" s="266"/>
      <c r="AF75" s="271"/>
      <c r="AG75" s="268"/>
      <c r="AH75" s="269"/>
      <c r="AI75" s="290"/>
      <c r="AJ75" s="265"/>
      <c r="AK75" s="266"/>
      <c r="AL75" s="266"/>
      <c r="AM75" s="266"/>
      <c r="AN75" s="271"/>
      <c r="AO75" s="268"/>
      <c r="AP75" s="269"/>
      <c r="AQ75" s="290"/>
      <c r="AR75" s="272"/>
      <c r="AS75" s="268"/>
      <c r="AT75" s="268"/>
      <c r="AU75" s="268"/>
      <c r="AV75" s="273"/>
      <c r="AW75" s="268"/>
      <c r="AX75" s="269"/>
      <c r="AY75" s="45"/>
      <c r="AZ75" s="19">
        <f t="shared" si="6"/>
        <v>0</v>
      </c>
      <c r="BA75" s="227">
        <f t="shared" si="7"/>
        <v>8</v>
      </c>
      <c r="BB75" s="173"/>
      <c r="BC75" s="173"/>
      <c r="BD75" s="173"/>
      <c r="BE75" s="173"/>
      <c r="BF75" s="173"/>
      <c r="BG75" s="173"/>
      <c r="BH75" s="173"/>
      <c r="BI75" s="173"/>
      <c r="BJ75" s="173"/>
      <c r="BK75" s="173"/>
      <c r="BL75" s="173"/>
      <c r="BM75" s="173"/>
      <c r="BN75" s="173"/>
      <c r="BO75" s="324">
        <f t="shared" si="15"/>
        <v>289</v>
      </c>
      <c r="BP75" s="319"/>
      <c r="BQ75" s="324">
        <v>280</v>
      </c>
      <c r="BR75" s="358">
        <v>0</v>
      </c>
      <c r="BS75" s="358">
        <v>8</v>
      </c>
      <c r="BT75" s="319"/>
      <c r="BU75" s="324">
        <v>291</v>
      </c>
      <c r="BV75" s="358">
        <v>43.570952380952384</v>
      </c>
      <c r="BW75" s="358">
        <v>8</v>
      </c>
      <c r="BX75" s="319"/>
      <c r="BY75" s="217"/>
      <c r="BZ75" s="219"/>
      <c r="CA75" s="262"/>
      <c r="CB75" s="218">
        <v>39622</v>
      </c>
      <c r="CC75" s="217">
        <f t="shared" si="14"/>
        <v>175</v>
      </c>
      <c r="CD75" s="219"/>
      <c r="CE75" s="217"/>
      <c r="CF75" s="220"/>
      <c r="CG75" s="211"/>
      <c r="CH75" s="211">
        <v>0</v>
      </c>
      <c r="CI75" s="262">
        <v>0</v>
      </c>
      <c r="CJ75" s="319"/>
      <c r="CK75" s="211"/>
      <c r="CL75" s="211"/>
      <c r="CM75" s="258"/>
      <c r="CN75" s="173"/>
      <c r="CO75" s="173"/>
      <c r="CP75" s="173"/>
      <c r="CQ75" s="173"/>
      <c r="CR75" s="173"/>
      <c r="CS75" s="173"/>
      <c r="CT75" s="173"/>
      <c r="CU75" s="173"/>
    </row>
    <row r="76" spans="1:99" s="4" customFormat="1">
      <c r="A76" s="16" t="s">
        <v>32</v>
      </c>
      <c r="B76" s="21"/>
      <c r="C76" s="22"/>
      <c r="D76" s="265"/>
      <c r="E76" s="266"/>
      <c r="F76" s="266"/>
      <c r="G76" s="266"/>
      <c r="H76" s="267"/>
      <c r="I76" s="268"/>
      <c r="J76" s="269"/>
      <c r="K76" s="290"/>
      <c r="L76" s="265"/>
      <c r="M76" s="266"/>
      <c r="N76" s="266"/>
      <c r="O76" s="266"/>
      <c r="P76" s="271"/>
      <c r="Q76" s="268"/>
      <c r="R76" s="269"/>
      <c r="S76" s="290"/>
      <c r="T76" s="265"/>
      <c r="U76" s="266"/>
      <c r="V76" s="266"/>
      <c r="W76" s="266"/>
      <c r="X76" s="271"/>
      <c r="Y76" s="268"/>
      <c r="Z76" s="269"/>
      <c r="AA76" s="290"/>
      <c r="AB76" s="265"/>
      <c r="AC76" s="266"/>
      <c r="AD76" s="266"/>
      <c r="AE76" s="266"/>
      <c r="AF76" s="271"/>
      <c r="AG76" s="268"/>
      <c r="AH76" s="269"/>
      <c r="AI76" s="290"/>
      <c r="AJ76" s="265"/>
      <c r="AK76" s="266"/>
      <c r="AL76" s="266"/>
      <c r="AM76" s="266"/>
      <c r="AN76" s="271"/>
      <c r="AO76" s="268"/>
      <c r="AP76" s="269"/>
      <c r="AQ76" s="290"/>
      <c r="AR76" s="272"/>
      <c r="AS76" s="268"/>
      <c r="AT76" s="268"/>
      <c r="AU76" s="268"/>
      <c r="AV76" s="273"/>
      <c r="AW76" s="268"/>
      <c r="AX76" s="269"/>
      <c r="AY76" s="45"/>
      <c r="AZ76" s="19">
        <f t="shared" si="6"/>
        <v>0</v>
      </c>
      <c r="BA76" s="227">
        <f t="shared" si="7"/>
        <v>8</v>
      </c>
      <c r="BB76" s="173"/>
      <c r="BC76" s="173"/>
      <c r="BD76" s="173"/>
      <c r="BE76" s="173"/>
      <c r="BF76" s="173"/>
      <c r="BG76" s="173"/>
      <c r="BH76" s="173"/>
      <c r="BI76" s="173"/>
      <c r="BJ76" s="173"/>
      <c r="BK76" s="173"/>
      <c r="BL76" s="173"/>
      <c r="BM76" s="173"/>
      <c r="BN76" s="173"/>
      <c r="BO76" s="324">
        <f t="shared" si="15"/>
        <v>289</v>
      </c>
      <c r="BP76" s="319"/>
      <c r="BQ76" s="324">
        <v>280</v>
      </c>
      <c r="BR76" s="358">
        <v>0</v>
      </c>
      <c r="BS76" s="358">
        <v>8</v>
      </c>
      <c r="BT76" s="319"/>
      <c r="BU76" s="324">
        <v>291</v>
      </c>
      <c r="BV76" s="358">
        <v>43.570952380952384</v>
      </c>
      <c r="BW76" s="358">
        <v>8</v>
      </c>
      <c r="BX76" s="319"/>
      <c r="BY76" s="217"/>
      <c r="BZ76" s="219"/>
      <c r="CA76" s="262"/>
      <c r="CB76" s="218">
        <v>39639</v>
      </c>
      <c r="CC76" s="217">
        <f t="shared" si="14"/>
        <v>192</v>
      </c>
      <c r="CD76" s="219"/>
      <c r="CE76" s="217"/>
      <c r="CF76" s="220"/>
      <c r="CG76" s="211"/>
      <c r="CH76" s="211">
        <v>0</v>
      </c>
      <c r="CI76" s="262">
        <v>0</v>
      </c>
      <c r="CJ76" s="319"/>
      <c r="CK76" s="211"/>
      <c r="CL76" s="211"/>
      <c r="CM76" s="258"/>
      <c r="CN76" s="173"/>
      <c r="CO76" s="173"/>
      <c r="CP76" s="173"/>
      <c r="CQ76" s="173"/>
      <c r="CR76" s="173"/>
      <c r="CS76" s="173"/>
      <c r="CT76" s="173"/>
      <c r="CU76" s="173"/>
    </row>
    <row r="77" spans="1:99" s="4" customFormat="1">
      <c r="A77" s="16" t="s">
        <v>32</v>
      </c>
      <c r="B77" s="21"/>
      <c r="C77" s="22"/>
      <c r="D77" s="265"/>
      <c r="E77" s="266"/>
      <c r="F77" s="266"/>
      <c r="G77" s="266"/>
      <c r="H77" s="267"/>
      <c r="I77" s="268"/>
      <c r="J77" s="269"/>
      <c r="K77" s="290"/>
      <c r="L77" s="265"/>
      <c r="M77" s="266"/>
      <c r="N77" s="266"/>
      <c r="O77" s="266"/>
      <c r="P77" s="271"/>
      <c r="Q77" s="268"/>
      <c r="R77" s="269"/>
      <c r="S77" s="290"/>
      <c r="T77" s="265"/>
      <c r="U77" s="266"/>
      <c r="V77" s="266"/>
      <c r="W77" s="266"/>
      <c r="X77" s="271"/>
      <c r="Y77" s="268"/>
      <c r="Z77" s="269"/>
      <c r="AA77" s="290"/>
      <c r="AB77" s="265"/>
      <c r="AC77" s="266"/>
      <c r="AD77" s="266"/>
      <c r="AE77" s="266"/>
      <c r="AF77" s="271"/>
      <c r="AG77" s="268"/>
      <c r="AH77" s="269"/>
      <c r="AI77" s="290"/>
      <c r="AJ77" s="265"/>
      <c r="AK77" s="266"/>
      <c r="AL77" s="266"/>
      <c r="AM77" s="266"/>
      <c r="AN77" s="271"/>
      <c r="AO77" s="268"/>
      <c r="AP77" s="269"/>
      <c r="AQ77" s="290"/>
      <c r="AR77" s="272"/>
      <c r="AS77" s="268"/>
      <c r="AT77" s="268"/>
      <c r="AU77" s="268"/>
      <c r="AV77" s="273"/>
      <c r="AW77" s="268"/>
      <c r="AX77" s="269"/>
      <c r="AY77" s="45"/>
      <c r="AZ77" s="19">
        <f t="shared" si="6"/>
        <v>0</v>
      </c>
      <c r="BA77" s="227">
        <f t="shared" si="7"/>
        <v>8</v>
      </c>
      <c r="BB77" s="173"/>
      <c r="BC77" s="173"/>
      <c r="BD77" s="173"/>
      <c r="BE77" s="173"/>
      <c r="BF77" s="173"/>
      <c r="BG77" s="173"/>
      <c r="BH77" s="173"/>
      <c r="BI77" s="173"/>
      <c r="BJ77" s="173"/>
      <c r="BK77" s="173"/>
      <c r="BL77" s="173"/>
      <c r="BM77" s="173"/>
      <c r="BN77" s="173"/>
      <c r="BO77" s="324">
        <f t="shared" si="15"/>
        <v>289</v>
      </c>
      <c r="BP77" s="319"/>
      <c r="BQ77" s="324">
        <v>280</v>
      </c>
      <c r="BR77" s="358">
        <v>0</v>
      </c>
      <c r="BS77" s="358">
        <v>8</v>
      </c>
      <c r="BT77" s="319"/>
      <c r="BU77" s="324">
        <v>291</v>
      </c>
      <c r="BV77" s="358">
        <v>43.570952380952384</v>
      </c>
      <c r="BW77" s="358">
        <v>8</v>
      </c>
      <c r="BX77" s="319"/>
      <c r="BY77" s="217"/>
      <c r="BZ77" s="219"/>
      <c r="CA77" s="262"/>
      <c r="CB77" s="218">
        <v>39663</v>
      </c>
      <c r="CC77" s="217">
        <f t="shared" si="14"/>
        <v>216</v>
      </c>
      <c r="CD77" s="219"/>
      <c r="CE77" s="217"/>
      <c r="CF77" s="220"/>
      <c r="CG77" s="211"/>
      <c r="CH77" s="211">
        <v>0</v>
      </c>
      <c r="CI77" s="262">
        <v>0</v>
      </c>
      <c r="CJ77" s="319"/>
      <c r="CK77" s="211"/>
      <c r="CL77" s="211"/>
      <c r="CM77" s="258"/>
      <c r="CN77" s="173"/>
      <c r="CO77" s="173"/>
      <c r="CP77" s="173"/>
      <c r="CQ77" s="173"/>
      <c r="CR77" s="173"/>
      <c r="CS77" s="173"/>
      <c r="CT77" s="173"/>
      <c r="CU77" s="173"/>
    </row>
    <row r="78" spans="1:99" s="4" customFormat="1">
      <c r="A78" s="16" t="s">
        <v>32</v>
      </c>
      <c r="B78" s="21"/>
      <c r="C78" s="22"/>
      <c r="D78" s="265"/>
      <c r="E78" s="266"/>
      <c r="F78" s="266"/>
      <c r="G78" s="266"/>
      <c r="H78" s="267"/>
      <c r="I78" s="268"/>
      <c r="J78" s="269"/>
      <c r="K78" s="290"/>
      <c r="L78" s="265"/>
      <c r="M78" s="266"/>
      <c r="N78" s="266"/>
      <c r="O78" s="266"/>
      <c r="P78" s="271"/>
      <c r="Q78" s="268"/>
      <c r="R78" s="269"/>
      <c r="S78" s="290"/>
      <c r="T78" s="265"/>
      <c r="U78" s="266"/>
      <c r="V78" s="266"/>
      <c r="W78" s="266"/>
      <c r="X78" s="271"/>
      <c r="Y78" s="268"/>
      <c r="Z78" s="269"/>
      <c r="AA78" s="290"/>
      <c r="AB78" s="265"/>
      <c r="AC78" s="266"/>
      <c r="AD78" s="266"/>
      <c r="AE78" s="266"/>
      <c r="AF78" s="271"/>
      <c r="AG78" s="268"/>
      <c r="AH78" s="269"/>
      <c r="AI78" s="290"/>
      <c r="AJ78" s="265"/>
      <c r="AK78" s="266"/>
      <c r="AL78" s="266"/>
      <c r="AM78" s="266"/>
      <c r="AN78" s="271"/>
      <c r="AO78" s="268"/>
      <c r="AP78" s="269"/>
      <c r="AQ78" s="290"/>
      <c r="AR78" s="272"/>
      <c r="AS78" s="268"/>
      <c r="AT78" s="268"/>
      <c r="AU78" s="268"/>
      <c r="AV78" s="273"/>
      <c r="AW78" s="268"/>
      <c r="AX78" s="269"/>
      <c r="AY78" s="45"/>
      <c r="AZ78" s="19">
        <f t="shared" ref="AZ78:AZ141" si="16">IF(COUNT(AJ78:AP78,AB78:AH78,T78:Z78,L78:R78,D78:J78)=0,AZ77,AVERAGE(AVERAGE(D78:J78),AVERAGE(L78:R78),AVERAGE(T78:Z78),AVERAGE(AB78:AH78),AVERAGE(AJ78:AP78)))</f>
        <v>0</v>
      </c>
      <c r="BA78" s="227">
        <f t="shared" si="7"/>
        <v>8</v>
      </c>
      <c r="BB78" s="173"/>
      <c r="BC78" s="173"/>
      <c r="BD78" s="173"/>
      <c r="BE78" s="173"/>
      <c r="BF78" s="173"/>
      <c r="BG78" s="173"/>
      <c r="BH78" s="173"/>
      <c r="BI78" s="173"/>
      <c r="BJ78" s="173"/>
      <c r="BK78" s="173"/>
      <c r="BL78" s="173"/>
      <c r="BM78" s="173"/>
      <c r="BN78" s="173"/>
      <c r="BO78" s="324">
        <f t="shared" si="15"/>
        <v>289</v>
      </c>
      <c r="BP78" s="319"/>
      <c r="BQ78" s="324">
        <v>280</v>
      </c>
      <c r="BR78" s="358">
        <v>0</v>
      </c>
      <c r="BS78" s="358">
        <v>8</v>
      </c>
      <c r="BT78" s="319"/>
      <c r="BU78" s="324">
        <v>291</v>
      </c>
      <c r="BV78" s="358">
        <v>43.570952380952384</v>
      </c>
      <c r="BW78" s="358">
        <v>8</v>
      </c>
      <c r="BX78" s="319"/>
      <c r="BY78" s="217"/>
      <c r="BZ78" s="219"/>
      <c r="CA78" s="262"/>
      <c r="CB78" s="218"/>
      <c r="CC78" s="217"/>
      <c r="CD78" s="219"/>
      <c r="CE78" s="217"/>
      <c r="CF78" s="220"/>
      <c r="CG78" s="211"/>
      <c r="CH78" s="211">
        <v>0</v>
      </c>
      <c r="CI78" s="262">
        <v>0</v>
      </c>
      <c r="CJ78" s="319"/>
      <c r="CK78" s="211"/>
      <c r="CL78" s="211"/>
      <c r="CM78" s="258"/>
      <c r="CN78" s="173"/>
      <c r="CO78" s="173"/>
      <c r="CP78" s="173"/>
      <c r="CQ78" s="173"/>
      <c r="CR78" s="173"/>
      <c r="CS78" s="173"/>
      <c r="CT78" s="173"/>
      <c r="CU78" s="173"/>
    </row>
    <row r="79" spans="1:99" s="4" customFormat="1">
      <c r="A79" s="16" t="s">
        <v>32</v>
      </c>
      <c r="B79" s="21"/>
      <c r="C79" s="22"/>
      <c r="D79" s="265"/>
      <c r="E79" s="266"/>
      <c r="F79" s="266"/>
      <c r="G79" s="266"/>
      <c r="H79" s="267"/>
      <c r="I79" s="268"/>
      <c r="J79" s="269"/>
      <c r="K79" s="290"/>
      <c r="L79" s="265"/>
      <c r="M79" s="266"/>
      <c r="N79" s="266"/>
      <c r="O79" s="266"/>
      <c r="P79" s="271"/>
      <c r="Q79" s="268"/>
      <c r="R79" s="269"/>
      <c r="S79" s="290"/>
      <c r="T79" s="265"/>
      <c r="U79" s="266"/>
      <c r="V79" s="266"/>
      <c r="W79" s="266"/>
      <c r="X79" s="271"/>
      <c r="Y79" s="268"/>
      <c r="Z79" s="269"/>
      <c r="AA79" s="290"/>
      <c r="AB79" s="265"/>
      <c r="AC79" s="266"/>
      <c r="AD79" s="266"/>
      <c r="AE79" s="266"/>
      <c r="AF79" s="271"/>
      <c r="AG79" s="268"/>
      <c r="AH79" s="269"/>
      <c r="AI79" s="290"/>
      <c r="AJ79" s="265"/>
      <c r="AK79" s="266"/>
      <c r="AL79" s="266"/>
      <c r="AM79" s="266"/>
      <c r="AN79" s="271"/>
      <c r="AO79" s="268"/>
      <c r="AP79" s="269"/>
      <c r="AQ79" s="290"/>
      <c r="AR79" s="272"/>
      <c r="AS79" s="268"/>
      <c r="AT79" s="268"/>
      <c r="AU79" s="268"/>
      <c r="AV79" s="273"/>
      <c r="AW79" s="268"/>
      <c r="AX79" s="269"/>
      <c r="AY79" s="45"/>
      <c r="AZ79" s="19">
        <f t="shared" si="16"/>
        <v>0</v>
      </c>
      <c r="BA79" s="227">
        <f t="shared" ref="BA79:BA142" si="17">IF(COUNT(K79,S79,AA79,AI79,AQ79)=0,BA78,AVERAGE(K79,S79,AA79,AI79,AQ79))</f>
        <v>8</v>
      </c>
      <c r="BB79" s="173"/>
      <c r="BC79" s="173"/>
      <c r="BD79" s="173"/>
      <c r="BE79" s="173"/>
      <c r="BF79" s="173"/>
      <c r="BG79" s="173"/>
      <c r="BH79" s="173"/>
      <c r="BI79" s="173"/>
      <c r="BJ79" s="173"/>
      <c r="BK79" s="173"/>
      <c r="BL79" s="173"/>
      <c r="BM79" s="173"/>
      <c r="BN79" s="173"/>
      <c r="BO79" s="324">
        <f t="shared" si="15"/>
        <v>289</v>
      </c>
      <c r="BP79" s="319"/>
      <c r="BQ79" s="324">
        <v>280</v>
      </c>
      <c r="BR79" s="358">
        <v>0</v>
      </c>
      <c r="BS79" s="358">
        <v>8</v>
      </c>
      <c r="BT79" s="319"/>
      <c r="BU79" s="324">
        <v>291</v>
      </c>
      <c r="BV79" s="358">
        <v>43.570952380952384</v>
      </c>
      <c r="BW79" s="358">
        <v>8</v>
      </c>
      <c r="BX79" s="319"/>
      <c r="BY79" s="217"/>
      <c r="BZ79" s="219"/>
      <c r="CA79" s="262"/>
      <c r="CB79" s="218"/>
      <c r="CC79" s="217"/>
      <c r="CD79" s="219"/>
      <c r="CE79" s="217"/>
      <c r="CF79" s="220"/>
      <c r="CG79" s="211"/>
      <c r="CH79" s="211">
        <v>0</v>
      </c>
      <c r="CI79" s="262">
        <v>0</v>
      </c>
      <c r="CJ79" s="319"/>
      <c r="CK79" s="211"/>
      <c r="CL79" s="211"/>
      <c r="CM79" s="258"/>
      <c r="CN79" s="173"/>
      <c r="CO79" s="173"/>
      <c r="CP79" s="173"/>
      <c r="CQ79" s="173"/>
      <c r="CR79" s="173"/>
      <c r="CS79" s="173"/>
      <c r="CT79" s="173"/>
      <c r="CU79" s="173"/>
    </row>
    <row r="80" spans="1:99" s="4" customFormat="1">
      <c r="A80" s="16" t="s">
        <v>32</v>
      </c>
      <c r="B80" s="21"/>
      <c r="C80" s="22"/>
      <c r="D80" s="265"/>
      <c r="E80" s="266"/>
      <c r="F80" s="266"/>
      <c r="G80" s="266"/>
      <c r="H80" s="267"/>
      <c r="I80" s="268"/>
      <c r="J80" s="269"/>
      <c r="K80" s="290"/>
      <c r="L80" s="265"/>
      <c r="M80" s="266"/>
      <c r="N80" s="266"/>
      <c r="O80" s="266"/>
      <c r="P80" s="271"/>
      <c r="Q80" s="268"/>
      <c r="R80" s="269"/>
      <c r="S80" s="290"/>
      <c r="T80" s="265"/>
      <c r="U80" s="266"/>
      <c r="V80" s="266"/>
      <c r="W80" s="266"/>
      <c r="X80" s="271"/>
      <c r="Y80" s="268"/>
      <c r="Z80" s="269"/>
      <c r="AA80" s="290"/>
      <c r="AB80" s="265"/>
      <c r="AC80" s="266"/>
      <c r="AD80" s="266"/>
      <c r="AE80" s="266"/>
      <c r="AF80" s="271"/>
      <c r="AG80" s="268"/>
      <c r="AH80" s="269"/>
      <c r="AI80" s="290"/>
      <c r="AJ80" s="265"/>
      <c r="AK80" s="266"/>
      <c r="AL80" s="266"/>
      <c r="AM80" s="266"/>
      <c r="AN80" s="271"/>
      <c r="AO80" s="268"/>
      <c r="AP80" s="269"/>
      <c r="AQ80" s="290"/>
      <c r="AR80" s="272"/>
      <c r="AS80" s="268"/>
      <c r="AT80" s="268"/>
      <c r="AU80" s="268"/>
      <c r="AV80" s="273"/>
      <c r="AW80" s="268"/>
      <c r="AX80" s="269"/>
      <c r="AY80" s="45"/>
      <c r="AZ80" s="19">
        <f t="shared" si="16"/>
        <v>0</v>
      </c>
      <c r="BA80" s="227">
        <f t="shared" si="17"/>
        <v>8</v>
      </c>
      <c r="BB80" s="173"/>
      <c r="BC80" s="173"/>
      <c r="BD80" s="173"/>
      <c r="BE80" s="173"/>
      <c r="BF80" s="173"/>
      <c r="BG80" s="173"/>
      <c r="BH80" s="173"/>
      <c r="BI80" s="173"/>
      <c r="BJ80" s="173"/>
      <c r="BK80" s="173"/>
      <c r="BL80" s="173"/>
      <c r="BM80" s="173"/>
      <c r="BN80" s="173"/>
      <c r="BO80" s="324">
        <f t="shared" si="15"/>
        <v>289</v>
      </c>
      <c r="BP80" s="319"/>
      <c r="BQ80" s="324">
        <v>280</v>
      </c>
      <c r="BR80" s="358">
        <v>0</v>
      </c>
      <c r="BS80" s="358">
        <v>8</v>
      </c>
      <c r="BT80" s="319"/>
      <c r="BU80" s="324">
        <v>291</v>
      </c>
      <c r="BV80" s="358">
        <v>43.570952380952384</v>
      </c>
      <c r="BW80" s="358">
        <v>8</v>
      </c>
      <c r="BX80" s="319"/>
      <c r="BY80" s="217"/>
      <c r="BZ80" s="219"/>
      <c r="CA80" s="262"/>
      <c r="CB80" s="218"/>
      <c r="CC80" s="217"/>
      <c r="CD80" s="219"/>
      <c r="CE80" s="217"/>
      <c r="CF80" s="220"/>
      <c r="CG80" s="211"/>
      <c r="CH80" s="211">
        <v>0</v>
      </c>
      <c r="CI80" s="262">
        <v>0</v>
      </c>
      <c r="CJ80" s="319"/>
      <c r="CK80" s="211"/>
      <c r="CL80" s="211"/>
      <c r="CM80" s="258"/>
      <c r="CN80" s="173"/>
      <c r="CO80" s="173"/>
      <c r="CP80" s="173"/>
      <c r="CQ80" s="173"/>
      <c r="CR80" s="173"/>
      <c r="CS80" s="173"/>
      <c r="CT80" s="173"/>
      <c r="CU80" s="173"/>
    </row>
    <row r="81" spans="1:99" s="4" customFormat="1">
      <c r="A81" s="16" t="s">
        <v>32</v>
      </c>
      <c r="B81" s="21"/>
      <c r="C81" s="22"/>
      <c r="D81" s="265"/>
      <c r="E81" s="266"/>
      <c r="F81" s="266"/>
      <c r="G81" s="266"/>
      <c r="H81" s="267"/>
      <c r="I81" s="268"/>
      <c r="J81" s="269"/>
      <c r="K81" s="290"/>
      <c r="L81" s="265"/>
      <c r="M81" s="266"/>
      <c r="N81" s="266"/>
      <c r="O81" s="266"/>
      <c r="P81" s="271"/>
      <c r="Q81" s="268"/>
      <c r="R81" s="269"/>
      <c r="S81" s="290"/>
      <c r="T81" s="265"/>
      <c r="U81" s="266"/>
      <c r="V81" s="266"/>
      <c r="W81" s="266"/>
      <c r="X81" s="271"/>
      <c r="Y81" s="268"/>
      <c r="Z81" s="269"/>
      <c r="AA81" s="290"/>
      <c r="AB81" s="265"/>
      <c r="AC81" s="266"/>
      <c r="AD81" s="266"/>
      <c r="AE81" s="266"/>
      <c r="AF81" s="271"/>
      <c r="AG81" s="268"/>
      <c r="AH81" s="269"/>
      <c r="AI81" s="290"/>
      <c r="AJ81" s="265"/>
      <c r="AK81" s="266"/>
      <c r="AL81" s="266"/>
      <c r="AM81" s="266"/>
      <c r="AN81" s="271"/>
      <c r="AO81" s="268"/>
      <c r="AP81" s="269"/>
      <c r="AQ81" s="290"/>
      <c r="AR81" s="272"/>
      <c r="AS81" s="268"/>
      <c r="AT81" s="268"/>
      <c r="AU81" s="268"/>
      <c r="AV81" s="273"/>
      <c r="AW81" s="268"/>
      <c r="AX81" s="269"/>
      <c r="AY81" s="45"/>
      <c r="AZ81" s="19">
        <f t="shared" si="16"/>
        <v>0</v>
      </c>
      <c r="BA81" s="227">
        <f t="shared" si="17"/>
        <v>8</v>
      </c>
      <c r="BB81" s="173"/>
      <c r="BC81" s="173"/>
      <c r="BD81" s="173"/>
      <c r="BE81" s="173"/>
      <c r="BF81" s="173"/>
      <c r="BG81" s="173"/>
      <c r="BH81" s="173"/>
      <c r="BI81" s="173"/>
      <c r="BJ81" s="173"/>
      <c r="BK81" s="173"/>
      <c r="BL81" s="173"/>
      <c r="BM81" s="173"/>
      <c r="BN81" s="173"/>
      <c r="BO81" s="324">
        <f t="shared" si="15"/>
        <v>289</v>
      </c>
      <c r="BP81" s="319"/>
      <c r="BQ81" s="324">
        <v>280</v>
      </c>
      <c r="BR81" s="358">
        <v>0</v>
      </c>
      <c r="BS81" s="358">
        <v>8</v>
      </c>
      <c r="BT81" s="319"/>
      <c r="BU81" s="324">
        <v>291</v>
      </c>
      <c r="BV81" s="358">
        <v>43.570952380952384</v>
      </c>
      <c r="BW81" s="358">
        <v>8</v>
      </c>
      <c r="BX81" s="319"/>
      <c r="BY81" s="217"/>
      <c r="BZ81" s="219"/>
      <c r="CA81" s="262"/>
      <c r="CB81" s="218"/>
      <c r="CC81" s="217"/>
      <c r="CD81" s="219"/>
      <c r="CE81" s="217"/>
      <c r="CF81" s="220"/>
      <c r="CG81" s="211"/>
      <c r="CH81" s="211">
        <v>0</v>
      </c>
      <c r="CI81" s="262">
        <v>0</v>
      </c>
      <c r="CJ81" s="319"/>
      <c r="CK81" s="211"/>
      <c r="CL81" s="211"/>
      <c r="CM81" s="258"/>
      <c r="CN81" s="173"/>
      <c r="CO81" s="173"/>
      <c r="CP81" s="173"/>
      <c r="CQ81" s="173"/>
      <c r="CR81" s="173"/>
      <c r="CS81" s="173"/>
      <c r="CT81" s="173"/>
      <c r="CU81" s="173"/>
    </row>
    <row r="82" spans="1:99" s="4" customFormat="1">
      <c r="A82" s="16" t="s">
        <v>32</v>
      </c>
      <c r="B82" s="21"/>
      <c r="C82" s="22"/>
      <c r="D82" s="265"/>
      <c r="E82" s="266"/>
      <c r="F82" s="266"/>
      <c r="G82" s="266"/>
      <c r="H82" s="267"/>
      <c r="I82" s="268"/>
      <c r="J82" s="269"/>
      <c r="K82" s="290"/>
      <c r="L82" s="265"/>
      <c r="M82" s="266"/>
      <c r="N82" s="266"/>
      <c r="O82" s="266"/>
      <c r="P82" s="271"/>
      <c r="Q82" s="268"/>
      <c r="R82" s="269"/>
      <c r="S82" s="290"/>
      <c r="T82" s="265"/>
      <c r="U82" s="266"/>
      <c r="V82" s="266"/>
      <c r="W82" s="266"/>
      <c r="X82" s="271"/>
      <c r="Y82" s="268"/>
      <c r="Z82" s="269"/>
      <c r="AA82" s="290"/>
      <c r="AB82" s="265"/>
      <c r="AC82" s="266"/>
      <c r="AD82" s="266"/>
      <c r="AE82" s="266"/>
      <c r="AF82" s="271"/>
      <c r="AG82" s="268"/>
      <c r="AH82" s="269"/>
      <c r="AI82" s="290"/>
      <c r="AJ82" s="265"/>
      <c r="AK82" s="266"/>
      <c r="AL82" s="266"/>
      <c r="AM82" s="266"/>
      <c r="AN82" s="271"/>
      <c r="AO82" s="268"/>
      <c r="AP82" s="269"/>
      <c r="AQ82" s="290"/>
      <c r="AR82" s="272"/>
      <c r="AS82" s="268"/>
      <c r="AT82" s="268"/>
      <c r="AU82" s="268"/>
      <c r="AV82" s="273"/>
      <c r="AW82" s="268"/>
      <c r="AX82" s="269"/>
      <c r="AY82" s="45"/>
      <c r="AZ82" s="19">
        <f t="shared" si="16"/>
        <v>0</v>
      </c>
      <c r="BA82" s="227">
        <f t="shared" si="17"/>
        <v>8</v>
      </c>
      <c r="BB82" s="173"/>
      <c r="BC82" s="173"/>
      <c r="BD82" s="173"/>
      <c r="BE82" s="173"/>
      <c r="BF82" s="173"/>
      <c r="BG82" s="173"/>
      <c r="BH82" s="173"/>
      <c r="BI82" s="173"/>
      <c r="BJ82" s="173"/>
      <c r="BK82" s="173"/>
      <c r="BL82" s="173"/>
      <c r="BM82" s="173"/>
      <c r="BN82" s="173"/>
      <c r="BO82" s="324">
        <f t="shared" si="15"/>
        <v>289</v>
      </c>
      <c r="BP82" s="319"/>
      <c r="BQ82" s="324">
        <v>280</v>
      </c>
      <c r="BR82" s="358">
        <v>0</v>
      </c>
      <c r="BS82" s="358">
        <v>8</v>
      </c>
      <c r="BT82" s="319"/>
      <c r="BU82" s="324">
        <v>291</v>
      </c>
      <c r="BV82" s="358">
        <v>43.570952380952384</v>
      </c>
      <c r="BW82" s="358">
        <v>8</v>
      </c>
      <c r="BX82" s="319"/>
      <c r="BY82" s="217"/>
      <c r="BZ82" s="219"/>
      <c r="CA82" s="262"/>
      <c r="CB82" s="218"/>
      <c r="CC82" s="217"/>
      <c r="CD82" s="219"/>
      <c r="CE82" s="217"/>
      <c r="CF82" s="220"/>
      <c r="CG82" s="211"/>
      <c r="CH82" s="211">
        <v>0</v>
      </c>
      <c r="CI82" s="262">
        <v>0</v>
      </c>
      <c r="CJ82" s="319"/>
      <c r="CK82" s="211"/>
      <c r="CL82" s="211"/>
      <c r="CM82" s="258"/>
      <c r="CN82" s="173"/>
      <c r="CO82" s="173"/>
      <c r="CP82" s="173"/>
      <c r="CQ82" s="173"/>
      <c r="CR82" s="173"/>
      <c r="CS82" s="173"/>
      <c r="CT82" s="173"/>
      <c r="CU82" s="173"/>
    </row>
    <row r="83" spans="1:99" s="4" customFormat="1">
      <c r="A83" s="16" t="s">
        <v>32</v>
      </c>
      <c r="B83" s="21"/>
      <c r="C83" s="22"/>
      <c r="D83" s="265"/>
      <c r="E83" s="266"/>
      <c r="F83" s="266"/>
      <c r="G83" s="266"/>
      <c r="H83" s="267"/>
      <c r="I83" s="268"/>
      <c r="J83" s="269"/>
      <c r="K83" s="290"/>
      <c r="L83" s="265"/>
      <c r="M83" s="266"/>
      <c r="N83" s="266"/>
      <c r="O83" s="266"/>
      <c r="P83" s="271"/>
      <c r="Q83" s="268"/>
      <c r="R83" s="269"/>
      <c r="S83" s="290"/>
      <c r="T83" s="265"/>
      <c r="U83" s="266"/>
      <c r="V83" s="266"/>
      <c r="W83" s="266"/>
      <c r="X83" s="271"/>
      <c r="Y83" s="268"/>
      <c r="Z83" s="269"/>
      <c r="AA83" s="290"/>
      <c r="AB83" s="265"/>
      <c r="AC83" s="266"/>
      <c r="AD83" s="266"/>
      <c r="AE83" s="266"/>
      <c r="AF83" s="271"/>
      <c r="AG83" s="268"/>
      <c r="AH83" s="269"/>
      <c r="AI83" s="290"/>
      <c r="AJ83" s="265"/>
      <c r="AK83" s="266"/>
      <c r="AL83" s="266"/>
      <c r="AM83" s="266"/>
      <c r="AN83" s="271"/>
      <c r="AO83" s="268"/>
      <c r="AP83" s="269"/>
      <c r="AQ83" s="290"/>
      <c r="AR83" s="272"/>
      <c r="AS83" s="268"/>
      <c r="AT83" s="268"/>
      <c r="AU83" s="268"/>
      <c r="AV83" s="273"/>
      <c r="AW83" s="268"/>
      <c r="AX83" s="269"/>
      <c r="AY83" s="45"/>
      <c r="AZ83" s="19">
        <f t="shared" si="16"/>
        <v>0</v>
      </c>
      <c r="BA83" s="227">
        <f t="shared" si="17"/>
        <v>8</v>
      </c>
      <c r="BB83" s="173"/>
      <c r="BC83" s="173"/>
      <c r="BD83" s="173"/>
      <c r="BE83" s="173"/>
      <c r="BF83" s="173"/>
      <c r="BG83" s="173"/>
      <c r="BH83" s="173"/>
      <c r="BI83" s="173"/>
      <c r="BJ83" s="173"/>
      <c r="BK83" s="173"/>
      <c r="BL83" s="173"/>
      <c r="BM83" s="173"/>
      <c r="BN83" s="173"/>
      <c r="BO83" s="324">
        <f t="shared" si="15"/>
        <v>289</v>
      </c>
      <c r="BP83" s="319"/>
      <c r="BQ83" s="324">
        <v>280</v>
      </c>
      <c r="BR83" s="358">
        <v>0</v>
      </c>
      <c r="BS83" s="358">
        <v>8</v>
      </c>
      <c r="BT83" s="319"/>
      <c r="BU83" s="324">
        <v>291</v>
      </c>
      <c r="BV83" s="358">
        <v>43.570952380952384</v>
      </c>
      <c r="BW83" s="358">
        <v>8</v>
      </c>
      <c r="BX83" s="319"/>
      <c r="BY83" s="217"/>
      <c r="BZ83" s="219"/>
      <c r="CA83" s="262"/>
      <c r="CB83" s="218"/>
      <c r="CC83" s="217"/>
      <c r="CD83" s="219"/>
      <c r="CE83" s="217"/>
      <c r="CF83" s="220"/>
      <c r="CG83" s="211"/>
      <c r="CH83" s="211">
        <v>0</v>
      </c>
      <c r="CI83" s="262">
        <v>0</v>
      </c>
      <c r="CJ83" s="319"/>
      <c r="CK83" s="211"/>
      <c r="CL83" s="211"/>
      <c r="CM83" s="258"/>
      <c r="CN83" s="173"/>
      <c r="CO83" s="173"/>
      <c r="CP83" s="173"/>
      <c r="CQ83" s="173"/>
      <c r="CR83" s="173"/>
      <c r="CS83" s="173"/>
      <c r="CT83" s="173"/>
      <c r="CU83" s="173"/>
    </row>
    <row r="84" spans="1:99" s="4" customFormat="1">
      <c r="A84" s="16" t="s">
        <v>32</v>
      </c>
      <c r="B84" s="21"/>
      <c r="C84" s="22"/>
      <c r="D84" s="265"/>
      <c r="E84" s="266"/>
      <c r="F84" s="266"/>
      <c r="G84" s="266"/>
      <c r="H84" s="267"/>
      <c r="I84" s="268"/>
      <c r="J84" s="269"/>
      <c r="K84" s="290"/>
      <c r="L84" s="265"/>
      <c r="M84" s="266"/>
      <c r="N84" s="266"/>
      <c r="O84" s="266"/>
      <c r="P84" s="271"/>
      <c r="Q84" s="268"/>
      <c r="R84" s="269"/>
      <c r="S84" s="290"/>
      <c r="T84" s="265"/>
      <c r="U84" s="266"/>
      <c r="V84" s="266"/>
      <c r="W84" s="266"/>
      <c r="X84" s="271"/>
      <c r="Y84" s="268"/>
      <c r="Z84" s="269"/>
      <c r="AA84" s="290"/>
      <c r="AB84" s="265"/>
      <c r="AC84" s="266"/>
      <c r="AD84" s="266"/>
      <c r="AE84" s="266"/>
      <c r="AF84" s="271"/>
      <c r="AG84" s="268"/>
      <c r="AH84" s="269"/>
      <c r="AI84" s="290"/>
      <c r="AJ84" s="265"/>
      <c r="AK84" s="266"/>
      <c r="AL84" s="266"/>
      <c r="AM84" s="266"/>
      <c r="AN84" s="271"/>
      <c r="AO84" s="268"/>
      <c r="AP84" s="269"/>
      <c r="AQ84" s="290"/>
      <c r="AR84" s="272"/>
      <c r="AS84" s="268"/>
      <c r="AT84" s="268"/>
      <c r="AU84" s="268"/>
      <c r="AV84" s="273"/>
      <c r="AW84" s="268"/>
      <c r="AX84" s="269"/>
      <c r="AY84" s="45"/>
      <c r="AZ84" s="19">
        <f t="shared" si="16"/>
        <v>0</v>
      </c>
      <c r="BA84" s="227">
        <f t="shared" si="17"/>
        <v>8</v>
      </c>
      <c r="BB84" s="173"/>
      <c r="BC84" s="173"/>
      <c r="BD84" s="173"/>
      <c r="BE84" s="173"/>
      <c r="BF84" s="173"/>
      <c r="BG84" s="173"/>
      <c r="BH84" s="173"/>
      <c r="BI84" s="173"/>
      <c r="BJ84" s="173"/>
      <c r="BK84" s="173"/>
      <c r="BL84" s="173"/>
      <c r="BM84" s="173"/>
      <c r="BN84" s="173"/>
      <c r="BO84" s="324">
        <f t="shared" si="15"/>
        <v>289</v>
      </c>
      <c r="BP84" s="319"/>
      <c r="BQ84" s="324">
        <v>280</v>
      </c>
      <c r="BR84" s="358">
        <v>0</v>
      </c>
      <c r="BS84" s="358">
        <v>8</v>
      </c>
      <c r="BT84" s="319"/>
      <c r="BU84" s="324">
        <v>291</v>
      </c>
      <c r="BV84" s="358">
        <v>43.570952380952384</v>
      </c>
      <c r="BW84" s="358">
        <v>8</v>
      </c>
      <c r="BX84" s="319"/>
      <c r="BY84" s="217"/>
      <c r="BZ84" s="219"/>
      <c r="CA84" s="262"/>
      <c r="CB84" s="218"/>
      <c r="CC84" s="217"/>
      <c r="CD84" s="219"/>
      <c r="CE84" s="217"/>
      <c r="CF84" s="220"/>
      <c r="CG84" s="211"/>
      <c r="CH84" s="211">
        <v>0</v>
      </c>
      <c r="CI84" s="262">
        <v>0</v>
      </c>
      <c r="CJ84" s="319"/>
      <c r="CK84" s="211"/>
      <c r="CL84" s="211"/>
      <c r="CM84" s="258"/>
      <c r="CN84" s="173"/>
      <c r="CO84" s="173"/>
      <c r="CP84" s="173"/>
      <c r="CQ84" s="173"/>
      <c r="CR84" s="173"/>
      <c r="CS84" s="173"/>
      <c r="CT84" s="173"/>
      <c r="CU84" s="173"/>
    </row>
    <row r="85" spans="1:99" s="4" customFormat="1">
      <c r="A85" s="16" t="s">
        <v>32</v>
      </c>
      <c r="B85" s="21"/>
      <c r="C85" s="22"/>
      <c r="D85" s="265"/>
      <c r="E85" s="266"/>
      <c r="F85" s="266"/>
      <c r="G85" s="266"/>
      <c r="H85" s="267"/>
      <c r="I85" s="268"/>
      <c r="J85" s="269"/>
      <c r="K85" s="290"/>
      <c r="L85" s="265"/>
      <c r="M85" s="266"/>
      <c r="N85" s="266"/>
      <c r="O85" s="266"/>
      <c r="P85" s="271"/>
      <c r="Q85" s="268"/>
      <c r="R85" s="269"/>
      <c r="S85" s="290"/>
      <c r="T85" s="265"/>
      <c r="U85" s="266"/>
      <c r="V85" s="266"/>
      <c r="W85" s="266"/>
      <c r="X85" s="271"/>
      <c r="Y85" s="268"/>
      <c r="Z85" s="269"/>
      <c r="AA85" s="290"/>
      <c r="AB85" s="265"/>
      <c r="AC85" s="266"/>
      <c r="AD85" s="266"/>
      <c r="AE85" s="266"/>
      <c r="AF85" s="271"/>
      <c r="AG85" s="268"/>
      <c r="AH85" s="269"/>
      <c r="AI85" s="290"/>
      <c r="AJ85" s="265"/>
      <c r="AK85" s="266"/>
      <c r="AL85" s="266"/>
      <c r="AM85" s="266"/>
      <c r="AN85" s="271"/>
      <c r="AO85" s="268"/>
      <c r="AP85" s="269"/>
      <c r="AQ85" s="290"/>
      <c r="AR85" s="272"/>
      <c r="AS85" s="268"/>
      <c r="AT85" s="268"/>
      <c r="AU85" s="268"/>
      <c r="AV85" s="273"/>
      <c r="AW85" s="268"/>
      <c r="AX85" s="269"/>
      <c r="AY85" s="45"/>
      <c r="AZ85" s="19">
        <f t="shared" si="16"/>
        <v>0</v>
      </c>
      <c r="BA85" s="227">
        <f t="shared" si="17"/>
        <v>8</v>
      </c>
      <c r="BB85" s="173"/>
      <c r="BC85" s="173"/>
      <c r="BD85" s="173"/>
      <c r="BE85" s="173"/>
      <c r="BF85" s="173"/>
      <c r="BG85" s="173"/>
      <c r="BH85" s="173"/>
      <c r="BI85" s="173"/>
      <c r="BJ85" s="173"/>
      <c r="BK85" s="173"/>
      <c r="BL85" s="173"/>
      <c r="BM85" s="173"/>
      <c r="BN85" s="173"/>
      <c r="BO85" s="324">
        <f t="shared" si="15"/>
        <v>289</v>
      </c>
      <c r="BP85" s="319"/>
      <c r="BQ85" s="324">
        <v>280</v>
      </c>
      <c r="BR85" s="358">
        <v>0</v>
      </c>
      <c r="BS85" s="358">
        <v>8</v>
      </c>
      <c r="BT85" s="319"/>
      <c r="BU85" s="324">
        <v>291</v>
      </c>
      <c r="BV85" s="358">
        <v>43.570952380952384</v>
      </c>
      <c r="BW85" s="358">
        <v>8</v>
      </c>
      <c r="BX85" s="319"/>
      <c r="BY85" s="217"/>
      <c r="BZ85" s="219"/>
      <c r="CA85" s="262"/>
      <c r="CB85" s="218"/>
      <c r="CC85" s="217"/>
      <c r="CD85" s="219"/>
      <c r="CE85" s="217"/>
      <c r="CF85" s="220"/>
      <c r="CG85" s="211"/>
      <c r="CH85" s="211">
        <v>0</v>
      </c>
      <c r="CI85" s="262">
        <v>0</v>
      </c>
      <c r="CJ85" s="319"/>
      <c r="CK85" s="211"/>
      <c r="CL85" s="211"/>
      <c r="CM85" s="258"/>
      <c r="CN85" s="173"/>
      <c r="CO85" s="173"/>
      <c r="CP85" s="173"/>
      <c r="CQ85" s="173"/>
      <c r="CR85" s="173"/>
      <c r="CS85" s="173"/>
      <c r="CT85" s="173"/>
      <c r="CU85" s="173"/>
    </row>
    <row r="86" spans="1:99" s="4" customFormat="1">
      <c r="A86" s="16" t="s">
        <v>32</v>
      </c>
      <c r="B86" s="21"/>
      <c r="C86" s="22"/>
      <c r="D86" s="265"/>
      <c r="E86" s="266"/>
      <c r="F86" s="266"/>
      <c r="G86" s="266"/>
      <c r="H86" s="267"/>
      <c r="I86" s="268"/>
      <c r="J86" s="269"/>
      <c r="K86" s="290"/>
      <c r="L86" s="265"/>
      <c r="M86" s="266"/>
      <c r="N86" s="266"/>
      <c r="O86" s="266"/>
      <c r="P86" s="271"/>
      <c r="Q86" s="268"/>
      <c r="R86" s="269"/>
      <c r="S86" s="290"/>
      <c r="T86" s="265"/>
      <c r="U86" s="266"/>
      <c r="V86" s="266"/>
      <c r="W86" s="266"/>
      <c r="X86" s="271"/>
      <c r="Y86" s="268"/>
      <c r="Z86" s="269"/>
      <c r="AA86" s="290"/>
      <c r="AB86" s="265"/>
      <c r="AC86" s="266"/>
      <c r="AD86" s="266"/>
      <c r="AE86" s="266"/>
      <c r="AF86" s="271"/>
      <c r="AG86" s="268"/>
      <c r="AH86" s="269"/>
      <c r="AI86" s="290"/>
      <c r="AJ86" s="265"/>
      <c r="AK86" s="266"/>
      <c r="AL86" s="266"/>
      <c r="AM86" s="266"/>
      <c r="AN86" s="271"/>
      <c r="AO86" s="268"/>
      <c r="AP86" s="269"/>
      <c r="AQ86" s="290"/>
      <c r="AR86" s="272"/>
      <c r="AS86" s="268"/>
      <c r="AT86" s="268"/>
      <c r="AU86" s="268"/>
      <c r="AV86" s="273"/>
      <c r="AW86" s="268"/>
      <c r="AX86" s="269"/>
      <c r="AY86" s="45"/>
      <c r="AZ86" s="19">
        <f t="shared" si="16"/>
        <v>0</v>
      </c>
      <c r="BA86" s="227">
        <f t="shared" si="17"/>
        <v>8</v>
      </c>
      <c r="BB86" s="173"/>
      <c r="BC86" s="173"/>
      <c r="BD86" s="173"/>
      <c r="BE86" s="173"/>
      <c r="BF86" s="173"/>
      <c r="BG86" s="173"/>
      <c r="BH86" s="173"/>
      <c r="BI86" s="173"/>
      <c r="BJ86" s="173"/>
      <c r="BK86" s="173"/>
      <c r="BL86" s="173"/>
      <c r="BM86" s="173"/>
      <c r="BN86" s="173"/>
      <c r="BO86" s="324">
        <f t="shared" si="15"/>
        <v>289</v>
      </c>
      <c r="BP86" s="319"/>
      <c r="BQ86" s="324">
        <v>280</v>
      </c>
      <c r="BR86" s="358">
        <v>0</v>
      </c>
      <c r="BS86" s="358">
        <v>8</v>
      </c>
      <c r="BT86" s="319"/>
      <c r="BU86" s="324">
        <v>291</v>
      </c>
      <c r="BV86" s="358">
        <v>43.570952380952384</v>
      </c>
      <c r="BW86" s="358">
        <v>8</v>
      </c>
      <c r="BX86" s="319"/>
      <c r="BY86" s="217"/>
      <c r="BZ86" s="219"/>
      <c r="CA86" s="262"/>
      <c r="CB86" s="218"/>
      <c r="CC86" s="217"/>
      <c r="CD86" s="219"/>
      <c r="CE86" s="217"/>
      <c r="CF86" s="220"/>
      <c r="CG86" s="211"/>
      <c r="CH86" s="211">
        <v>0</v>
      </c>
      <c r="CI86" s="262">
        <v>0</v>
      </c>
      <c r="CJ86" s="319"/>
      <c r="CK86" s="211"/>
      <c r="CL86" s="211"/>
      <c r="CM86" s="258"/>
      <c r="CN86" s="173"/>
      <c r="CO86" s="173"/>
      <c r="CP86" s="173"/>
      <c r="CQ86" s="173"/>
      <c r="CR86" s="173"/>
      <c r="CS86" s="173"/>
      <c r="CT86" s="173"/>
      <c r="CU86" s="173"/>
    </row>
    <row r="87" spans="1:99" s="4" customFormat="1">
      <c r="A87" s="16" t="s">
        <v>32</v>
      </c>
      <c r="B87" s="21"/>
      <c r="C87" s="22"/>
      <c r="D87" s="265"/>
      <c r="E87" s="266"/>
      <c r="F87" s="266"/>
      <c r="G87" s="266"/>
      <c r="H87" s="267"/>
      <c r="I87" s="268"/>
      <c r="J87" s="269"/>
      <c r="K87" s="290"/>
      <c r="L87" s="265"/>
      <c r="M87" s="266"/>
      <c r="N87" s="266"/>
      <c r="O87" s="266"/>
      <c r="P87" s="271"/>
      <c r="Q87" s="268"/>
      <c r="R87" s="269"/>
      <c r="S87" s="290"/>
      <c r="T87" s="265"/>
      <c r="U87" s="266"/>
      <c r="V87" s="266"/>
      <c r="W87" s="266"/>
      <c r="X87" s="271"/>
      <c r="Y87" s="268"/>
      <c r="Z87" s="269"/>
      <c r="AA87" s="290"/>
      <c r="AB87" s="265"/>
      <c r="AC87" s="266"/>
      <c r="AD87" s="266"/>
      <c r="AE87" s="266"/>
      <c r="AF87" s="271"/>
      <c r="AG87" s="268"/>
      <c r="AH87" s="269"/>
      <c r="AI87" s="290"/>
      <c r="AJ87" s="265"/>
      <c r="AK87" s="266"/>
      <c r="AL87" s="266"/>
      <c r="AM87" s="266"/>
      <c r="AN87" s="271"/>
      <c r="AO87" s="268"/>
      <c r="AP87" s="269"/>
      <c r="AQ87" s="290"/>
      <c r="AR87" s="272"/>
      <c r="AS87" s="268"/>
      <c r="AT87" s="268"/>
      <c r="AU87" s="268"/>
      <c r="AV87" s="273"/>
      <c r="AW87" s="268"/>
      <c r="AX87" s="269"/>
      <c r="AY87" s="45"/>
      <c r="AZ87" s="19">
        <f t="shared" si="16"/>
        <v>0</v>
      </c>
      <c r="BA87" s="227">
        <f t="shared" si="17"/>
        <v>8</v>
      </c>
      <c r="BB87" s="173"/>
      <c r="BC87" s="173"/>
      <c r="BD87" s="173"/>
      <c r="BE87" s="173"/>
      <c r="BF87" s="173"/>
      <c r="BG87" s="173"/>
      <c r="BH87" s="173"/>
      <c r="BI87" s="173"/>
      <c r="BJ87" s="173"/>
      <c r="BK87" s="173"/>
      <c r="BL87" s="173"/>
      <c r="BM87" s="173"/>
      <c r="BN87" s="173"/>
      <c r="BO87" s="324">
        <f t="shared" si="15"/>
        <v>289</v>
      </c>
      <c r="BP87" s="319"/>
      <c r="BQ87" s="324">
        <v>280</v>
      </c>
      <c r="BR87" s="358">
        <v>0</v>
      </c>
      <c r="BS87" s="358">
        <v>8</v>
      </c>
      <c r="BT87" s="319"/>
      <c r="BU87" s="324">
        <v>291</v>
      </c>
      <c r="BV87" s="358">
        <v>43.570952380952384</v>
      </c>
      <c r="BW87" s="358">
        <v>8</v>
      </c>
      <c r="BX87" s="319"/>
      <c r="BY87" s="217"/>
      <c r="BZ87" s="219"/>
      <c r="CA87" s="262"/>
      <c r="CB87" s="218"/>
      <c r="CC87" s="217"/>
      <c r="CD87" s="219"/>
      <c r="CE87" s="217"/>
      <c r="CF87" s="220"/>
      <c r="CG87" s="211"/>
      <c r="CH87" s="211">
        <v>0</v>
      </c>
      <c r="CI87" s="262">
        <v>0</v>
      </c>
      <c r="CJ87" s="319"/>
      <c r="CK87" s="211"/>
      <c r="CL87" s="211"/>
      <c r="CM87" s="258"/>
      <c r="CN87" s="173"/>
      <c r="CO87" s="173"/>
      <c r="CP87" s="173"/>
      <c r="CQ87" s="173"/>
      <c r="CR87" s="173"/>
      <c r="CS87" s="173"/>
      <c r="CT87" s="173"/>
      <c r="CU87" s="173"/>
    </row>
    <row r="88" spans="1:99" s="4" customFormat="1">
      <c r="A88" s="16" t="s">
        <v>32</v>
      </c>
      <c r="B88" s="21"/>
      <c r="C88" s="22"/>
      <c r="D88" s="265"/>
      <c r="E88" s="266"/>
      <c r="F88" s="266"/>
      <c r="G88" s="266"/>
      <c r="H88" s="267"/>
      <c r="I88" s="268"/>
      <c r="J88" s="269"/>
      <c r="K88" s="290"/>
      <c r="L88" s="265"/>
      <c r="M88" s="266"/>
      <c r="N88" s="266"/>
      <c r="O88" s="266"/>
      <c r="P88" s="271"/>
      <c r="Q88" s="268"/>
      <c r="R88" s="269"/>
      <c r="S88" s="290"/>
      <c r="T88" s="265"/>
      <c r="U88" s="266"/>
      <c r="V88" s="266"/>
      <c r="W88" s="266"/>
      <c r="X88" s="271"/>
      <c r="Y88" s="268"/>
      <c r="Z88" s="269"/>
      <c r="AA88" s="290"/>
      <c r="AB88" s="265"/>
      <c r="AC88" s="266"/>
      <c r="AD88" s="266"/>
      <c r="AE88" s="266"/>
      <c r="AF88" s="271"/>
      <c r="AG88" s="268"/>
      <c r="AH88" s="269"/>
      <c r="AI88" s="290"/>
      <c r="AJ88" s="265"/>
      <c r="AK88" s="266"/>
      <c r="AL88" s="266"/>
      <c r="AM88" s="266"/>
      <c r="AN88" s="271"/>
      <c r="AO88" s="268"/>
      <c r="AP88" s="269"/>
      <c r="AQ88" s="290"/>
      <c r="AR88" s="272"/>
      <c r="AS88" s="268"/>
      <c r="AT88" s="268"/>
      <c r="AU88" s="268"/>
      <c r="AV88" s="273"/>
      <c r="AW88" s="268"/>
      <c r="AX88" s="269"/>
      <c r="AY88" s="45"/>
      <c r="AZ88" s="19">
        <f t="shared" si="16"/>
        <v>0</v>
      </c>
      <c r="BA88" s="227">
        <f t="shared" si="17"/>
        <v>8</v>
      </c>
      <c r="BB88" s="173"/>
      <c r="BC88" s="173"/>
      <c r="BD88" s="173"/>
      <c r="BE88" s="173"/>
      <c r="BF88" s="173"/>
      <c r="BG88" s="173"/>
      <c r="BH88" s="173"/>
      <c r="BI88" s="173"/>
      <c r="BJ88" s="173"/>
      <c r="BK88" s="173"/>
      <c r="BL88" s="173"/>
      <c r="BM88" s="173"/>
      <c r="BN88" s="173"/>
      <c r="BO88" s="324">
        <f t="shared" si="15"/>
        <v>289</v>
      </c>
      <c r="BP88" s="319"/>
      <c r="BQ88" s="324">
        <v>280</v>
      </c>
      <c r="BR88" s="358">
        <v>0</v>
      </c>
      <c r="BS88" s="358">
        <v>8</v>
      </c>
      <c r="BT88" s="319"/>
      <c r="BU88" s="324">
        <v>291</v>
      </c>
      <c r="BV88" s="358">
        <v>43.570952380952384</v>
      </c>
      <c r="BW88" s="358">
        <v>8</v>
      </c>
      <c r="BX88" s="319"/>
      <c r="BY88" s="217"/>
      <c r="BZ88" s="219"/>
      <c r="CA88" s="262"/>
      <c r="CB88" s="218"/>
      <c r="CC88" s="217"/>
      <c r="CD88" s="219"/>
      <c r="CE88" s="217"/>
      <c r="CF88" s="220"/>
      <c r="CG88" s="211"/>
      <c r="CH88" s="211">
        <v>0</v>
      </c>
      <c r="CI88" s="262">
        <v>0</v>
      </c>
      <c r="CJ88" s="319"/>
      <c r="CK88" s="211"/>
      <c r="CL88" s="211"/>
      <c r="CM88" s="258"/>
      <c r="CN88" s="173"/>
      <c r="CO88" s="173"/>
      <c r="CP88" s="173"/>
      <c r="CQ88" s="173"/>
      <c r="CR88" s="173"/>
      <c r="CS88" s="173"/>
      <c r="CT88" s="173"/>
      <c r="CU88" s="173"/>
    </row>
    <row r="89" spans="1:99" s="4" customFormat="1">
      <c r="A89" s="16" t="s">
        <v>32</v>
      </c>
      <c r="B89" s="21"/>
      <c r="C89" s="22"/>
      <c r="D89" s="265"/>
      <c r="E89" s="266"/>
      <c r="F89" s="266"/>
      <c r="G89" s="266"/>
      <c r="H89" s="267"/>
      <c r="I89" s="268"/>
      <c r="J89" s="269"/>
      <c r="K89" s="290"/>
      <c r="L89" s="265"/>
      <c r="M89" s="266"/>
      <c r="N89" s="266"/>
      <c r="O89" s="266"/>
      <c r="P89" s="271"/>
      <c r="Q89" s="268"/>
      <c r="R89" s="269"/>
      <c r="S89" s="290"/>
      <c r="T89" s="265"/>
      <c r="U89" s="266"/>
      <c r="V89" s="266"/>
      <c r="W89" s="266"/>
      <c r="X89" s="271"/>
      <c r="Y89" s="268"/>
      <c r="Z89" s="269"/>
      <c r="AA89" s="290"/>
      <c r="AB89" s="265"/>
      <c r="AC89" s="266"/>
      <c r="AD89" s="266"/>
      <c r="AE89" s="266"/>
      <c r="AF89" s="271"/>
      <c r="AG89" s="268"/>
      <c r="AH89" s="269"/>
      <c r="AI89" s="290"/>
      <c r="AJ89" s="265"/>
      <c r="AK89" s="266"/>
      <c r="AL89" s="266"/>
      <c r="AM89" s="266"/>
      <c r="AN89" s="271"/>
      <c r="AO89" s="268"/>
      <c r="AP89" s="269"/>
      <c r="AQ89" s="290"/>
      <c r="AR89" s="272"/>
      <c r="AS89" s="268"/>
      <c r="AT89" s="268"/>
      <c r="AU89" s="268"/>
      <c r="AV89" s="273"/>
      <c r="AW89" s="268"/>
      <c r="AX89" s="269"/>
      <c r="AY89" s="45"/>
      <c r="AZ89" s="19">
        <f t="shared" si="16"/>
        <v>0</v>
      </c>
      <c r="BA89" s="227">
        <f t="shared" si="17"/>
        <v>8</v>
      </c>
      <c r="BB89" s="173"/>
      <c r="BC89" s="173"/>
      <c r="BD89" s="173"/>
      <c r="BE89" s="173"/>
      <c r="BF89" s="173"/>
      <c r="BG89" s="173"/>
      <c r="BH89" s="173"/>
      <c r="BI89" s="173"/>
      <c r="BJ89" s="173"/>
      <c r="BK89" s="173"/>
      <c r="BL89" s="173"/>
      <c r="BM89" s="173"/>
      <c r="BN89" s="173"/>
      <c r="BO89" s="324">
        <f t="shared" si="15"/>
        <v>289</v>
      </c>
      <c r="BP89" s="319"/>
      <c r="BQ89" s="324">
        <v>280</v>
      </c>
      <c r="BR89" s="358">
        <v>0</v>
      </c>
      <c r="BS89" s="358">
        <v>8</v>
      </c>
      <c r="BT89" s="319"/>
      <c r="BU89" s="324">
        <v>291</v>
      </c>
      <c r="BV89" s="358">
        <v>43.570952380952384</v>
      </c>
      <c r="BW89" s="358">
        <v>8</v>
      </c>
      <c r="BX89" s="319"/>
      <c r="BY89" s="217"/>
      <c r="BZ89" s="219"/>
      <c r="CA89" s="262"/>
      <c r="CB89" s="218"/>
      <c r="CC89" s="217"/>
      <c r="CD89" s="219"/>
      <c r="CE89" s="217"/>
      <c r="CF89" s="220"/>
      <c r="CG89" s="211"/>
      <c r="CH89" s="211">
        <v>0</v>
      </c>
      <c r="CI89" s="262">
        <v>0</v>
      </c>
      <c r="CJ89" s="319"/>
      <c r="CK89" s="211"/>
      <c r="CL89" s="211"/>
      <c r="CM89" s="258"/>
      <c r="CN89" s="173"/>
      <c r="CO89" s="173"/>
      <c r="CP89" s="173"/>
      <c r="CQ89" s="173"/>
      <c r="CR89" s="173"/>
      <c r="CS89" s="173"/>
      <c r="CT89" s="173"/>
      <c r="CU89" s="173"/>
    </row>
    <row r="90" spans="1:99" s="4" customFormat="1">
      <c r="A90" s="16" t="s">
        <v>32</v>
      </c>
      <c r="B90" s="21"/>
      <c r="C90" s="22"/>
      <c r="D90" s="265"/>
      <c r="E90" s="266"/>
      <c r="F90" s="266"/>
      <c r="G90" s="266"/>
      <c r="H90" s="267"/>
      <c r="I90" s="268"/>
      <c r="J90" s="269"/>
      <c r="K90" s="290"/>
      <c r="L90" s="265"/>
      <c r="M90" s="266"/>
      <c r="N90" s="266"/>
      <c r="O90" s="266"/>
      <c r="P90" s="271"/>
      <c r="Q90" s="268"/>
      <c r="R90" s="269"/>
      <c r="S90" s="290"/>
      <c r="T90" s="265"/>
      <c r="U90" s="266"/>
      <c r="V90" s="266"/>
      <c r="W90" s="266"/>
      <c r="X90" s="271"/>
      <c r="Y90" s="268"/>
      <c r="Z90" s="269"/>
      <c r="AA90" s="290"/>
      <c r="AB90" s="265"/>
      <c r="AC90" s="266"/>
      <c r="AD90" s="266"/>
      <c r="AE90" s="266"/>
      <c r="AF90" s="271"/>
      <c r="AG90" s="268"/>
      <c r="AH90" s="269"/>
      <c r="AI90" s="290"/>
      <c r="AJ90" s="265"/>
      <c r="AK90" s="266"/>
      <c r="AL90" s="266"/>
      <c r="AM90" s="266"/>
      <c r="AN90" s="271"/>
      <c r="AO90" s="268"/>
      <c r="AP90" s="269"/>
      <c r="AQ90" s="290"/>
      <c r="AR90" s="272"/>
      <c r="AS90" s="268"/>
      <c r="AT90" s="268"/>
      <c r="AU90" s="268"/>
      <c r="AV90" s="273"/>
      <c r="AW90" s="268"/>
      <c r="AX90" s="269"/>
      <c r="AY90" s="45"/>
      <c r="AZ90" s="19">
        <f t="shared" si="16"/>
        <v>0</v>
      </c>
      <c r="BA90" s="227">
        <f t="shared" si="17"/>
        <v>8</v>
      </c>
      <c r="BB90" s="173"/>
      <c r="BC90" s="173"/>
      <c r="BD90" s="173"/>
      <c r="BE90" s="173"/>
      <c r="BF90" s="173"/>
      <c r="BG90" s="173"/>
      <c r="BH90" s="173"/>
      <c r="BI90" s="173"/>
      <c r="BJ90" s="173"/>
      <c r="BK90" s="173"/>
      <c r="BL90" s="173"/>
      <c r="BM90" s="173"/>
      <c r="BN90" s="173"/>
      <c r="BO90" s="324">
        <f t="shared" si="15"/>
        <v>289</v>
      </c>
      <c r="BP90" s="319"/>
      <c r="BQ90" s="324">
        <v>280</v>
      </c>
      <c r="BR90" s="358">
        <v>0</v>
      </c>
      <c r="BS90" s="358">
        <v>8</v>
      </c>
      <c r="BT90" s="319"/>
      <c r="BU90" s="324">
        <v>291</v>
      </c>
      <c r="BV90" s="358">
        <v>43.570952380952384</v>
      </c>
      <c r="BW90" s="358">
        <v>8</v>
      </c>
      <c r="BX90" s="319"/>
      <c r="BY90" s="217"/>
      <c r="BZ90" s="219"/>
      <c r="CA90" s="262"/>
      <c r="CB90" s="218"/>
      <c r="CC90" s="217"/>
      <c r="CD90" s="219"/>
      <c r="CE90" s="217"/>
      <c r="CF90" s="220"/>
      <c r="CG90" s="211"/>
      <c r="CH90" s="211">
        <v>0</v>
      </c>
      <c r="CI90" s="262">
        <v>0</v>
      </c>
      <c r="CJ90" s="319"/>
      <c r="CK90" s="211"/>
      <c r="CL90" s="211"/>
      <c r="CM90" s="258"/>
      <c r="CN90" s="173"/>
      <c r="CO90" s="173"/>
      <c r="CP90" s="173"/>
      <c r="CQ90" s="173"/>
      <c r="CR90" s="173"/>
      <c r="CS90" s="173"/>
      <c r="CT90" s="173"/>
      <c r="CU90" s="173"/>
    </row>
    <row r="91" spans="1:99" s="4" customFormat="1">
      <c r="A91" s="16" t="s">
        <v>32</v>
      </c>
      <c r="B91" s="21"/>
      <c r="C91" s="22"/>
      <c r="D91" s="265"/>
      <c r="E91" s="266"/>
      <c r="F91" s="266"/>
      <c r="G91" s="266"/>
      <c r="H91" s="267"/>
      <c r="I91" s="268"/>
      <c r="J91" s="269"/>
      <c r="K91" s="290"/>
      <c r="L91" s="265"/>
      <c r="M91" s="266"/>
      <c r="N91" s="266"/>
      <c r="O91" s="266"/>
      <c r="P91" s="271"/>
      <c r="Q91" s="268"/>
      <c r="R91" s="269"/>
      <c r="S91" s="290"/>
      <c r="T91" s="265"/>
      <c r="U91" s="266"/>
      <c r="V91" s="266"/>
      <c r="W91" s="266"/>
      <c r="X91" s="271"/>
      <c r="Y91" s="268"/>
      <c r="Z91" s="269"/>
      <c r="AA91" s="290"/>
      <c r="AB91" s="265"/>
      <c r="AC91" s="266"/>
      <c r="AD91" s="266"/>
      <c r="AE91" s="266"/>
      <c r="AF91" s="271"/>
      <c r="AG91" s="268"/>
      <c r="AH91" s="269"/>
      <c r="AI91" s="290"/>
      <c r="AJ91" s="265"/>
      <c r="AK91" s="266"/>
      <c r="AL91" s="266"/>
      <c r="AM91" s="266"/>
      <c r="AN91" s="271"/>
      <c r="AO91" s="268"/>
      <c r="AP91" s="269"/>
      <c r="AQ91" s="290"/>
      <c r="AR91" s="272"/>
      <c r="AS91" s="268"/>
      <c r="AT91" s="268"/>
      <c r="AU91" s="268"/>
      <c r="AV91" s="273"/>
      <c r="AW91" s="268"/>
      <c r="AX91" s="269"/>
      <c r="AY91" s="45"/>
      <c r="AZ91" s="19">
        <f t="shared" si="16"/>
        <v>0</v>
      </c>
      <c r="BA91" s="227">
        <f t="shared" si="17"/>
        <v>8</v>
      </c>
      <c r="BB91" s="173"/>
      <c r="BC91" s="173"/>
      <c r="BD91" s="173"/>
      <c r="BE91" s="173"/>
      <c r="BF91" s="173"/>
      <c r="BG91" s="173"/>
      <c r="BH91" s="173"/>
      <c r="BI91" s="173"/>
      <c r="BJ91" s="173"/>
      <c r="BK91" s="173"/>
      <c r="BL91" s="173"/>
      <c r="BM91" s="173"/>
      <c r="BN91" s="173"/>
      <c r="BO91" s="324">
        <f t="shared" si="15"/>
        <v>289</v>
      </c>
      <c r="BP91" s="319"/>
      <c r="BQ91" s="324">
        <v>280</v>
      </c>
      <c r="BR91" s="358">
        <v>0</v>
      </c>
      <c r="BS91" s="358">
        <v>8</v>
      </c>
      <c r="BT91" s="319"/>
      <c r="BU91" s="324">
        <v>291</v>
      </c>
      <c r="BV91" s="358">
        <v>43.570952380952384</v>
      </c>
      <c r="BW91" s="358">
        <v>8</v>
      </c>
      <c r="BX91" s="319"/>
      <c r="BY91" s="217"/>
      <c r="BZ91" s="219"/>
      <c r="CA91" s="262"/>
      <c r="CB91" s="218"/>
      <c r="CC91" s="217"/>
      <c r="CD91" s="219"/>
      <c r="CE91" s="217"/>
      <c r="CF91" s="220"/>
      <c r="CG91" s="211"/>
      <c r="CH91" s="211">
        <v>0</v>
      </c>
      <c r="CI91" s="262">
        <v>0</v>
      </c>
      <c r="CJ91" s="319"/>
      <c r="CK91" s="211"/>
      <c r="CL91" s="211"/>
      <c r="CM91" s="258"/>
      <c r="CN91" s="173"/>
      <c r="CO91" s="173"/>
      <c r="CP91" s="173"/>
      <c r="CQ91" s="173"/>
      <c r="CR91" s="173"/>
      <c r="CS91" s="173"/>
      <c r="CT91" s="173"/>
      <c r="CU91" s="173"/>
    </row>
    <row r="92" spans="1:99" s="4" customFormat="1">
      <c r="A92" s="16" t="s">
        <v>32</v>
      </c>
      <c r="B92" s="21"/>
      <c r="C92" s="22"/>
      <c r="D92" s="265"/>
      <c r="E92" s="266"/>
      <c r="F92" s="266"/>
      <c r="G92" s="266"/>
      <c r="H92" s="267"/>
      <c r="I92" s="268"/>
      <c r="J92" s="269"/>
      <c r="K92" s="290"/>
      <c r="L92" s="265"/>
      <c r="M92" s="266"/>
      <c r="N92" s="266"/>
      <c r="O92" s="266"/>
      <c r="P92" s="271"/>
      <c r="Q92" s="268"/>
      <c r="R92" s="269"/>
      <c r="S92" s="290"/>
      <c r="T92" s="265"/>
      <c r="U92" s="266"/>
      <c r="V92" s="266"/>
      <c r="W92" s="266"/>
      <c r="X92" s="271"/>
      <c r="Y92" s="268"/>
      <c r="Z92" s="269"/>
      <c r="AA92" s="290"/>
      <c r="AB92" s="265"/>
      <c r="AC92" s="266"/>
      <c r="AD92" s="266"/>
      <c r="AE92" s="266"/>
      <c r="AF92" s="271"/>
      <c r="AG92" s="268"/>
      <c r="AH92" s="269"/>
      <c r="AI92" s="290"/>
      <c r="AJ92" s="265"/>
      <c r="AK92" s="266"/>
      <c r="AL92" s="266"/>
      <c r="AM92" s="266"/>
      <c r="AN92" s="271"/>
      <c r="AO92" s="268"/>
      <c r="AP92" s="269"/>
      <c r="AQ92" s="290"/>
      <c r="AR92" s="272"/>
      <c r="AS92" s="268"/>
      <c r="AT92" s="268"/>
      <c r="AU92" s="268"/>
      <c r="AV92" s="273"/>
      <c r="AW92" s="268"/>
      <c r="AX92" s="269"/>
      <c r="AY92" s="45"/>
      <c r="AZ92" s="19">
        <f t="shared" si="16"/>
        <v>0</v>
      </c>
      <c r="BA92" s="227">
        <f t="shared" si="17"/>
        <v>8</v>
      </c>
      <c r="BB92" s="173"/>
      <c r="BC92" s="173"/>
      <c r="BD92" s="173"/>
      <c r="BE92" s="173"/>
      <c r="BF92" s="173"/>
      <c r="BG92" s="173"/>
      <c r="BH92" s="173"/>
      <c r="BI92" s="173"/>
      <c r="BJ92" s="173"/>
      <c r="BK92" s="173"/>
      <c r="BL92" s="173"/>
      <c r="BM92" s="173"/>
      <c r="BN92" s="173"/>
      <c r="BO92" s="324">
        <f t="shared" si="15"/>
        <v>289</v>
      </c>
      <c r="BP92" s="319"/>
      <c r="BQ92" s="324">
        <v>280</v>
      </c>
      <c r="BR92" s="358">
        <v>0</v>
      </c>
      <c r="BS92" s="358">
        <v>8</v>
      </c>
      <c r="BT92" s="319"/>
      <c r="BU92" s="324">
        <v>291</v>
      </c>
      <c r="BV92" s="358">
        <v>43.570952380952384</v>
      </c>
      <c r="BW92" s="358">
        <v>8</v>
      </c>
      <c r="BX92" s="319"/>
      <c r="BY92" s="217"/>
      <c r="BZ92" s="219"/>
      <c r="CA92" s="262"/>
      <c r="CB92" s="218"/>
      <c r="CC92" s="217"/>
      <c r="CD92" s="219"/>
      <c r="CE92" s="217"/>
      <c r="CF92" s="220"/>
      <c r="CG92" s="211"/>
      <c r="CH92" s="211">
        <v>0</v>
      </c>
      <c r="CI92" s="262">
        <v>0</v>
      </c>
      <c r="CJ92" s="319"/>
      <c r="CK92" s="211"/>
      <c r="CL92" s="211"/>
      <c r="CM92" s="258"/>
      <c r="CN92" s="173"/>
      <c r="CO92" s="173"/>
      <c r="CP92" s="173"/>
      <c r="CQ92" s="173"/>
      <c r="CR92" s="173"/>
      <c r="CS92" s="173"/>
      <c r="CT92" s="173"/>
      <c r="CU92" s="173"/>
    </row>
    <row r="93" spans="1:99" s="4" customFormat="1">
      <c r="A93" s="16" t="s">
        <v>32</v>
      </c>
      <c r="B93" s="21"/>
      <c r="C93" s="22"/>
      <c r="D93" s="265"/>
      <c r="E93" s="266"/>
      <c r="F93" s="266"/>
      <c r="G93" s="266"/>
      <c r="H93" s="267"/>
      <c r="I93" s="268"/>
      <c r="J93" s="269"/>
      <c r="K93" s="290"/>
      <c r="L93" s="265"/>
      <c r="M93" s="266"/>
      <c r="N93" s="266"/>
      <c r="O93" s="266"/>
      <c r="P93" s="271"/>
      <c r="Q93" s="268"/>
      <c r="R93" s="269"/>
      <c r="S93" s="290"/>
      <c r="T93" s="265"/>
      <c r="U93" s="266"/>
      <c r="V93" s="266"/>
      <c r="W93" s="266"/>
      <c r="X93" s="271"/>
      <c r="Y93" s="268"/>
      <c r="Z93" s="269"/>
      <c r="AA93" s="290"/>
      <c r="AB93" s="265"/>
      <c r="AC93" s="266"/>
      <c r="AD93" s="266"/>
      <c r="AE93" s="266"/>
      <c r="AF93" s="271"/>
      <c r="AG93" s="268"/>
      <c r="AH93" s="269"/>
      <c r="AI93" s="290"/>
      <c r="AJ93" s="265"/>
      <c r="AK93" s="266"/>
      <c r="AL93" s="266"/>
      <c r="AM93" s="266"/>
      <c r="AN93" s="271"/>
      <c r="AO93" s="268"/>
      <c r="AP93" s="269"/>
      <c r="AQ93" s="290"/>
      <c r="AR93" s="272"/>
      <c r="AS93" s="268"/>
      <c r="AT93" s="268"/>
      <c r="AU93" s="268"/>
      <c r="AV93" s="273"/>
      <c r="AW93" s="268"/>
      <c r="AX93" s="269"/>
      <c r="AY93" s="45"/>
      <c r="AZ93" s="19">
        <f t="shared" si="16"/>
        <v>0</v>
      </c>
      <c r="BA93" s="227">
        <f t="shared" si="17"/>
        <v>8</v>
      </c>
      <c r="BB93" s="173"/>
      <c r="BC93" s="173"/>
      <c r="BD93" s="173"/>
      <c r="BE93" s="173"/>
      <c r="BF93" s="173"/>
      <c r="BG93" s="173"/>
      <c r="BH93" s="173"/>
      <c r="BI93" s="173"/>
      <c r="BJ93" s="173"/>
      <c r="BK93" s="173"/>
      <c r="BL93" s="173"/>
      <c r="BM93" s="173"/>
      <c r="BN93" s="173"/>
      <c r="BO93" s="324">
        <f t="shared" si="15"/>
        <v>289</v>
      </c>
      <c r="BP93" s="319"/>
      <c r="BQ93" s="324">
        <v>280</v>
      </c>
      <c r="BR93" s="358">
        <v>0</v>
      </c>
      <c r="BS93" s="358">
        <v>8</v>
      </c>
      <c r="BT93" s="319"/>
      <c r="BU93" s="324">
        <v>291</v>
      </c>
      <c r="BV93" s="358">
        <v>43.570952380952384</v>
      </c>
      <c r="BW93" s="358">
        <v>8</v>
      </c>
      <c r="BX93" s="319"/>
      <c r="BY93" s="217"/>
      <c r="BZ93" s="219"/>
      <c r="CA93" s="262"/>
      <c r="CB93" s="218"/>
      <c r="CC93" s="217"/>
      <c r="CD93" s="219"/>
      <c r="CE93" s="217"/>
      <c r="CF93" s="220"/>
      <c r="CG93" s="211"/>
      <c r="CH93" s="211">
        <v>0</v>
      </c>
      <c r="CI93" s="262">
        <v>0</v>
      </c>
      <c r="CJ93" s="319"/>
      <c r="CK93" s="211"/>
      <c r="CL93" s="211"/>
      <c r="CM93" s="258"/>
      <c r="CN93" s="173"/>
      <c r="CO93" s="173"/>
      <c r="CP93" s="173"/>
      <c r="CQ93" s="173"/>
      <c r="CR93" s="173"/>
      <c r="CS93" s="173"/>
      <c r="CT93" s="173"/>
      <c r="CU93" s="173"/>
    </row>
    <row r="94" spans="1:99" s="4" customFormat="1">
      <c r="A94" s="16" t="s">
        <v>32</v>
      </c>
      <c r="B94" s="21"/>
      <c r="C94" s="22"/>
      <c r="D94" s="265"/>
      <c r="E94" s="266"/>
      <c r="F94" s="266"/>
      <c r="G94" s="266"/>
      <c r="H94" s="267"/>
      <c r="I94" s="268"/>
      <c r="J94" s="269"/>
      <c r="K94" s="290"/>
      <c r="L94" s="265"/>
      <c r="M94" s="266"/>
      <c r="N94" s="266"/>
      <c r="O94" s="266"/>
      <c r="P94" s="271"/>
      <c r="Q94" s="268"/>
      <c r="R94" s="269"/>
      <c r="S94" s="290"/>
      <c r="T94" s="265"/>
      <c r="U94" s="266"/>
      <c r="V94" s="266"/>
      <c r="W94" s="266"/>
      <c r="X94" s="271"/>
      <c r="Y94" s="268"/>
      <c r="Z94" s="269"/>
      <c r="AA94" s="290"/>
      <c r="AB94" s="265"/>
      <c r="AC94" s="266"/>
      <c r="AD94" s="266"/>
      <c r="AE94" s="266"/>
      <c r="AF94" s="271"/>
      <c r="AG94" s="268"/>
      <c r="AH94" s="269"/>
      <c r="AI94" s="290"/>
      <c r="AJ94" s="265"/>
      <c r="AK94" s="266"/>
      <c r="AL94" s="266"/>
      <c r="AM94" s="266"/>
      <c r="AN94" s="271"/>
      <c r="AO94" s="268"/>
      <c r="AP94" s="269"/>
      <c r="AQ94" s="290"/>
      <c r="AR94" s="272"/>
      <c r="AS94" s="268"/>
      <c r="AT94" s="268"/>
      <c r="AU94" s="268"/>
      <c r="AV94" s="273"/>
      <c r="AW94" s="268"/>
      <c r="AX94" s="269"/>
      <c r="AY94" s="45"/>
      <c r="AZ94" s="19">
        <f t="shared" si="16"/>
        <v>0</v>
      </c>
      <c r="BA94" s="227">
        <f t="shared" si="17"/>
        <v>8</v>
      </c>
      <c r="BB94" s="173"/>
      <c r="BC94" s="173"/>
      <c r="BD94" s="173"/>
      <c r="BE94" s="173"/>
      <c r="BF94" s="173"/>
      <c r="BG94" s="173"/>
      <c r="BH94" s="173"/>
      <c r="BI94" s="173"/>
      <c r="BJ94" s="173"/>
      <c r="BK94" s="173"/>
      <c r="BL94" s="173"/>
      <c r="BM94" s="173"/>
      <c r="BN94" s="173"/>
      <c r="BO94" s="324">
        <f t="shared" si="15"/>
        <v>289</v>
      </c>
      <c r="BP94" s="319"/>
      <c r="BQ94" s="324">
        <v>280</v>
      </c>
      <c r="BR94" s="358">
        <v>0</v>
      </c>
      <c r="BS94" s="358">
        <v>8</v>
      </c>
      <c r="BT94" s="319"/>
      <c r="BU94" s="324">
        <v>291</v>
      </c>
      <c r="BV94" s="358">
        <v>43.570952380952384</v>
      </c>
      <c r="BW94" s="358">
        <v>8</v>
      </c>
      <c r="BX94" s="319"/>
      <c r="BY94" s="217"/>
      <c r="BZ94" s="219"/>
      <c r="CA94" s="262"/>
      <c r="CB94" s="218"/>
      <c r="CC94" s="217"/>
      <c r="CD94" s="219"/>
      <c r="CE94" s="217"/>
      <c r="CF94" s="220"/>
      <c r="CG94" s="211"/>
      <c r="CH94" s="211">
        <v>0</v>
      </c>
      <c r="CI94" s="262">
        <v>0</v>
      </c>
      <c r="CJ94" s="319"/>
      <c r="CK94" s="211"/>
      <c r="CL94" s="211"/>
      <c r="CM94" s="258"/>
      <c r="CN94" s="173"/>
      <c r="CO94" s="173"/>
      <c r="CP94" s="173"/>
      <c r="CQ94" s="173"/>
      <c r="CR94" s="173"/>
      <c r="CS94" s="173"/>
      <c r="CT94" s="173"/>
      <c r="CU94" s="173"/>
    </row>
    <row r="95" spans="1:99" s="13" customFormat="1" ht="13" thickBot="1">
      <c r="A95" s="17" t="s">
        <v>32</v>
      </c>
      <c r="B95" s="29"/>
      <c r="C95" s="30"/>
      <c r="D95" s="274"/>
      <c r="E95" s="275"/>
      <c r="F95" s="275"/>
      <c r="G95" s="275"/>
      <c r="H95" s="276"/>
      <c r="I95" s="277"/>
      <c r="J95" s="278"/>
      <c r="K95" s="291"/>
      <c r="L95" s="274"/>
      <c r="M95" s="275"/>
      <c r="N95" s="275"/>
      <c r="O95" s="275"/>
      <c r="P95" s="279"/>
      <c r="Q95" s="277"/>
      <c r="R95" s="278"/>
      <c r="S95" s="291"/>
      <c r="T95" s="274"/>
      <c r="U95" s="275"/>
      <c r="V95" s="275"/>
      <c r="W95" s="275"/>
      <c r="X95" s="279"/>
      <c r="Y95" s="277"/>
      <c r="Z95" s="278"/>
      <c r="AA95" s="291"/>
      <c r="AB95" s="274"/>
      <c r="AC95" s="275"/>
      <c r="AD95" s="275"/>
      <c r="AE95" s="275"/>
      <c r="AF95" s="279"/>
      <c r="AG95" s="277"/>
      <c r="AH95" s="278"/>
      <c r="AI95" s="291"/>
      <c r="AJ95" s="274"/>
      <c r="AK95" s="275"/>
      <c r="AL95" s="275"/>
      <c r="AM95" s="275"/>
      <c r="AN95" s="279"/>
      <c r="AO95" s="277"/>
      <c r="AP95" s="278"/>
      <c r="AQ95" s="291"/>
      <c r="AR95" s="280"/>
      <c r="AS95" s="277"/>
      <c r="AT95" s="277"/>
      <c r="AU95" s="277"/>
      <c r="AV95" s="281"/>
      <c r="AW95" s="277"/>
      <c r="AX95" s="278"/>
      <c r="AY95" s="46"/>
      <c r="AZ95" s="20"/>
      <c r="BA95" s="208">
        <f t="shared" si="17"/>
        <v>8</v>
      </c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324">
        <f t="shared" si="15"/>
        <v>289</v>
      </c>
      <c r="BP95" s="319"/>
      <c r="BQ95" s="324">
        <v>280</v>
      </c>
      <c r="BR95" s="358">
        <v>0</v>
      </c>
      <c r="BS95" s="358">
        <v>8</v>
      </c>
      <c r="BT95" s="319"/>
      <c r="BU95" s="324">
        <v>291</v>
      </c>
      <c r="BV95" s="358">
        <v>43.570952380952384</v>
      </c>
      <c r="BW95" s="358">
        <v>8</v>
      </c>
      <c r="BX95" s="319"/>
      <c r="BY95" s="217"/>
      <c r="BZ95" s="219"/>
      <c r="CA95" s="262"/>
      <c r="CB95" s="218"/>
      <c r="CC95" s="217"/>
      <c r="CD95" s="219"/>
      <c r="CE95" s="217"/>
      <c r="CF95" s="220"/>
      <c r="CG95" s="211"/>
      <c r="CH95" s="211">
        <v>0</v>
      </c>
      <c r="CI95" s="262">
        <v>0</v>
      </c>
      <c r="CJ95" s="319"/>
      <c r="CK95" s="211"/>
      <c r="CL95" s="211"/>
      <c r="CM95" s="258"/>
      <c r="CN95" s="176"/>
      <c r="CO95" s="176"/>
      <c r="CP95" s="176"/>
      <c r="CQ95" s="176"/>
      <c r="CR95" s="176"/>
      <c r="CS95" s="176"/>
      <c r="CT95" s="176"/>
      <c r="CU95" s="176"/>
    </row>
    <row r="96" spans="1:99" s="4" customFormat="1">
      <c r="A96" s="15" t="s">
        <v>34</v>
      </c>
      <c r="B96" s="21">
        <v>41029</v>
      </c>
      <c r="C96" s="38" t="s">
        <v>93</v>
      </c>
      <c r="D96" s="282">
        <v>6.6</v>
      </c>
      <c r="E96" s="283">
        <v>6.7</v>
      </c>
      <c r="F96" s="283">
        <v>6.7</v>
      </c>
      <c r="G96" s="283">
        <v>7.3</v>
      </c>
      <c r="H96" s="284">
        <v>5.8</v>
      </c>
      <c r="I96" s="285"/>
      <c r="J96" s="286"/>
      <c r="K96" s="292"/>
      <c r="L96" s="282">
        <v>5.5</v>
      </c>
      <c r="M96" s="283">
        <v>6.5</v>
      </c>
      <c r="N96" s="283">
        <v>6.5</v>
      </c>
      <c r="O96" s="283">
        <v>5.7</v>
      </c>
      <c r="P96" s="287">
        <v>6.6</v>
      </c>
      <c r="Q96" s="285"/>
      <c r="R96" s="286"/>
      <c r="S96" s="292"/>
      <c r="T96" s="282">
        <v>6.2</v>
      </c>
      <c r="U96" s="283">
        <v>5.2</v>
      </c>
      <c r="V96" s="283">
        <v>5.8</v>
      </c>
      <c r="W96" s="283">
        <v>6.5</v>
      </c>
      <c r="X96" s="287">
        <v>5.8</v>
      </c>
      <c r="Y96" s="285"/>
      <c r="Z96" s="286"/>
      <c r="AA96" s="292"/>
      <c r="AB96" s="282">
        <v>5.7</v>
      </c>
      <c r="AC96" s="283">
        <v>5.5</v>
      </c>
      <c r="AD96" s="283">
        <v>6.2</v>
      </c>
      <c r="AE96" s="283">
        <v>5.3</v>
      </c>
      <c r="AF96" s="287">
        <v>4.9000000000000004</v>
      </c>
      <c r="AG96" s="285"/>
      <c r="AH96" s="286"/>
      <c r="AI96" s="292"/>
      <c r="AJ96" s="282">
        <v>5.8</v>
      </c>
      <c r="AK96" s="283">
        <v>4.8</v>
      </c>
      <c r="AL96" s="283">
        <v>5.9</v>
      </c>
      <c r="AM96" s="283">
        <v>6.3</v>
      </c>
      <c r="AN96" s="287">
        <v>6.3</v>
      </c>
      <c r="AO96" s="285"/>
      <c r="AP96" s="286"/>
      <c r="AQ96" s="292"/>
      <c r="AR96" s="288"/>
      <c r="AS96" s="285"/>
      <c r="AT96" s="285"/>
      <c r="AU96" s="285"/>
      <c r="AV96" s="289"/>
      <c r="AW96" s="285"/>
      <c r="AX96" s="286"/>
      <c r="AY96" s="44"/>
      <c r="AZ96" s="18">
        <f t="shared" si="16"/>
        <v>6.0039999999999996</v>
      </c>
      <c r="BA96" s="200">
        <f t="shared" si="17"/>
        <v>8</v>
      </c>
      <c r="BB96" s="173"/>
      <c r="BC96" s="173"/>
      <c r="BD96" s="173"/>
      <c r="BE96" s="173"/>
      <c r="BF96" s="173"/>
      <c r="BG96" s="173"/>
      <c r="BH96" s="173"/>
      <c r="BI96" s="173"/>
      <c r="BJ96" s="173"/>
      <c r="BK96" s="173"/>
      <c r="BL96" s="173"/>
      <c r="BM96" s="173"/>
      <c r="BN96" s="173"/>
      <c r="BO96" s="323">
        <f t="shared" si="15"/>
        <v>121</v>
      </c>
      <c r="BP96" s="318">
        <v>40659</v>
      </c>
      <c r="BQ96" s="323">
        <v>116</v>
      </c>
      <c r="BR96" s="360">
        <v>6.38</v>
      </c>
      <c r="BS96" s="360">
        <v>0</v>
      </c>
      <c r="BT96" s="318">
        <v>40297</v>
      </c>
      <c r="BU96" s="323">
        <v>119</v>
      </c>
      <c r="BV96" s="360">
        <v>6.1120000000000001</v>
      </c>
      <c r="BW96" s="360">
        <v>0</v>
      </c>
      <c r="BX96" s="318">
        <v>39933</v>
      </c>
      <c r="BY96" s="250">
        <v>120</v>
      </c>
      <c r="BZ96" s="251">
        <v>6.5560000000000018</v>
      </c>
      <c r="CA96" s="261">
        <v>0</v>
      </c>
      <c r="CB96" s="249">
        <v>39568</v>
      </c>
      <c r="CC96" s="250">
        <f t="shared" ref="CC96:CC112" si="18">CB96-DATE(YEAR(CB96)-1,12,31)</f>
        <v>121</v>
      </c>
      <c r="CD96" s="251">
        <v>6.516</v>
      </c>
      <c r="CE96" s="250">
        <v>0</v>
      </c>
      <c r="CF96" s="259">
        <v>39199</v>
      </c>
      <c r="CG96" s="250">
        <f t="shared" ref="CG96:CG109" si="19">CF96-DATE(YEAR(CF96)-1,12,31)</f>
        <v>117</v>
      </c>
      <c r="CH96" s="260">
        <v>7.6400000000000006</v>
      </c>
      <c r="CI96" s="261">
        <v>0</v>
      </c>
      <c r="CJ96" s="318">
        <v>38845</v>
      </c>
      <c r="CK96" s="250">
        <f t="shared" ref="CK96:CK106" si="20">CJ96-DATE(YEAR(CJ96)-1,12,31)</f>
        <v>128</v>
      </c>
      <c r="CL96" s="260">
        <v>10.195999999999998</v>
      </c>
      <c r="CM96" s="257">
        <v>0</v>
      </c>
      <c r="CN96" s="173"/>
      <c r="CO96" s="173"/>
      <c r="CP96" s="173"/>
      <c r="CQ96" s="173"/>
      <c r="CR96" s="173"/>
      <c r="CS96" s="173"/>
      <c r="CT96" s="173"/>
      <c r="CU96" s="173"/>
    </row>
    <row r="97" spans="1:99" s="4" customFormat="1">
      <c r="A97" s="16" t="s">
        <v>34</v>
      </c>
      <c r="B97" s="21">
        <v>41037</v>
      </c>
      <c r="C97" s="22" t="s">
        <v>93</v>
      </c>
      <c r="D97" s="265">
        <v>6.5</v>
      </c>
      <c r="E97" s="266">
        <v>7.1</v>
      </c>
      <c r="F97" s="266">
        <v>6.9</v>
      </c>
      <c r="G97" s="266">
        <v>8.3000000000000007</v>
      </c>
      <c r="H97" s="267">
        <v>5.7</v>
      </c>
      <c r="I97" s="268"/>
      <c r="J97" s="269"/>
      <c r="K97" s="292"/>
      <c r="L97" s="265">
        <v>6.2</v>
      </c>
      <c r="M97" s="266">
        <v>5.9</v>
      </c>
      <c r="N97" s="266">
        <v>8.1999999999999993</v>
      </c>
      <c r="O97" s="266">
        <v>7.6</v>
      </c>
      <c r="P97" s="271">
        <v>6.2</v>
      </c>
      <c r="Q97" s="268"/>
      <c r="R97" s="269"/>
      <c r="S97" s="292"/>
      <c r="T97" s="265">
        <v>7</v>
      </c>
      <c r="U97" s="266">
        <v>5.9</v>
      </c>
      <c r="V97" s="266">
        <v>7.2</v>
      </c>
      <c r="W97" s="266">
        <v>6.7</v>
      </c>
      <c r="X97" s="271">
        <v>6.8</v>
      </c>
      <c r="Y97" s="268"/>
      <c r="Z97" s="269"/>
      <c r="AA97" s="292"/>
      <c r="AB97" s="265">
        <v>5.8</v>
      </c>
      <c r="AC97" s="266">
        <v>6.5</v>
      </c>
      <c r="AD97" s="266">
        <v>5.5</v>
      </c>
      <c r="AE97" s="266">
        <v>5.5</v>
      </c>
      <c r="AF97" s="271">
        <v>6</v>
      </c>
      <c r="AG97" s="268"/>
      <c r="AH97" s="269"/>
      <c r="AI97" s="292"/>
      <c r="AJ97" s="265">
        <v>6.7</v>
      </c>
      <c r="AK97" s="266">
        <v>7.1</v>
      </c>
      <c r="AL97" s="266">
        <v>7.4</v>
      </c>
      <c r="AM97" s="266">
        <v>6</v>
      </c>
      <c r="AN97" s="271">
        <v>7.4</v>
      </c>
      <c r="AO97" s="268"/>
      <c r="AP97" s="269"/>
      <c r="AQ97" s="290"/>
      <c r="AR97" s="272"/>
      <c r="AS97" s="268"/>
      <c r="AT97" s="268"/>
      <c r="AU97" s="268"/>
      <c r="AV97" s="273"/>
      <c r="AW97" s="268"/>
      <c r="AX97" s="269"/>
      <c r="AY97" s="45"/>
      <c r="AZ97" s="19">
        <f t="shared" si="16"/>
        <v>6.6440000000000001</v>
      </c>
      <c r="BA97" s="227">
        <f t="shared" si="17"/>
        <v>8</v>
      </c>
      <c r="BB97" s="173"/>
      <c r="BC97" s="173"/>
      <c r="BD97" s="173"/>
      <c r="BE97" s="173"/>
      <c r="BF97" s="173"/>
      <c r="BG97" s="173"/>
      <c r="BH97" s="173"/>
      <c r="BI97" s="173"/>
      <c r="BJ97" s="173"/>
      <c r="BK97" s="173"/>
      <c r="BL97" s="173"/>
      <c r="BM97" s="173"/>
      <c r="BN97" s="173"/>
      <c r="BO97" s="324">
        <f t="shared" si="15"/>
        <v>129</v>
      </c>
      <c r="BP97" s="319">
        <v>40662</v>
      </c>
      <c r="BQ97" s="324">
        <v>119</v>
      </c>
      <c r="BR97" s="358">
        <v>7.080000000000001</v>
      </c>
      <c r="BS97" s="358">
        <v>0</v>
      </c>
      <c r="BT97" s="319">
        <v>40302</v>
      </c>
      <c r="BU97" s="324">
        <v>124</v>
      </c>
      <c r="BV97" s="358">
        <v>6.3439999999999994</v>
      </c>
      <c r="BW97" s="358">
        <v>0</v>
      </c>
      <c r="BX97" s="319">
        <v>39938</v>
      </c>
      <c r="BY97" s="217">
        <v>125</v>
      </c>
      <c r="BZ97" s="219">
        <v>7.5280000000000005</v>
      </c>
      <c r="CA97" s="262">
        <v>0</v>
      </c>
      <c r="CB97" s="218">
        <v>39573</v>
      </c>
      <c r="CC97" s="217">
        <f t="shared" si="18"/>
        <v>126</v>
      </c>
      <c r="CD97" s="219">
        <v>9.0839999999999996</v>
      </c>
      <c r="CE97" s="217">
        <v>0.2</v>
      </c>
      <c r="CF97" s="220">
        <v>39204</v>
      </c>
      <c r="CG97" s="217">
        <f t="shared" si="19"/>
        <v>122</v>
      </c>
      <c r="CH97" s="211">
        <v>8.4599999999999991</v>
      </c>
      <c r="CI97" s="262">
        <v>0</v>
      </c>
      <c r="CJ97" s="319">
        <v>38846</v>
      </c>
      <c r="CK97" s="217">
        <f t="shared" si="20"/>
        <v>129</v>
      </c>
      <c r="CL97" s="211">
        <v>11.668000000000001</v>
      </c>
      <c r="CM97" s="258">
        <v>0.4</v>
      </c>
      <c r="CN97" s="173"/>
      <c r="CO97" s="173"/>
      <c r="CP97" s="173"/>
      <c r="CQ97" s="173"/>
      <c r="CR97" s="173"/>
      <c r="CS97" s="173"/>
      <c r="CT97" s="173"/>
      <c r="CU97" s="173"/>
    </row>
    <row r="98" spans="1:99" s="4" customFormat="1">
      <c r="A98" s="16" t="s">
        <v>34</v>
      </c>
      <c r="B98" s="21">
        <v>41043</v>
      </c>
      <c r="C98" s="22" t="s">
        <v>93</v>
      </c>
      <c r="D98" s="265">
        <v>7.3</v>
      </c>
      <c r="E98" s="266">
        <v>8.6</v>
      </c>
      <c r="F98" s="266">
        <v>7.7</v>
      </c>
      <c r="G98" s="266">
        <v>9.5</v>
      </c>
      <c r="H98" s="267">
        <v>6.3</v>
      </c>
      <c r="I98" s="268"/>
      <c r="J98" s="269"/>
      <c r="K98" s="292"/>
      <c r="L98" s="265">
        <v>6.9</v>
      </c>
      <c r="M98" s="266">
        <v>5.9</v>
      </c>
      <c r="N98" s="266">
        <v>7.9</v>
      </c>
      <c r="O98" s="266">
        <v>7.6</v>
      </c>
      <c r="P98" s="271">
        <v>6.5</v>
      </c>
      <c r="Q98" s="268"/>
      <c r="R98" s="269"/>
      <c r="S98" s="292"/>
      <c r="T98" s="265">
        <v>7.6</v>
      </c>
      <c r="U98" s="266">
        <v>6.7</v>
      </c>
      <c r="V98" s="266">
        <v>8.3000000000000007</v>
      </c>
      <c r="W98" s="266">
        <v>7.8</v>
      </c>
      <c r="X98" s="271">
        <v>7.5</v>
      </c>
      <c r="Y98" s="268"/>
      <c r="Z98" s="269"/>
      <c r="AA98" s="292"/>
      <c r="AB98" s="265">
        <v>6.2</v>
      </c>
      <c r="AC98" s="266">
        <v>6.2</v>
      </c>
      <c r="AD98" s="266">
        <v>6.6</v>
      </c>
      <c r="AE98" s="266">
        <v>7.3</v>
      </c>
      <c r="AF98" s="271">
        <v>5.5</v>
      </c>
      <c r="AG98" s="268"/>
      <c r="AH98" s="269"/>
      <c r="AI98" s="292"/>
      <c r="AJ98" s="265">
        <v>6.3</v>
      </c>
      <c r="AK98" s="266">
        <v>7.2</v>
      </c>
      <c r="AL98" s="266">
        <v>7.2</v>
      </c>
      <c r="AM98" s="266">
        <v>8.8000000000000007</v>
      </c>
      <c r="AN98" s="271">
        <v>8.9</v>
      </c>
      <c r="AO98" s="268"/>
      <c r="AP98" s="269"/>
      <c r="AQ98" s="290"/>
      <c r="AR98" s="272"/>
      <c r="AS98" s="268"/>
      <c r="AT98" s="268"/>
      <c r="AU98" s="268"/>
      <c r="AV98" s="273"/>
      <c r="AW98" s="268"/>
      <c r="AX98" s="269"/>
      <c r="AY98" s="45"/>
      <c r="AZ98" s="19">
        <f t="shared" si="16"/>
        <v>7.2919999999999998</v>
      </c>
      <c r="BA98" s="227">
        <f t="shared" si="17"/>
        <v>8</v>
      </c>
      <c r="BB98" s="173"/>
      <c r="BC98" s="173"/>
      <c r="BD98" s="173"/>
      <c r="BE98" s="173"/>
      <c r="BF98" s="173"/>
      <c r="BG98" s="173"/>
      <c r="BH98" s="173"/>
      <c r="BI98" s="173"/>
      <c r="BJ98" s="173"/>
      <c r="BK98" s="173"/>
      <c r="BL98" s="173"/>
      <c r="BM98" s="173"/>
      <c r="BN98" s="173"/>
      <c r="BO98" s="324">
        <f t="shared" si="15"/>
        <v>135</v>
      </c>
      <c r="BP98" s="319">
        <v>40665</v>
      </c>
      <c r="BQ98" s="324">
        <v>122</v>
      </c>
      <c r="BR98" s="358">
        <v>7.6120000000000001</v>
      </c>
      <c r="BS98" s="358">
        <v>0</v>
      </c>
      <c r="BT98" s="319">
        <v>40305</v>
      </c>
      <c r="BU98" s="324">
        <v>127</v>
      </c>
      <c r="BV98" s="358">
        <v>6.4640000000000004</v>
      </c>
      <c r="BW98" s="358">
        <v>0</v>
      </c>
      <c r="BX98" s="319">
        <v>39940</v>
      </c>
      <c r="BY98" s="217">
        <v>127</v>
      </c>
      <c r="BZ98" s="219">
        <v>7.9799999999999995</v>
      </c>
      <c r="CA98" s="262">
        <v>0</v>
      </c>
      <c r="CB98" s="218">
        <v>39575</v>
      </c>
      <c r="CC98" s="217">
        <f t="shared" si="18"/>
        <v>128</v>
      </c>
      <c r="CD98" s="219">
        <v>9.6399999999999988</v>
      </c>
      <c r="CE98" s="217">
        <v>0.2</v>
      </c>
      <c r="CF98" s="220">
        <v>39206</v>
      </c>
      <c r="CG98" s="217">
        <f t="shared" si="19"/>
        <v>124</v>
      </c>
      <c r="CH98" s="211">
        <v>8.9599999999999991</v>
      </c>
      <c r="CI98" s="262">
        <v>0</v>
      </c>
      <c r="CJ98" s="319">
        <v>38847</v>
      </c>
      <c r="CK98" s="217">
        <f t="shared" si="20"/>
        <v>130</v>
      </c>
      <c r="CL98" s="211">
        <v>12.195999999999998</v>
      </c>
      <c r="CM98" s="258">
        <v>0.6</v>
      </c>
      <c r="CN98" s="173"/>
      <c r="CO98" s="173"/>
      <c r="CP98" s="173"/>
      <c r="CQ98" s="173"/>
      <c r="CR98" s="173"/>
      <c r="CS98" s="173"/>
      <c r="CT98" s="173"/>
      <c r="CU98" s="173"/>
    </row>
    <row r="99" spans="1:99" s="4" customFormat="1">
      <c r="A99" s="16" t="s">
        <v>34</v>
      </c>
      <c r="B99" s="21">
        <v>41045</v>
      </c>
      <c r="C99" s="22" t="s">
        <v>93</v>
      </c>
      <c r="D99" s="265">
        <v>9.9</v>
      </c>
      <c r="E99" s="266">
        <v>7.2</v>
      </c>
      <c r="F99" s="266">
        <v>7.9</v>
      </c>
      <c r="G99" s="266">
        <v>7.6</v>
      </c>
      <c r="H99" s="267">
        <v>10.6</v>
      </c>
      <c r="I99" s="268"/>
      <c r="J99" s="269"/>
      <c r="K99" s="292"/>
      <c r="L99" s="265">
        <v>7.2</v>
      </c>
      <c r="M99" s="266">
        <v>6.9</v>
      </c>
      <c r="N99" s="266">
        <v>8</v>
      </c>
      <c r="O99" s="266">
        <v>9.4</v>
      </c>
      <c r="P99" s="271">
        <v>8.6999999999999993</v>
      </c>
      <c r="Q99" s="268"/>
      <c r="R99" s="269"/>
      <c r="S99" s="292"/>
      <c r="T99" s="265">
        <v>8.3000000000000007</v>
      </c>
      <c r="U99" s="266">
        <v>8.1</v>
      </c>
      <c r="V99" s="266">
        <v>9</v>
      </c>
      <c r="W99" s="266">
        <v>8.6</v>
      </c>
      <c r="X99" s="271">
        <v>7.9</v>
      </c>
      <c r="Y99" s="268"/>
      <c r="Z99" s="269"/>
      <c r="AA99" s="292"/>
      <c r="AB99" s="265">
        <v>7.4</v>
      </c>
      <c r="AC99" s="266">
        <v>5.8</v>
      </c>
      <c r="AD99" s="266">
        <v>6.6</v>
      </c>
      <c r="AE99" s="266">
        <v>6.4</v>
      </c>
      <c r="AF99" s="271">
        <v>6.3</v>
      </c>
      <c r="AG99" s="268"/>
      <c r="AH99" s="269"/>
      <c r="AI99" s="292"/>
      <c r="AJ99" s="265">
        <v>6.9</v>
      </c>
      <c r="AK99" s="266">
        <v>7.3</v>
      </c>
      <c r="AL99" s="266">
        <v>6.5</v>
      </c>
      <c r="AM99" s="266">
        <v>9.4</v>
      </c>
      <c r="AN99" s="271">
        <v>10.6</v>
      </c>
      <c r="AO99" s="268"/>
      <c r="AP99" s="269"/>
      <c r="AQ99" s="290"/>
      <c r="AR99" s="272"/>
      <c r="AS99" s="268"/>
      <c r="AT99" s="268"/>
      <c r="AU99" s="268"/>
      <c r="AV99" s="273"/>
      <c r="AW99" s="268"/>
      <c r="AX99" s="269"/>
      <c r="AY99" s="45"/>
      <c r="AZ99" s="19">
        <f t="shared" si="16"/>
        <v>7.9399999999999995</v>
      </c>
      <c r="BA99" s="227">
        <f t="shared" si="17"/>
        <v>8</v>
      </c>
      <c r="BB99" s="173"/>
      <c r="BC99" s="173"/>
      <c r="BD99" s="173"/>
      <c r="BE99" s="173"/>
      <c r="BF99" s="173"/>
      <c r="BG99" s="173"/>
      <c r="BH99" s="173"/>
      <c r="BI99" s="173"/>
      <c r="BJ99" s="173"/>
      <c r="BK99" s="173"/>
      <c r="BL99" s="173"/>
      <c r="BM99" s="173"/>
      <c r="BN99" s="173"/>
      <c r="BO99" s="324">
        <f t="shared" si="15"/>
        <v>137</v>
      </c>
      <c r="BP99" s="319">
        <v>40667</v>
      </c>
      <c r="BQ99" s="324">
        <v>124</v>
      </c>
      <c r="BR99" s="358">
        <v>7.7560000000000002</v>
      </c>
      <c r="BS99" s="358">
        <v>0</v>
      </c>
      <c r="BT99" s="319">
        <v>40308</v>
      </c>
      <c r="BU99" s="324">
        <v>130</v>
      </c>
      <c r="BV99" s="358">
        <v>6.7159999999999993</v>
      </c>
      <c r="BW99" s="358">
        <v>0</v>
      </c>
      <c r="BX99" s="319">
        <v>39944</v>
      </c>
      <c r="BY99" s="217">
        <v>131</v>
      </c>
      <c r="BZ99" s="219">
        <v>9.5879999999999992</v>
      </c>
      <c r="CA99" s="262">
        <v>0</v>
      </c>
      <c r="CB99" s="218">
        <v>39577</v>
      </c>
      <c r="CC99" s="217">
        <f t="shared" si="18"/>
        <v>130</v>
      </c>
      <c r="CD99" s="219">
        <v>12.600000000000001</v>
      </c>
      <c r="CE99" s="217">
        <v>0.4</v>
      </c>
      <c r="CF99" s="220">
        <v>39209</v>
      </c>
      <c r="CG99" s="217">
        <f t="shared" si="19"/>
        <v>127</v>
      </c>
      <c r="CH99" s="211">
        <v>9.7119999999999997</v>
      </c>
      <c r="CI99" s="262">
        <v>0.2</v>
      </c>
      <c r="CJ99" s="319">
        <v>38848</v>
      </c>
      <c r="CK99" s="217">
        <f t="shared" si="20"/>
        <v>131</v>
      </c>
      <c r="CL99" s="211">
        <v>14.52</v>
      </c>
      <c r="CM99" s="258">
        <v>0.6</v>
      </c>
      <c r="CN99" s="173"/>
      <c r="CO99" s="173"/>
      <c r="CP99" s="173"/>
      <c r="CQ99" s="173"/>
      <c r="CR99" s="173"/>
      <c r="CS99" s="173"/>
      <c r="CT99" s="173"/>
      <c r="CU99" s="173"/>
    </row>
    <row r="100" spans="1:99" s="4" customFormat="1">
      <c r="A100" s="16" t="s">
        <v>34</v>
      </c>
      <c r="B100" s="21">
        <v>41047</v>
      </c>
      <c r="C100" s="22" t="s">
        <v>93</v>
      </c>
      <c r="D100" s="265">
        <v>8.4</v>
      </c>
      <c r="E100" s="266">
        <v>12.8</v>
      </c>
      <c r="F100" s="266">
        <v>9.1999999999999993</v>
      </c>
      <c r="G100" s="266">
        <v>12.6</v>
      </c>
      <c r="H100" s="267">
        <v>7.8</v>
      </c>
      <c r="I100" s="268"/>
      <c r="J100" s="269"/>
      <c r="K100" s="292"/>
      <c r="L100" s="265">
        <v>9.1</v>
      </c>
      <c r="M100" s="266">
        <v>8.4</v>
      </c>
      <c r="N100" s="266">
        <v>7.6</v>
      </c>
      <c r="O100" s="266">
        <v>10.4</v>
      </c>
      <c r="P100" s="271">
        <v>10.5</v>
      </c>
      <c r="Q100" s="268"/>
      <c r="R100" s="269"/>
      <c r="S100" s="292"/>
      <c r="T100" s="265">
        <v>9.6999999999999993</v>
      </c>
      <c r="U100" s="266">
        <v>9.6</v>
      </c>
      <c r="V100" s="266">
        <v>10.199999999999999</v>
      </c>
      <c r="W100" s="266">
        <v>9.6999999999999993</v>
      </c>
      <c r="X100" s="271">
        <v>9</v>
      </c>
      <c r="Y100" s="268"/>
      <c r="Z100" s="269"/>
      <c r="AA100" s="292"/>
      <c r="AB100" s="265">
        <v>6.9</v>
      </c>
      <c r="AC100" s="266">
        <v>8.3000000000000007</v>
      </c>
      <c r="AD100" s="266">
        <v>7.8</v>
      </c>
      <c r="AE100" s="266">
        <v>9</v>
      </c>
      <c r="AF100" s="271">
        <v>6.2</v>
      </c>
      <c r="AG100" s="268"/>
      <c r="AH100" s="269"/>
      <c r="AI100" s="292"/>
      <c r="AJ100" s="265">
        <v>7</v>
      </c>
      <c r="AK100" s="266">
        <v>8.5</v>
      </c>
      <c r="AL100" s="266">
        <v>8.6999999999999993</v>
      </c>
      <c r="AM100" s="266">
        <v>13.1</v>
      </c>
      <c r="AN100" s="271">
        <v>11.6</v>
      </c>
      <c r="AO100" s="268"/>
      <c r="AP100" s="269"/>
      <c r="AQ100" s="290"/>
      <c r="AR100" s="272"/>
      <c r="AS100" s="268"/>
      <c r="AT100" s="268"/>
      <c r="AU100" s="268"/>
      <c r="AV100" s="273"/>
      <c r="AW100" s="268"/>
      <c r="AX100" s="269"/>
      <c r="AY100" s="45"/>
      <c r="AZ100" s="19">
        <f t="shared" si="16"/>
        <v>9.2840000000000007</v>
      </c>
      <c r="BA100" s="227">
        <f t="shared" si="17"/>
        <v>8</v>
      </c>
      <c r="BB100" s="173"/>
      <c r="BC100" s="173"/>
      <c r="BD100" s="173"/>
      <c r="BE100" s="173"/>
      <c r="BF100" s="173"/>
      <c r="BG100" s="173"/>
      <c r="BH100" s="173"/>
      <c r="BI100" s="173"/>
      <c r="BJ100" s="173"/>
      <c r="BK100" s="173"/>
      <c r="BL100" s="173"/>
      <c r="BM100" s="173"/>
      <c r="BN100" s="173"/>
      <c r="BO100" s="324">
        <f t="shared" si="15"/>
        <v>139</v>
      </c>
      <c r="BP100" s="319">
        <v>40669</v>
      </c>
      <c r="BQ100" s="324">
        <v>126</v>
      </c>
      <c r="BR100" s="358">
        <v>7.8760000000000003</v>
      </c>
      <c r="BS100" s="358">
        <v>0.2</v>
      </c>
      <c r="BT100" s="319">
        <v>40310</v>
      </c>
      <c r="BU100" s="324">
        <v>132</v>
      </c>
      <c r="BV100" s="358">
        <v>6.944</v>
      </c>
      <c r="BW100" s="358">
        <v>0</v>
      </c>
      <c r="BX100" s="319">
        <v>39946</v>
      </c>
      <c r="BY100" s="217">
        <v>133</v>
      </c>
      <c r="BZ100" s="219">
        <v>10.988</v>
      </c>
      <c r="CA100" s="262">
        <v>0.2</v>
      </c>
      <c r="CB100" s="218">
        <v>39579</v>
      </c>
      <c r="CC100" s="217">
        <f t="shared" si="18"/>
        <v>132</v>
      </c>
      <c r="CD100" s="219">
        <v>16.984000000000002</v>
      </c>
      <c r="CE100" s="217">
        <v>1.2</v>
      </c>
      <c r="CF100" s="220">
        <v>39210</v>
      </c>
      <c r="CG100" s="217">
        <f t="shared" si="19"/>
        <v>128</v>
      </c>
      <c r="CH100" s="211">
        <v>10.411999999999999</v>
      </c>
      <c r="CI100" s="262">
        <v>0.2</v>
      </c>
      <c r="CJ100" s="319">
        <v>38849</v>
      </c>
      <c r="CK100" s="217">
        <f t="shared" si="20"/>
        <v>132</v>
      </c>
      <c r="CL100" s="211">
        <v>15.696000000000002</v>
      </c>
      <c r="CM100" s="258">
        <v>1.2</v>
      </c>
      <c r="CN100" s="173"/>
      <c r="CO100" s="173"/>
      <c r="CP100" s="173"/>
      <c r="CQ100" s="173"/>
      <c r="CR100" s="173"/>
      <c r="CS100" s="173"/>
      <c r="CT100" s="173"/>
      <c r="CU100" s="173"/>
    </row>
    <row r="101" spans="1:99" s="4" customFormat="1">
      <c r="A101" s="16" t="s">
        <v>34</v>
      </c>
      <c r="B101" s="21">
        <v>41048</v>
      </c>
      <c r="C101" s="22" t="s">
        <v>93</v>
      </c>
      <c r="D101" s="265">
        <v>8.6</v>
      </c>
      <c r="E101" s="266">
        <v>13.1</v>
      </c>
      <c r="F101" s="266">
        <v>9</v>
      </c>
      <c r="G101" s="266">
        <v>8.1999999999999993</v>
      </c>
      <c r="H101" s="267">
        <v>13.7</v>
      </c>
      <c r="I101" s="268"/>
      <c r="J101" s="269"/>
      <c r="K101" s="292"/>
      <c r="L101" s="265">
        <v>9.3000000000000007</v>
      </c>
      <c r="M101" s="266">
        <v>8.6</v>
      </c>
      <c r="N101" s="266">
        <v>8.9</v>
      </c>
      <c r="O101" s="266">
        <v>10</v>
      </c>
      <c r="P101" s="271">
        <v>9.3000000000000007</v>
      </c>
      <c r="Q101" s="268"/>
      <c r="R101" s="269"/>
      <c r="S101" s="292"/>
      <c r="T101" s="265">
        <v>9.3000000000000007</v>
      </c>
      <c r="U101" s="266">
        <v>9</v>
      </c>
      <c r="V101" s="266">
        <v>10.5</v>
      </c>
      <c r="W101" s="266">
        <v>10.199999999999999</v>
      </c>
      <c r="X101" s="271">
        <v>9.5</v>
      </c>
      <c r="Y101" s="268"/>
      <c r="Z101" s="269"/>
      <c r="AA101" s="292"/>
      <c r="AB101" s="265">
        <v>8</v>
      </c>
      <c r="AC101" s="266">
        <v>8.3000000000000007</v>
      </c>
      <c r="AD101" s="266">
        <v>9</v>
      </c>
      <c r="AE101" s="266">
        <v>6.9</v>
      </c>
      <c r="AF101" s="271">
        <v>6.2</v>
      </c>
      <c r="AG101" s="268"/>
      <c r="AH101" s="269"/>
      <c r="AI101" s="292"/>
      <c r="AJ101" s="265">
        <v>7.1</v>
      </c>
      <c r="AK101" s="266">
        <v>9.6</v>
      </c>
      <c r="AL101" s="266">
        <v>8.5</v>
      </c>
      <c r="AM101" s="266">
        <v>12.6</v>
      </c>
      <c r="AN101" s="271">
        <v>13.7</v>
      </c>
      <c r="AO101" s="268"/>
      <c r="AP101" s="269"/>
      <c r="AQ101" s="290"/>
      <c r="AR101" s="272"/>
      <c r="AS101" s="268"/>
      <c r="AT101" s="268"/>
      <c r="AU101" s="268"/>
      <c r="AV101" s="273"/>
      <c r="AW101" s="268"/>
      <c r="AX101" s="269"/>
      <c r="AY101" s="45"/>
      <c r="AZ101" s="19">
        <f t="shared" si="16"/>
        <v>9.484</v>
      </c>
      <c r="BA101" s="227">
        <f t="shared" si="17"/>
        <v>8</v>
      </c>
      <c r="BB101" s="173"/>
      <c r="BC101" s="173"/>
      <c r="BD101" s="173"/>
      <c r="BE101" s="173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324">
        <f t="shared" si="15"/>
        <v>140</v>
      </c>
      <c r="BP101" s="319">
        <v>40672</v>
      </c>
      <c r="BQ101" s="324">
        <v>129</v>
      </c>
      <c r="BR101" s="358">
        <v>9.64</v>
      </c>
      <c r="BS101" s="358">
        <v>0.6</v>
      </c>
      <c r="BT101" s="319">
        <v>40313</v>
      </c>
      <c r="BU101" s="324">
        <v>135</v>
      </c>
      <c r="BV101" s="358">
        <v>9.1039999999999992</v>
      </c>
      <c r="BW101" s="358">
        <v>0</v>
      </c>
      <c r="BX101" s="319">
        <v>39948</v>
      </c>
      <c r="BY101" s="217">
        <v>135</v>
      </c>
      <c r="BZ101" s="219">
        <v>12.864000000000001</v>
      </c>
      <c r="CA101" s="262">
        <v>0.4</v>
      </c>
      <c r="CB101" s="218">
        <v>39580</v>
      </c>
      <c r="CC101" s="217">
        <f t="shared" si="18"/>
        <v>133</v>
      </c>
      <c r="CD101" s="219">
        <v>18.475999999999999</v>
      </c>
      <c r="CE101" s="217">
        <v>1.6</v>
      </c>
      <c r="CF101" s="220">
        <v>39212</v>
      </c>
      <c r="CG101" s="217">
        <f t="shared" si="19"/>
        <v>130</v>
      </c>
      <c r="CH101" s="211">
        <v>11.060000000000002</v>
      </c>
      <c r="CI101" s="262">
        <v>0.2</v>
      </c>
      <c r="CJ101" s="319">
        <v>38851</v>
      </c>
      <c r="CK101" s="217">
        <f t="shared" si="20"/>
        <v>134</v>
      </c>
      <c r="CL101" s="211">
        <v>17.352</v>
      </c>
      <c r="CM101" s="258">
        <v>1.2</v>
      </c>
      <c r="CN101" s="173"/>
      <c r="CO101" s="173"/>
      <c r="CP101" s="173"/>
      <c r="CQ101" s="173"/>
      <c r="CR101" s="173"/>
      <c r="CS101" s="173"/>
      <c r="CT101" s="173"/>
      <c r="CU101" s="173"/>
    </row>
    <row r="102" spans="1:99" s="4" customFormat="1">
      <c r="A102" s="16" t="s">
        <v>34</v>
      </c>
      <c r="B102" s="21">
        <v>41050</v>
      </c>
      <c r="C102" s="22" t="s">
        <v>93</v>
      </c>
      <c r="D102" s="265">
        <v>9.6999999999999993</v>
      </c>
      <c r="E102" s="266">
        <v>14.1</v>
      </c>
      <c r="F102" s="266">
        <v>10.5</v>
      </c>
      <c r="G102" s="266">
        <v>8.3000000000000007</v>
      </c>
      <c r="H102" s="267">
        <v>15.2</v>
      </c>
      <c r="I102" s="268"/>
      <c r="J102" s="269"/>
      <c r="K102" s="292"/>
      <c r="L102" s="265">
        <v>9.1</v>
      </c>
      <c r="M102" s="266">
        <v>8.6</v>
      </c>
      <c r="N102" s="266">
        <v>9.6</v>
      </c>
      <c r="O102" s="266">
        <v>11</v>
      </c>
      <c r="P102" s="271">
        <v>12.3</v>
      </c>
      <c r="Q102" s="268"/>
      <c r="R102" s="269"/>
      <c r="S102" s="292"/>
      <c r="T102" s="265">
        <v>11.1</v>
      </c>
      <c r="U102" s="266">
        <v>11</v>
      </c>
      <c r="V102" s="266">
        <v>12.4</v>
      </c>
      <c r="W102" s="266">
        <v>11.5</v>
      </c>
      <c r="X102" s="271">
        <v>11</v>
      </c>
      <c r="Y102" s="268"/>
      <c r="Z102" s="269"/>
      <c r="AA102" s="292"/>
      <c r="AB102" s="265">
        <v>6.9</v>
      </c>
      <c r="AC102" s="266">
        <v>8.9</v>
      </c>
      <c r="AD102" s="266">
        <v>8.8000000000000007</v>
      </c>
      <c r="AE102" s="266">
        <v>6</v>
      </c>
      <c r="AF102" s="271">
        <v>9.1</v>
      </c>
      <c r="AG102" s="268"/>
      <c r="AH102" s="269"/>
      <c r="AI102" s="292"/>
      <c r="AJ102" s="265">
        <v>7.1</v>
      </c>
      <c r="AK102" s="266">
        <v>9.6</v>
      </c>
      <c r="AL102" s="266">
        <v>8.5</v>
      </c>
      <c r="AM102" s="266">
        <v>14</v>
      </c>
      <c r="AN102" s="271">
        <v>14.8</v>
      </c>
      <c r="AO102" s="268"/>
      <c r="AP102" s="269"/>
      <c r="AQ102" s="290"/>
      <c r="AR102" s="272"/>
      <c r="AS102" s="268"/>
      <c r="AT102" s="268"/>
      <c r="AU102" s="268"/>
      <c r="AV102" s="273"/>
      <c r="AW102" s="268"/>
      <c r="AX102" s="269"/>
      <c r="AY102" s="45"/>
      <c r="AZ102" s="19">
        <f t="shared" si="16"/>
        <v>10.363999999999999</v>
      </c>
      <c r="BA102" s="227">
        <f t="shared" si="17"/>
        <v>8</v>
      </c>
      <c r="BB102" s="173"/>
      <c r="BC102" s="173"/>
      <c r="BD102" s="173"/>
      <c r="BE102" s="173"/>
      <c r="BF102" s="173"/>
      <c r="BG102" s="173"/>
      <c r="BH102" s="173"/>
      <c r="BI102" s="173"/>
      <c r="BJ102" s="173"/>
      <c r="BK102" s="173"/>
      <c r="BL102" s="173"/>
      <c r="BM102" s="173"/>
      <c r="BN102" s="173"/>
      <c r="BO102" s="324">
        <f t="shared" ref="BO102:BO133" si="21">IF(B102=0,BO101,B102-DATE(YEAR(B102)-1,12,31))</f>
        <v>142</v>
      </c>
      <c r="BP102" s="319">
        <v>40674</v>
      </c>
      <c r="BQ102" s="324">
        <v>131</v>
      </c>
      <c r="BR102" s="358">
        <v>12.384</v>
      </c>
      <c r="BS102" s="358">
        <v>1</v>
      </c>
      <c r="BT102" s="319">
        <v>40314</v>
      </c>
      <c r="BU102" s="324">
        <v>136</v>
      </c>
      <c r="BV102" s="358">
        <v>13.624000000000001</v>
      </c>
      <c r="BW102" s="358">
        <v>0.2</v>
      </c>
      <c r="BX102" s="319">
        <v>39951</v>
      </c>
      <c r="BY102" s="217">
        <v>138</v>
      </c>
      <c r="BZ102" s="219">
        <v>19.788</v>
      </c>
      <c r="CA102" s="262">
        <v>1</v>
      </c>
      <c r="CB102" s="218">
        <v>39581</v>
      </c>
      <c r="CC102" s="217">
        <f t="shared" si="18"/>
        <v>134</v>
      </c>
      <c r="CD102" s="219">
        <v>18.956</v>
      </c>
      <c r="CE102" s="217">
        <v>1.6</v>
      </c>
      <c r="CF102" s="220">
        <v>39213</v>
      </c>
      <c r="CG102" s="217">
        <f t="shared" si="19"/>
        <v>131</v>
      </c>
      <c r="CH102" s="211">
        <v>11.907999999999999</v>
      </c>
      <c r="CI102" s="262">
        <v>0.4</v>
      </c>
      <c r="CJ102" s="319">
        <v>38852</v>
      </c>
      <c r="CK102" s="217">
        <f t="shared" si="20"/>
        <v>135</v>
      </c>
      <c r="CL102" s="211">
        <v>17.864000000000001</v>
      </c>
      <c r="CM102" s="258">
        <v>1.4</v>
      </c>
      <c r="CN102" s="173"/>
      <c r="CO102" s="173"/>
      <c r="CP102" s="173"/>
      <c r="CQ102" s="173"/>
      <c r="CR102" s="173"/>
      <c r="CS102" s="173"/>
      <c r="CT102" s="173"/>
      <c r="CU102" s="173"/>
    </row>
    <row r="103" spans="1:99" s="4" customFormat="1">
      <c r="A103" s="16" t="s">
        <v>34</v>
      </c>
      <c r="B103" s="21">
        <v>41052</v>
      </c>
      <c r="C103" s="22" t="s">
        <v>93</v>
      </c>
      <c r="D103" s="265">
        <v>16.2</v>
      </c>
      <c r="E103" s="266">
        <v>11.1</v>
      </c>
      <c r="F103" s="266">
        <v>10.9</v>
      </c>
      <c r="G103" s="266">
        <v>9.6999999999999993</v>
      </c>
      <c r="H103" s="267">
        <v>18.899999999999999</v>
      </c>
      <c r="I103" s="268"/>
      <c r="J103" s="269"/>
      <c r="K103" s="290"/>
      <c r="L103" s="265">
        <v>10.5</v>
      </c>
      <c r="M103" s="266">
        <v>11.7</v>
      </c>
      <c r="N103" s="266">
        <v>11</v>
      </c>
      <c r="O103" s="266">
        <v>13.9</v>
      </c>
      <c r="P103" s="271">
        <v>15.8</v>
      </c>
      <c r="Q103" s="268"/>
      <c r="R103" s="269"/>
      <c r="S103" s="290"/>
      <c r="T103" s="265">
        <v>12</v>
      </c>
      <c r="U103" s="266">
        <v>13.1</v>
      </c>
      <c r="V103" s="266">
        <v>15.1</v>
      </c>
      <c r="W103" s="266">
        <v>12.8</v>
      </c>
      <c r="X103" s="271">
        <v>12.3</v>
      </c>
      <c r="Y103" s="268"/>
      <c r="Z103" s="269"/>
      <c r="AA103" s="290"/>
      <c r="AB103" s="265">
        <v>6.7</v>
      </c>
      <c r="AC103" s="266">
        <v>10.5</v>
      </c>
      <c r="AD103" s="266">
        <v>10.5</v>
      </c>
      <c r="AE103" s="266">
        <v>6</v>
      </c>
      <c r="AF103" s="271">
        <v>10</v>
      </c>
      <c r="AG103" s="268"/>
      <c r="AH103" s="269"/>
      <c r="AI103" s="290"/>
      <c r="AJ103" s="265">
        <v>7.1</v>
      </c>
      <c r="AK103" s="266">
        <v>10.1</v>
      </c>
      <c r="AL103" s="266">
        <v>9.5</v>
      </c>
      <c r="AM103" s="266">
        <v>16.3</v>
      </c>
      <c r="AN103" s="271">
        <v>18</v>
      </c>
      <c r="AO103" s="268"/>
      <c r="AP103" s="269"/>
      <c r="AQ103" s="290"/>
      <c r="AR103" s="272"/>
      <c r="AS103" s="268"/>
      <c r="AT103" s="268"/>
      <c r="AU103" s="268"/>
      <c r="AV103" s="273"/>
      <c r="AW103" s="268"/>
      <c r="AX103" s="269"/>
      <c r="AY103" s="45"/>
      <c r="AZ103" s="19">
        <f t="shared" si="16"/>
        <v>11.988</v>
      </c>
      <c r="BA103" s="227">
        <f t="shared" si="17"/>
        <v>8</v>
      </c>
      <c r="BB103" s="173"/>
      <c r="BC103" s="173"/>
      <c r="BD103" s="173"/>
      <c r="BE103" s="173"/>
      <c r="BF103" s="173"/>
      <c r="BG103" s="173"/>
      <c r="BH103" s="173"/>
      <c r="BI103" s="173"/>
      <c r="BJ103" s="173"/>
      <c r="BK103" s="173"/>
      <c r="BL103" s="173"/>
      <c r="BM103" s="173"/>
      <c r="BN103" s="173"/>
      <c r="BO103" s="324">
        <f t="shared" si="21"/>
        <v>144</v>
      </c>
      <c r="BP103" s="319">
        <v>40675</v>
      </c>
      <c r="BQ103" s="324">
        <v>132</v>
      </c>
      <c r="BR103" s="358">
        <v>14.336000000000002</v>
      </c>
      <c r="BS103" s="358">
        <v>1</v>
      </c>
      <c r="BT103" s="319">
        <v>40315</v>
      </c>
      <c r="BU103" s="324">
        <v>137</v>
      </c>
      <c r="BV103" s="358">
        <v>16.768000000000001</v>
      </c>
      <c r="BW103" s="358">
        <v>1.2</v>
      </c>
      <c r="BX103" s="319">
        <v>39952</v>
      </c>
      <c r="BY103" s="217">
        <v>139</v>
      </c>
      <c r="BZ103" s="219">
        <v>22.187999999999999</v>
      </c>
      <c r="CA103" s="262">
        <v>1.4</v>
      </c>
      <c r="CB103" s="218">
        <v>39582</v>
      </c>
      <c r="CC103" s="217">
        <f t="shared" si="18"/>
        <v>135</v>
      </c>
      <c r="CD103" s="219">
        <v>19.667999999999999</v>
      </c>
      <c r="CE103" s="217">
        <v>1.6</v>
      </c>
      <c r="CF103" s="220">
        <v>39216</v>
      </c>
      <c r="CG103" s="217">
        <f t="shared" si="19"/>
        <v>134</v>
      </c>
      <c r="CH103" s="211">
        <v>13.172000000000001</v>
      </c>
      <c r="CI103" s="262">
        <v>0.4</v>
      </c>
      <c r="CJ103" s="319">
        <v>38853</v>
      </c>
      <c r="CK103" s="217">
        <f t="shared" si="20"/>
        <v>136</v>
      </c>
      <c r="CL103" s="211">
        <v>18.571999999999999</v>
      </c>
      <c r="CM103" s="258">
        <v>1.6</v>
      </c>
      <c r="CN103" s="173"/>
      <c r="CO103" s="173"/>
      <c r="CP103" s="173"/>
      <c r="CQ103" s="173"/>
      <c r="CR103" s="173"/>
      <c r="CS103" s="173"/>
      <c r="CT103" s="173"/>
      <c r="CU103" s="173"/>
    </row>
    <row r="104" spans="1:99" s="4" customFormat="1">
      <c r="A104" s="16" t="s">
        <v>34</v>
      </c>
      <c r="B104" s="21">
        <v>41053</v>
      </c>
      <c r="C104" s="22" t="s">
        <v>93</v>
      </c>
      <c r="D104" s="266">
        <v>12.1</v>
      </c>
      <c r="E104" s="266">
        <v>20.6</v>
      </c>
      <c r="F104" s="266">
        <v>12.8</v>
      </c>
      <c r="G104" s="267">
        <v>23.4</v>
      </c>
      <c r="H104" s="268">
        <v>9.8000000000000007</v>
      </c>
      <c r="I104" s="268"/>
      <c r="J104" s="269"/>
      <c r="K104" s="290"/>
      <c r="L104" s="265">
        <v>13.5</v>
      </c>
      <c r="M104" s="266">
        <v>12.8</v>
      </c>
      <c r="N104" s="266">
        <v>12.1</v>
      </c>
      <c r="O104" s="266">
        <v>15.1</v>
      </c>
      <c r="P104" s="271">
        <v>16.8</v>
      </c>
      <c r="Q104" s="268"/>
      <c r="R104" s="269"/>
      <c r="S104" s="290"/>
      <c r="T104" s="265">
        <v>14.8</v>
      </c>
      <c r="U104" s="266">
        <v>15.4</v>
      </c>
      <c r="V104" s="266">
        <v>17.2</v>
      </c>
      <c r="W104" s="266">
        <v>15.7</v>
      </c>
      <c r="X104" s="271">
        <v>15.8</v>
      </c>
      <c r="Y104" s="268"/>
      <c r="Z104" s="269"/>
      <c r="AA104" s="290"/>
      <c r="AB104" s="265">
        <v>9.1999999999999993</v>
      </c>
      <c r="AC104" s="266">
        <v>11.4</v>
      </c>
      <c r="AD104" s="266">
        <v>10</v>
      </c>
      <c r="AE104" s="266">
        <v>6.4</v>
      </c>
      <c r="AF104" s="271">
        <v>10.8</v>
      </c>
      <c r="AG104" s="268"/>
      <c r="AH104" s="269"/>
      <c r="AI104" s="290"/>
      <c r="AJ104" s="265">
        <v>7.6</v>
      </c>
      <c r="AK104" s="266">
        <v>12.6</v>
      </c>
      <c r="AL104" s="266">
        <v>10.1</v>
      </c>
      <c r="AM104" s="266">
        <v>22.3</v>
      </c>
      <c r="AN104" s="271">
        <v>18.600000000000001</v>
      </c>
      <c r="AO104" s="268"/>
      <c r="AP104" s="269"/>
      <c r="AQ104" s="290"/>
      <c r="AR104" s="272"/>
      <c r="AS104" s="268"/>
      <c r="AT104" s="268"/>
      <c r="AU104" s="268"/>
      <c r="AV104" s="273"/>
      <c r="AW104" s="268"/>
      <c r="AX104" s="269"/>
      <c r="AY104" s="45"/>
      <c r="AZ104" s="19">
        <f t="shared" si="16"/>
        <v>13.875999999999999</v>
      </c>
      <c r="BA104" s="227">
        <f t="shared" si="17"/>
        <v>8</v>
      </c>
      <c r="BB104" s="173"/>
      <c r="BC104" s="173"/>
      <c r="BD104" s="173"/>
      <c r="BE104" s="173"/>
      <c r="BF104" s="173"/>
      <c r="BG104" s="173"/>
      <c r="BH104" s="173"/>
      <c r="BI104" s="173"/>
      <c r="BJ104" s="173"/>
      <c r="BK104" s="173"/>
      <c r="BL104" s="173"/>
      <c r="BM104" s="173"/>
      <c r="BN104" s="173"/>
      <c r="BO104" s="324">
        <f t="shared" si="21"/>
        <v>145</v>
      </c>
      <c r="BP104" s="319">
        <v>40676</v>
      </c>
      <c r="BQ104" s="324">
        <v>133</v>
      </c>
      <c r="BR104" s="358">
        <v>15.745600000000001</v>
      </c>
      <c r="BS104" s="358">
        <v>1</v>
      </c>
      <c r="BT104" s="319">
        <v>40316</v>
      </c>
      <c r="BU104" s="324">
        <v>138</v>
      </c>
      <c r="BV104" s="358">
        <v>21.443999999999999</v>
      </c>
      <c r="BW104" s="358">
        <v>2</v>
      </c>
      <c r="BX104" s="319">
        <v>39958</v>
      </c>
      <c r="BY104" s="217">
        <v>145</v>
      </c>
      <c r="BZ104" s="219">
        <v>30.213999999999999</v>
      </c>
      <c r="CA104" s="262">
        <v>2</v>
      </c>
      <c r="CB104" s="218">
        <v>39583</v>
      </c>
      <c r="CC104" s="217">
        <f t="shared" si="18"/>
        <v>136</v>
      </c>
      <c r="CD104" s="219">
        <v>20.080000000000002</v>
      </c>
      <c r="CE104" s="217">
        <v>2</v>
      </c>
      <c r="CF104" s="220">
        <v>39218</v>
      </c>
      <c r="CG104" s="217">
        <f t="shared" si="19"/>
        <v>136</v>
      </c>
      <c r="CH104" s="211">
        <v>14.756</v>
      </c>
      <c r="CI104" s="262">
        <v>0.4</v>
      </c>
      <c r="CJ104" s="319">
        <v>38854</v>
      </c>
      <c r="CK104" s="217">
        <f t="shared" si="20"/>
        <v>137</v>
      </c>
      <c r="CL104" s="211">
        <v>18.604000000000003</v>
      </c>
      <c r="CM104" s="258">
        <v>1.6</v>
      </c>
      <c r="CN104" s="173"/>
      <c r="CO104" s="173"/>
      <c r="CP104" s="173"/>
      <c r="CQ104" s="173"/>
      <c r="CR104" s="173"/>
      <c r="CS104" s="173"/>
      <c r="CT104" s="173"/>
      <c r="CU104" s="173"/>
    </row>
    <row r="105" spans="1:99" s="4" customFormat="1">
      <c r="A105" s="16" t="s">
        <v>34</v>
      </c>
      <c r="B105" s="21">
        <v>41055</v>
      </c>
      <c r="C105" s="22" t="s">
        <v>93</v>
      </c>
      <c r="D105" s="265">
        <v>20.100000000000001</v>
      </c>
      <c r="E105" s="266">
        <v>30.8</v>
      </c>
      <c r="F105" s="266">
        <v>19.600000000000001</v>
      </c>
      <c r="G105" s="266">
        <v>16.100000000000001</v>
      </c>
      <c r="H105" s="267">
        <v>39.700000000000003</v>
      </c>
      <c r="I105" s="268"/>
      <c r="J105" s="269"/>
      <c r="K105" s="290"/>
      <c r="L105" s="265">
        <v>18</v>
      </c>
      <c r="M105" s="266">
        <v>18.399999999999999</v>
      </c>
      <c r="N105" s="266">
        <v>26.9</v>
      </c>
      <c r="O105" s="266">
        <v>25.4</v>
      </c>
      <c r="P105" s="271">
        <v>27.6</v>
      </c>
      <c r="Q105" s="268"/>
      <c r="R105" s="269"/>
      <c r="S105" s="290"/>
      <c r="T105" s="265">
        <v>23.4</v>
      </c>
      <c r="U105" s="266">
        <v>21.4</v>
      </c>
      <c r="V105" s="266">
        <v>27.8</v>
      </c>
      <c r="W105" s="266">
        <v>24.7</v>
      </c>
      <c r="X105" s="271">
        <v>21</v>
      </c>
      <c r="Y105" s="268"/>
      <c r="Z105" s="269"/>
      <c r="AA105" s="290"/>
      <c r="AB105" s="265">
        <v>17.100000000000001</v>
      </c>
      <c r="AC105" s="266">
        <v>16.600000000000001</v>
      </c>
      <c r="AD105" s="266">
        <v>19.2</v>
      </c>
      <c r="AE105" s="266">
        <v>7.1</v>
      </c>
      <c r="AF105" s="271">
        <v>15.3</v>
      </c>
      <c r="AG105" s="268"/>
      <c r="AH105" s="269"/>
      <c r="AI105" s="290"/>
      <c r="AJ105" s="265">
        <v>7.1</v>
      </c>
      <c r="AK105" s="266">
        <v>16.899999999999999</v>
      </c>
      <c r="AL105" s="266">
        <v>11.3</v>
      </c>
      <c r="AM105" s="266">
        <v>28</v>
      </c>
      <c r="AN105" s="271">
        <v>33.9</v>
      </c>
      <c r="AO105" s="268"/>
      <c r="AP105" s="269"/>
      <c r="AQ105" s="290"/>
      <c r="AR105" s="272"/>
      <c r="AS105" s="268"/>
      <c r="AT105" s="268"/>
      <c r="AU105" s="268"/>
      <c r="AV105" s="273"/>
      <c r="AW105" s="268"/>
      <c r="AX105" s="269"/>
      <c r="AY105" s="45"/>
      <c r="AZ105" s="19">
        <f t="shared" si="16"/>
        <v>21.335999999999999</v>
      </c>
      <c r="BA105" s="227">
        <f t="shared" si="17"/>
        <v>8</v>
      </c>
      <c r="BB105" s="173"/>
      <c r="BC105" s="173"/>
      <c r="BD105" s="173"/>
      <c r="BE105" s="173"/>
      <c r="BF105" s="173"/>
      <c r="BG105" s="173"/>
      <c r="BH105" s="173"/>
      <c r="BI105" s="173"/>
      <c r="BJ105" s="173"/>
      <c r="BK105" s="173"/>
      <c r="BL105" s="173"/>
      <c r="BM105" s="173"/>
      <c r="BN105" s="173"/>
      <c r="BO105" s="324">
        <f t="shared" si="21"/>
        <v>147</v>
      </c>
      <c r="BP105" s="319">
        <v>40678</v>
      </c>
      <c r="BQ105" s="324">
        <v>135</v>
      </c>
      <c r="BR105" s="358">
        <v>18.423999999999999</v>
      </c>
      <c r="BS105" s="358">
        <v>1</v>
      </c>
      <c r="BT105" s="319">
        <v>40317</v>
      </c>
      <c r="BU105" s="324">
        <v>139</v>
      </c>
      <c r="BV105" s="358">
        <v>26.276</v>
      </c>
      <c r="BW105" s="358">
        <v>2</v>
      </c>
      <c r="BX105" s="319">
        <v>39961</v>
      </c>
      <c r="BY105" s="217">
        <v>148</v>
      </c>
      <c r="BZ105" s="219">
        <v>49.225999999999999</v>
      </c>
      <c r="CA105" s="262">
        <v>2</v>
      </c>
      <c r="CB105" s="218">
        <v>39587</v>
      </c>
      <c r="CC105" s="217">
        <f t="shared" si="18"/>
        <v>140</v>
      </c>
      <c r="CD105" s="219">
        <v>21.651999999999997</v>
      </c>
      <c r="CE105" s="217">
        <v>2.2000000000000002</v>
      </c>
      <c r="CF105" s="220">
        <v>39221</v>
      </c>
      <c r="CG105" s="217">
        <f t="shared" si="19"/>
        <v>139</v>
      </c>
      <c r="CH105" s="211">
        <v>17.983999999999998</v>
      </c>
      <c r="CI105" s="262">
        <v>0.8</v>
      </c>
      <c r="CJ105" s="319">
        <v>38856</v>
      </c>
      <c r="CK105" s="217">
        <f t="shared" si="20"/>
        <v>139</v>
      </c>
      <c r="CL105" s="211">
        <v>19.791999999999998</v>
      </c>
      <c r="CM105" s="258">
        <v>1.8</v>
      </c>
      <c r="CN105" s="173"/>
      <c r="CO105" s="173"/>
      <c r="CP105" s="173"/>
      <c r="CQ105" s="173"/>
      <c r="CR105" s="173"/>
      <c r="CS105" s="173"/>
      <c r="CT105" s="173"/>
      <c r="CU105" s="173"/>
    </row>
    <row r="106" spans="1:99" s="4" customFormat="1">
      <c r="A106" s="16" t="s">
        <v>34</v>
      </c>
      <c r="B106" s="21">
        <v>41057</v>
      </c>
      <c r="C106" s="22" t="s">
        <v>93</v>
      </c>
      <c r="D106" s="265">
        <v>26.4</v>
      </c>
      <c r="E106" s="266">
        <v>32.799999999999997</v>
      </c>
      <c r="F106" s="266">
        <v>26.3</v>
      </c>
      <c r="G106" s="266">
        <v>23.6</v>
      </c>
      <c r="H106" s="267">
        <v>49.6</v>
      </c>
      <c r="I106" s="268"/>
      <c r="J106" s="269"/>
      <c r="K106" s="290"/>
      <c r="L106" s="265">
        <v>22.2</v>
      </c>
      <c r="M106" s="266">
        <v>27.6</v>
      </c>
      <c r="N106" s="266">
        <v>36</v>
      </c>
      <c r="O106" s="266">
        <v>36.9</v>
      </c>
      <c r="P106" s="271">
        <v>34.1</v>
      </c>
      <c r="Q106" s="268"/>
      <c r="R106" s="269"/>
      <c r="S106" s="290"/>
      <c r="T106" s="265">
        <v>28.2</v>
      </c>
      <c r="U106" s="266">
        <v>30.5</v>
      </c>
      <c r="V106" s="266">
        <v>37.4</v>
      </c>
      <c r="W106" s="266">
        <v>32.4</v>
      </c>
      <c r="X106" s="271">
        <v>30.7</v>
      </c>
      <c r="Y106" s="268"/>
      <c r="Z106" s="269"/>
      <c r="AA106" s="290"/>
      <c r="AB106" s="265">
        <v>26.3</v>
      </c>
      <c r="AC106" s="266">
        <v>21.8</v>
      </c>
      <c r="AD106" s="266">
        <v>24.8</v>
      </c>
      <c r="AE106" s="266">
        <v>7.6</v>
      </c>
      <c r="AF106" s="271">
        <v>21.3</v>
      </c>
      <c r="AG106" s="268"/>
      <c r="AH106" s="269"/>
      <c r="AI106" s="290"/>
      <c r="AJ106" s="265">
        <v>7.1</v>
      </c>
      <c r="AK106" s="266">
        <v>19.8</v>
      </c>
      <c r="AL106" s="266">
        <v>15.1</v>
      </c>
      <c r="AM106" s="266">
        <v>45.4</v>
      </c>
      <c r="AN106" s="271">
        <v>39.6</v>
      </c>
      <c r="AO106" s="268"/>
      <c r="AP106" s="269"/>
      <c r="AQ106" s="290"/>
      <c r="AR106" s="272"/>
      <c r="AS106" s="268"/>
      <c r="AT106" s="268"/>
      <c r="AU106" s="268"/>
      <c r="AV106" s="273"/>
      <c r="AW106" s="268"/>
      <c r="AX106" s="269"/>
      <c r="AY106" s="45"/>
      <c r="AZ106" s="19">
        <f t="shared" si="16"/>
        <v>28.139999999999997</v>
      </c>
      <c r="BA106" s="227">
        <f t="shared" si="17"/>
        <v>8</v>
      </c>
      <c r="BB106" s="173"/>
      <c r="BC106" s="173"/>
      <c r="BD106" s="173"/>
      <c r="BE106" s="173"/>
      <c r="BF106" s="173"/>
      <c r="BG106" s="173"/>
      <c r="BH106" s="173"/>
      <c r="BI106" s="173"/>
      <c r="BJ106" s="173"/>
      <c r="BK106" s="173"/>
      <c r="BL106" s="173"/>
      <c r="BM106" s="173"/>
      <c r="BN106" s="173"/>
      <c r="BO106" s="324">
        <f t="shared" si="21"/>
        <v>149</v>
      </c>
      <c r="BP106" s="319">
        <v>40680</v>
      </c>
      <c r="BQ106" s="324">
        <v>137</v>
      </c>
      <c r="BR106" s="358">
        <v>19.3</v>
      </c>
      <c r="BS106" s="358">
        <v>1</v>
      </c>
      <c r="BT106" s="319">
        <v>40322</v>
      </c>
      <c r="BU106" s="324">
        <v>144</v>
      </c>
      <c r="BV106" s="358">
        <v>53.8</v>
      </c>
      <c r="BW106" s="358">
        <v>2</v>
      </c>
      <c r="BX106" s="319">
        <v>39965</v>
      </c>
      <c r="BY106" s="217">
        <v>152</v>
      </c>
      <c r="BZ106" s="219">
        <v>67.955000000000013</v>
      </c>
      <c r="CA106" s="262">
        <v>2</v>
      </c>
      <c r="CB106" s="218">
        <v>39591</v>
      </c>
      <c r="CC106" s="217">
        <f t="shared" si="18"/>
        <v>144</v>
      </c>
      <c r="CD106" s="219">
        <v>25.556000000000004</v>
      </c>
      <c r="CE106" s="217">
        <v>2.4</v>
      </c>
      <c r="CF106" s="220">
        <v>39223</v>
      </c>
      <c r="CG106" s="217">
        <f t="shared" si="19"/>
        <v>141</v>
      </c>
      <c r="CH106" s="211">
        <v>20.080000000000002</v>
      </c>
      <c r="CI106" s="262">
        <v>1.8</v>
      </c>
      <c r="CJ106" s="319">
        <v>38857</v>
      </c>
      <c r="CK106" s="217">
        <f t="shared" si="20"/>
        <v>140</v>
      </c>
      <c r="CL106" s="211">
        <v>21.868000000000002</v>
      </c>
      <c r="CM106" s="258">
        <v>2</v>
      </c>
      <c r="CN106" s="173"/>
      <c r="CO106" s="173"/>
      <c r="CP106" s="173"/>
      <c r="CQ106" s="173"/>
      <c r="CR106" s="173"/>
      <c r="CS106" s="173"/>
      <c r="CT106" s="173"/>
      <c r="CU106" s="173"/>
    </row>
    <row r="107" spans="1:99" s="4" customFormat="1">
      <c r="A107" s="16" t="s">
        <v>34</v>
      </c>
      <c r="B107" s="21"/>
      <c r="C107" s="22"/>
      <c r="D107" s="265"/>
      <c r="E107" s="266"/>
      <c r="F107" s="266"/>
      <c r="G107" s="266"/>
      <c r="H107" s="267"/>
      <c r="I107" s="268"/>
      <c r="J107" s="269"/>
      <c r="K107" s="290"/>
      <c r="L107" s="265"/>
      <c r="M107" s="266"/>
      <c r="N107" s="266"/>
      <c r="O107" s="266"/>
      <c r="P107" s="271"/>
      <c r="Q107" s="268"/>
      <c r="R107" s="269"/>
      <c r="S107" s="290"/>
      <c r="T107" s="265"/>
      <c r="U107" s="266"/>
      <c r="V107" s="266"/>
      <c r="W107" s="266"/>
      <c r="X107" s="271"/>
      <c r="Y107" s="268"/>
      <c r="Z107" s="269"/>
      <c r="AA107" s="290"/>
      <c r="AB107" s="265"/>
      <c r="AC107" s="266"/>
      <c r="AD107" s="266"/>
      <c r="AE107" s="266"/>
      <c r="AF107" s="271"/>
      <c r="AG107" s="268"/>
      <c r="AH107" s="269"/>
      <c r="AI107" s="290"/>
      <c r="AJ107" s="265"/>
      <c r="AK107" s="266"/>
      <c r="AL107" s="266"/>
      <c r="AM107" s="266"/>
      <c r="AN107" s="271"/>
      <c r="AO107" s="268"/>
      <c r="AP107" s="269"/>
      <c r="AQ107" s="290"/>
      <c r="AR107" s="272"/>
      <c r="AS107" s="268"/>
      <c r="AT107" s="268"/>
      <c r="AU107" s="268"/>
      <c r="AV107" s="273"/>
      <c r="AW107" s="268"/>
      <c r="AX107" s="269"/>
      <c r="AY107" s="45"/>
      <c r="AZ107" s="19">
        <f t="shared" si="16"/>
        <v>28.139999999999997</v>
      </c>
      <c r="BA107" s="227">
        <f t="shared" si="17"/>
        <v>8</v>
      </c>
      <c r="BB107" s="173"/>
      <c r="BC107" s="173"/>
      <c r="BD107" s="173"/>
      <c r="BE107" s="173"/>
      <c r="BF107" s="173"/>
      <c r="BG107" s="173"/>
      <c r="BH107" s="173"/>
      <c r="BI107" s="173"/>
      <c r="BJ107" s="173"/>
      <c r="BK107" s="173"/>
      <c r="BL107" s="173"/>
      <c r="BM107" s="173"/>
      <c r="BN107" s="173"/>
      <c r="BO107" s="324">
        <f t="shared" si="21"/>
        <v>149</v>
      </c>
      <c r="BP107" s="319">
        <v>40681</v>
      </c>
      <c r="BQ107" s="324">
        <v>138</v>
      </c>
      <c r="BR107" s="358">
        <v>21.349999999999998</v>
      </c>
      <c r="BS107" s="358">
        <v>2</v>
      </c>
      <c r="BT107" s="319">
        <v>40331</v>
      </c>
      <c r="BU107" s="324">
        <v>153</v>
      </c>
      <c r="BV107" s="358"/>
      <c r="BW107" s="358">
        <v>2</v>
      </c>
      <c r="BX107" s="319">
        <v>39976</v>
      </c>
      <c r="BY107" s="217">
        <v>163</v>
      </c>
      <c r="BZ107" s="219">
        <v>73.3125</v>
      </c>
      <c r="CA107" s="262">
        <v>2</v>
      </c>
      <c r="CB107" s="218">
        <v>39595</v>
      </c>
      <c r="CC107" s="217">
        <f t="shared" si="18"/>
        <v>148</v>
      </c>
      <c r="CD107" s="219">
        <v>36.911999999999999</v>
      </c>
      <c r="CE107" s="217">
        <v>3</v>
      </c>
      <c r="CF107" s="220">
        <v>39224</v>
      </c>
      <c r="CG107" s="217">
        <f t="shared" si="19"/>
        <v>142</v>
      </c>
      <c r="CH107" s="211">
        <v>23.42</v>
      </c>
      <c r="CI107" s="262">
        <v>2</v>
      </c>
      <c r="CJ107" s="319"/>
      <c r="CK107" s="211"/>
      <c r="CL107" s="211"/>
      <c r="CM107" s="258"/>
      <c r="CN107" s="173"/>
      <c r="CO107" s="173"/>
      <c r="CP107" s="173"/>
      <c r="CQ107" s="173"/>
      <c r="CR107" s="173"/>
      <c r="CS107" s="173"/>
      <c r="CT107" s="173"/>
      <c r="CU107" s="173"/>
    </row>
    <row r="108" spans="1:99" s="4" customFormat="1">
      <c r="A108" s="16" t="s">
        <v>34</v>
      </c>
      <c r="B108" s="21"/>
      <c r="C108" s="22"/>
      <c r="D108" s="266"/>
      <c r="E108" s="266"/>
      <c r="F108" s="266"/>
      <c r="G108" s="267"/>
      <c r="H108" s="268"/>
      <c r="I108" s="268"/>
      <c r="J108" s="269"/>
      <c r="K108" s="290"/>
      <c r="L108" s="265"/>
      <c r="M108" s="266"/>
      <c r="N108" s="266"/>
      <c r="O108" s="266"/>
      <c r="P108" s="271"/>
      <c r="Q108" s="268"/>
      <c r="R108" s="269"/>
      <c r="S108" s="290"/>
      <c r="T108" s="265"/>
      <c r="U108" s="266"/>
      <c r="V108" s="266"/>
      <c r="W108" s="266"/>
      <c r="X108" s="271"/>
      <c r="Y108" s="268"/>
      <c r="Z108" s="269"/>
      <c r="AA108" s="290"/>
      <c r="AB108" s="265"/>
      <c r="AC108" s="266"/>
      <c r="AD108" s="266"/>
      <c r="AE108" s="266"/>
      <c r="AF108" s="271"/>
      <c r="AG108" s="268"/>
      <c r="AH108" s="269"/>
      <c r="AI108" s="290"/>
      <c r="AJ108" s="265"/>
      <c r="AK108" s="266"/>
      <c r="AL108" s="266"/>
      <c r="AM108" s="266"/>
      <c r="AN108" s="271"/>
      <c r="AO108" s="268"/>
      <c r="AP108" s="269"/>
      <c r="AQ108" s="290"/>
      <c r="AR108" s="272"/>
      <c r="AS108" s="268"/>
      <c r="AT108" s="268"/>
      <c r="AU108" s="268"/>
      <c r="AV108" s="273"/>
      <c r="AW108" s="268"/>
      <c r="AX108" s="269"/>
      <c r="AY108" s="45"/>
      <c r="AZ108" s="19">
        <f t="shared" si="16"/>
        <v>28.139999999999997</v>
      </c>
      <c r="BA108" s="227">
        <f t="shared" si="17"/>
        <v>8</v>
      </c>
      <c r="BB108" s="173"/>
      <c r="BC108" s="173"/>
      <c r="BD108" s="173"/>
      <c r="BE108" s="173"/>
      <c r="BF108" s="173"/>
      <c r="BG108" s="173"/>
      <c r="BH108" s="173"/>
      <c r="BI108" s="173"/>
      <c r="BJ108" s="173"/>
      <c r="BK108" s="173"/>
      <c r="BL108" s="173"/>
      <c r="BM108" s="173"/>
      <c r="BN108" s="173"/>
      <c r="BO108" s="324">
        <f t="shared" si="21"/>
        <v>149</v>
      </c>
      <c r="BP108" s="319">
        <v>40683</v>
      </c>
      <c r="BQ108" s="324">
        <v>140</v>
      </c>
      <c r="BR108" s="358">
        <v>25.21</v>
      </c>
      <c r="BS108" s="358">
        <v>2</v>
      </c>
      <c r="BT108" s="319">
        <v>40338</v>
      </c>
      <c r="BU108" s="324">
        <v>160</v>
      </c>
      <c r="BV108" s="358"/>
      <c r="BW108" s="358">
        <v>2</v>
      </c>
      <c r="BX108" s="319">
        <v>39989</v>
      </c>
      <c r="BY108" s="217">
        <v>176</v>
      </c>
      <c r="BZ108" s="219"/>
      <c r="CA108" s="262">
        <v>2</v>
      </c>
      <c r="CB108" s="218">
        <v>39598</v>
      </c>
      <c r="CC108" s="217">
        <f t="shared" si="18"/>
        <v>151</v>
      </c>
      <c r="CD108" s="219">
        <v>48.552</v>
      </c>
      <c r="CE108" s="217"/>
      <c r="CF108" s="220">
        <v>39227</v>
      </c>
      <c r="CG108" s="217">
        <f t="shared" si="19"/>
        <v>145</v>
      </c>
      <c r="CH108" s="211">
        <v>32.244</v>
      </c>
      <c r="CI108" s="262">
        <v>2.2000000000000002</v>
      </c>
      <c r="CJ108" s="319"/>
      <c r="CK108" s="211"/>
      <c r="CL108" s="211"/>
      <c r="CM108" s="258"/>
      <c r="CN108" s="173"/>
      <c r="CO108" s="173"/>
      <c r="CP108" s="173"/>
      <c r="CQ108" s="173"/>
      <c r="CR108" s="173"/>
      <c r="CS108" s="173"/>
      <c r="CT108" s="173"/>
      <c r="CU108" s="173"/>
    </row>
    <row r="109" spans="1:99" s="4" customFormat="1">
      <c r="A109" s="16" t="s">
        <v>34</v>
      </c>
      <c r="B109" s="21"/>
      <c r="C109" s="22"/>
      <c r="D109" s="265"/>
      <c r="E109" s="266"/>
      <c r="F109" s="266"/>
      <c r="G109" s="266"/>
      <c r="H109" s="267"/>
      <c r="I109" s="268"/>
      <c r="J109" s="269"/>
      <c r="K109" s="290"/>
      <c r="L109" s="265"/>
      <c r="M109" s="266"/>
      <c r="N109" s="266"/>
      <c r="O109" s="266"/>
      <c r="P109" s="271"/>
      <c r="Q109" s="268"/>
      <c r="R109" s="269"/>
      <c r="S109" s="290"/>
      <c r="T109" s="265"/>
      <c r="U109" s="266"/>
      <c r="V109" s="266"/>
      <c r="W109" s="266"/>
      <c r="X109" s="271"/>
      <c r="Y109" s="268"/>
      <c r="Z109" s="269"/>
      <c r="AA109" s="290"/>
      <c r="AB109" s="265"/>
      <c r="AC109" s="266"/>
      <c r="AD109" s="266"/>
      <c r="AE109" s="266"/>
      <c r="AF109" s="271"/>
      <c r="AG109" s="268"/>
      <c r="AH109" s="269"/>
      <c r="AI109" s="290"/>
      <c r="AJ109" s="265"/>
      <c r="AK109" s="266"/>
      <c r="AL109" s="266"/>
      <c r="AM109" s="266"/>
      <c r="AN109" s="271"/>
      <c r="AO109" s="268"/>
      <c r="AP109" s="269"/>
      <c r="AQ109" s="290"/>
      <c r="AR109" s="272"/>
      <c r="AS109" s="268"/>
      <c r="AT109" s="268"/>
      <c r="AU109" s="268"/>
      <c r="AV109" s="273"/>
      <c r="AW109" s="268"/>
      <c r="AX109" s="269"/>
      <c r="AY109" s="45"/>
      <c r="AZ109" s="19">
        <f t="shared" si="16"/>
        <v>28.139999999999997</v>
      </c>
      <c r="BA109" s="227">
        <f t="shared" si="17"/>
        <v>8</v>
      </c>
      <c r="BB109" s="173"/>
      <c r="BC109" s="173"/>
      <c r="BD109" s="173"/>
      <c r="BE109" s="173"/>
      <c r="BF109" s="173"/>
      <c r="BG109" s="173"/>
      <c r="BH109" s="173"/>
      <c r="BI109" s="173"/>
      <c r="BJ109" s="173"/>
      <c r="BK109" s="173"/>
      <c r="BL109" s="173"/>
      <c r="BM109" s="173"/>
      <c r="BN109" s="173"/>
      <c r="BO109" s="324">
        <f t="shared" si="21"/>
        <v>149</v>
      </c>
      <c r="BP109" s="319">
        <v>40693</v>
      </c>
      <c r="BQ109" s="324">
        <v>150</v>
      </c>
      <c r="BR109" s="358">
        <v>53.25</v>
      </c>
      <c r="BS109" s="358">
        <v>2</v>
      </c>
      <c r="BT109" s="319"/>
      <c r="BU109" s="324">
        <v>160</v>
      </c>
      <c r="BV109" s="358"/>
      <c r="BW109" s="358">
        <v>2</v>
      </c>
      <c r="BX109" s="319">
        <v>39996</v>
      </c>
      <c r="BY109" s="217">
        <v>183</v>
      </c>
      <c r="BZ109" s="219"/>
      <c r="CA109" s="262">
        <v>3</v>
      </c>
      <c r="CB109" s="218">
        <v>39601</v>
      </c>
      <c r="CC109" s="217">
        <f t="shared" si="18"/>
        <v>154</v>
      </c>
      <c r="CD109" s="219">
        <v>62.636000000000003</v>
      </c>
      <c r="CE109" s="217"/>
      <c r="CF109" s="220">
        <v>39232</v>
      </c>
      <c r="CG109" s="217">
        <f t="shared" si="19"/>
        <v>150</v>
      </c>
      <c r="CH109" s="211">
        <v>46.239999999999995</v>
      </c>
      <c r="CI109" s="262">
        <v>3</v>
      </c>
      <c r="CJ109" s="319"/>
      <c r="CK109" s="211"/>
      <c r="CL109" s="211"/>
      <c r="CM109" s="258"/>
      <c r="CN109" s="173"/>
      <c r="CO109" s="173"/>
      <c r="CP109" s="173"/>
      <c r="CQ109" s="173"/>
      <c r="CR109" s="173"/>
      <c r="CS109" s="173"/>
      <c r="CT109" s="173"/>
      <c r="CU109" s="173"/>
    </row>
    <row r="110" spans="1:99" s="4" customFormat="1">
      <c r="A110" s="16" t="s">
        <v>34</v>
      </c>
      <c r="B110" s="21"/>
      <c r="C110" s="22"/>
      <c r="D110" s="265"/>
      <c r="E110" s="266"/>
      <c r="F110" s="266"/>
      <c r="G110" s="266"/>
      <c r="H110" s="267"/>
      <c r="I110" s="268"/>
      <c r="J110" s="269"/>
      <c r="K110" s="290"/>
      <c r="L110" s="265"/>
      <c r="M110" s="266"/>
      <c r="N110" s="266"/>
      <c r="O110" s="266"/>
      <c r="P110" s="271"/>
      <c r="Q110" s="268"/>
      <c r="R110" s="269"/>
      <c r="S110" s="290"/>
      <c r="T110" s="265"/>
      <c r="U110" s="266"/>
      <c r="V110" s="266"/>
      <c r="W110" s="266"/>
      <c r="X110" s="271"/>
      <c r="Y110" s="268"/>
      <c r="Z110" s="269"/>
      <c r="AA110" s="290"/>
      <c r="AB110" s="265"/>
      <c r="AC110" s="266"/>
      <c r="AD110" s="266"/>
      <c r="AE110" s="266"/>
      <c r="AF110" s="271"/>
      <c r="AG110" s="268"/>
      <c r="AH110" s="269"/>
      <c r="AI110" s="290"/>
      <c r="AJ110" s="265"/>
      <c r="AK110" s="266"/>
      <c r="AL110" s="266"/>
      <c r="AM110" s="266"/>
      <c r="AN110" s="271"/>
      <c r="AO110" s="268"/>
      <c r="AP110" s="269"/>
      <c r="AQ110" s="290"/>
      <c r="AR110" s="272"/>
      <c r="AS110" s="268"/>
      <c r="AT110" s="268"/>
      <c r="AU110" s="268"/>
      <c r="AV110" s="273"/>
      <c r="AW110" s="268"/>
      <c r="AX110" s="269"/>
      <c r="AY110" s="45"/>
      <c r="AZ110" s="19">
        <f t="shared" si="16"/>
        <v>28.139999999999997</v>
      </c>
      <c r="BA110" s="227">
        <f t="shared" si="17"/>
        <v>8</v>
      </c>
      <c r="BB110" s="173"/>
      <c r="BC110" s="173"/>
      <c r="BD110" s="173"/>
      <c r="BE110" s="173"/>
      <c r="BF110" s="173"/>
      <c r="BG110" s="173"/>
      <c r="BH110" s="173"/>
      <c r="BI110" s="173"/>
      <c r="BJ110" s="173"/>
      <c r="BK110" s="173"/>
      <c r="BL110" s="173"/>
      <c r="BM110" s="173"/>
      <c r="BN110" s="173"/>
      <c r="BO110" s="324">
        <f t="shared" si="21"/>
        <v>149</v>
      </c>
      <c r="BP110" s="319">
        <v>40792</v>
      </c>
      <c r="BQ110" s="324">
        <v>249</v>
      </c>
      <c r="BR110" s="358"/>
      <c r="BS110" s="358">
        <v>4.2</v>
      </c>
      <c r="BT110" s="319"/>
      <c r="BU110" s="324">
        <v>160</v>
      </c>
      <c r="BV110" s="358"/>
      <c r="BW110" s="358">
        <v>2</v>
      </c>
      <c r="BX110" s="319">
        <v>40002</v>
      </c>
      <c r="BY110" s="217">
        <v>189</v>
      </c>
      <c r="BZ110" s="219"/>
      <c r="CA110" s="262">
        <v>3</v>
      </c>
      <c r="CB110" s="218">
        <v>39615</v>
      </c>
      <c r="CC110" s="217">
        <f t="shared" si="18"/>
        <v>168</v>
      </c>
      <c r="CD110" s="219">
        <v>74.844000000000008</v>
      </c>
      <c r="CE110" s="217"/>
      <c r="CF110" s="220"/>
      <c r="CG110" s="211"/>
      <c r="CH110" s="211"/>
      <c r="CI110" s="262"/>
      <c r="CJ110" s="319"/>
      <c r="CK110" s="211"/>
      <c r="CL110" s="211"/>
      <c r="CM110" s="258"/>
      <c r="CN110" s="173"/>
      <c r="CO110" s="173"/>
      <c r="CP110" s="173"/>
      <c r="CQ110" s="173"/>
      <c r="CR110" s="173"/>
      <c r="CS110" s="173"/>
      <c r="CT110" s="173"/>
      <c r="CU110" s="173"/>
    </row>
    <row r="111" spans="1:99" s="4" customFormat="1">
      <c r="A111" s="16" t="s">
        <v>34</v>
      </c>
      <c r="B111" s="21"/>
      <c r="C111" s="22"/>
      <c r="D111" s="265"/>
      <c r="E111" s="266"/>
      <c r="F111" s="266"/>
      <c r="G111" s="266"/>
      <c r="H111" s="267"/>
      <c r="I111" s="268"/>
      <c r="J111" s="269"/>
      <c r="K111" s="290"/>
      <c r="L111" s="265"/>
      <c r="M111" s="266"/>
      <c r="N111" s="266"/>
      <c r="O111" s="266"/>
      <c r="P111" s="271"/>
      <c r="Q111" s="268"/>
      <c r="R111" s="269"/>
      <c r="S111" s="290"/>
      <c r="T111" s="265"/>
      <c r="U111" s="266"/>
      <c r="V111" s="266"/>
      <c r="W111" s="266"/>
      <c r="X111" s="271"/>
      <c r="Y111" s="268"/>
      <c r="Z111" s="269"/>
      <c r="AA111" s="290"/>
      <c r="AB111" s="265"/>
      <c r="AC111" s="266"/>
      <c r="AD111" s="266"/>
      <c r="AE111" s="266"/>
      <c r="AF111" s="271"/>
      <c r="AG111" s="268"/>
      <c r="AH111" s="269"/>
      <c r="AI111" s="290"/>
      <c r="AJ111" s="265"/>
      <c r="AK111" s="266"/>
      <c r="AL111" s="266"/>
      <c r="AM111" s="266"/>
      <c r="AN111" s="271"/>
      <c r="AO111" s="268"/>
      <c r="AP111" s="269"/>
      <c r="AQ111" s="290"/>
      <c r="AR111" s="272"/>
      <c r="AS111" s="268"/>
      <c r="AT111" s="268"/>
      <c r="AU111" s="268"/>
      <c r="AV111" s="273"/>
      <c r="AW111" s="268"/>
      <c r="AX111" s="269"/>
      <c r="AY111" s="45"/>
      <c r="AZ111" s="19">
        <f t="shared" si="16"/>
        <v>28.139999999999997</v>
      </c>
      <c r="BA111" s="227">
        <f t="shared" si="17"/>
        <v>8</v>
      </c>
      <c r="BB111" s="173"/>
      <c r="BC111" s="173"/>
      <c r="BD111" s="173"/>
      <c r="BE111" s="173"/>
      <c r="BF111" s="173"/>
      <c r="BG111" s="173"/>
      <c r="BH111" s="173"/>
      <c r="BI111" s="173"/>
      <c r="BJ111" s="173"/>
      <c r="BK111" s="173"/>
      <c r="BL111" s="173"/>
      <c r="BM111" s="173"/>
      <c r="BN111" s="173"/>
      <c r="BO111" s="324">
        <f t="shared" si="21"/>
        <v>149</v>
      </c>
      <c r="BP111" s="319">
        <v>40800</v>
      </c>
      <c r="BQ111" s="324">
        <v>257</v>
      </c>
      <c r="BR111" s="358"/>
      <c r="BS111" s="358">
        <v>4.2</v>
      </c>
      <c r="BT111" s="319"/>
      <c r="BU111" s="324">
        <v>160</v>
      </c>
      <c r="BV111" s="358"/>
      <c r="BW111" s="358">
        <v>2</v>
      </c>
      <c r="BX111" s="319"/>
      <c r="BY111" s="217"/>
      <c r="BZ111" s="219"/>
      <c r="CA111" s="262"/>
      <c r="CB111" s="218">
        <v>39626</v>
      </c>
      <c r="CC111" s="217">
        <f t="shared" si="18"/>
        <v>179</v>
      </c>
      <c r="CD111" s="219">
        <v>76.231999999999999</v>
      </c>
      <c r="CE111" s="217"/>
      <c r="CF111" s="220"/>
      <c r="CG111" s="211"/>
      <c r="CH111" s="211"/>
      <c r="CI111" s="262"/>
      <c r="CJ111" s="319"/>
      <c r="CK111" s="211"/>
      <c r="CL111" s="211"/>
      <c r="CM111" s="258"/>
      <c r="CN111" s="173"/>
      <c r="CO111" s="173"/>
      <c r="CP111" s="173"/>
      <c r="CQ111" s="173"/>
      <c r="CR111" s="173"/>
      <c r="CS111" s="173"/>
      <c r="CT111" s="173"/>
      <c r="CU111" s="173"/>
    </row>
    <row r="112" spans="1:99" s="4" customFormat="1">
      <c r="A112" s="16" t="s">
        <v>34</v>
      </c>
      <c r="B112" s="21"/>
      <c r="C112" s="22"/>
      <c r="D112" s="265"/>
      <c r="E112" s="266"/>
      <c r="F112" s="266"/>
      <c r="G112" s="266"/>
      <c r="H112" s="267"/>
      <c r="I112" s="268"/>
      <c r="J112" s="269"/>
      <c r="K112" s="290"/>
      <c r="L112" s="265"/>
      <c r="M112" s="266"/>
      <c r="N112" s="266"/>
      <c r="O112" s="266"/>
      <c r="P112" s="271"/>
      <c r="Q112" s="268"/>
      <c r="R112" s="269"/>
      <c r="S112" s="290"/>
      <c r="T112" s="265"/>
      <c r="U112" s="266"/>
      <c r="V112" s="266"/>
      <c r="W112" s="266"/>
      <c r="X112" s="271"/>
      <c r="Y112" s="268"/>
      <c r="Z112" s="269"/>
      <c r="AA112" s="290"/>
      <c r="AB112" s="265"/>
      <c r="AC112" s="266"/>
      <c r="AD112" s="266"/>
      <c r="AE112" s="266"/>
      <c r="AF112" s="271"/>
      <c r="AG112" s="268"/>
      <c r="AH112" s="269"/>
      <c r="AI112" s="290"/>
      <c r="AJ112" s="265"/>
      <c r="AK112" s="266"/>
      <c r="AL112" s="266"/>
      <c r="AM112" s="266"/>
      <c r="AN112" s="271"/>
      <c r="AO112" s="268"/>
      <c r="AP112" s="269"/>
      <c r="AQ112" s="290"/>
      <c r="AR112" s="272"/>
      <c r="AS112" s="268"/>
      <c r="AT112" s="268"/>
      <c r="AU112" s="268"/>
      <c r="AV112" s="273"/>
      <c r="AW112" s="268"/>
      <c r="AX112" s="269"/>
      <c r="AY112" s="45"/>
      <c r="AZ112" s="19">
        <f t="shared" si="16"/>
        <v>28.139999999999997</v>
      </c>
      <c r="BA112" s="227">
        <f t="shared" si="17"/>
        <v>8</v>
      </c>
      <c r="BB112" s="173"/>
      <c r="BC112" s="173"/>
      <c r="BD112" s="173"/>
      <c r="BE112" s="173"/>
      <c r="BF112" s="173"/>
      <c r="BG112" s="173"/>
      <c r="BH112" s="173"/>
      <c r="BI112" s="173"/>
      <c r="BJ112" s="173"/>
      <c r="BK112" s="173"/>
      <c r="BL112" s="173"/>
      <c r="BM112" s="173"/>
      <c r="BN112" s="173"/>
      <c r="BO112" s="324">
        <f t="shared" si="21"/>
        <v>149</v>
      </c>
      <c r="BP112" s="319">
        <v>40812</v>
      </c>
      <c r="BQ112" s="324">
        <v>269</v>
      </c>
      <c r="BR112" s="358"/>
      <c r="BS112" s="358">
        <v>7</v>
      </c>
      <c r="BT112" s="319"/>
      <c r="BU112" s="324">
        <v>160</v>
      </c>
      <c r="BV112" s="358"/>
      <c r="BW112" s="358">
        <v>2</v>
      </c>
      <c r="BX112" s="319"/>
      <c r="BY112" s="217"/>
      <c r="BZ112" s="219"/>
      <c r="CA112" s="262"/>
      <c r="CB112" s="218">
        <v>39633</v>
      </c>
      <c r="CC112" s="217">
        <f t="shared" si="18"/>
        <v>186</v>
      </c>
      <c r="CD112" s="219">
        <v>76.091999999999999</v>
      </c>
      <c r="CE112" s="217"/>
      <c r="CF112" s="220"/>
      <c r="CG112" s="211"/>
      <c r="CH112" s="211"/>
      <c r="CI112" s="262"/>
      <c r="CJ112" s="319"/>
      <c r="CK112" s="211"/>
      <c r="CL112" s="211"/>
      <c r="CM112" s="258"/>
      <c r="CN112" s="173"/>
      <c r="CO112" s="173"/>
      <c r="CP112" s="173"/>
      <c r="CQ112" s="173"/>
      <c r="CR112" s="173"/>
      <c r="CS112" s="173"/>
      <c r="CT112" s="173"/>
      <c r="CU112" s="173"/>
    </row>
    <row r="113" spans="1:99" s="4" customFormat="1">
      <c r="A113" s="16" t="s">
        <v>34</v>
      </c>
      <c r="B113" s="21"/>
      <c r="C113" s="22"/>
      <c r="D113" s="265"/>
      <c r="E113" s="266"/>
      <c r="F113" s="266"/>
      <c r="G113" s="266"/>
      <c r="H113" s="267"/>
      <c r="I113" s="268"/>
      <c r="J113" s="269"/>
      <c r="K113" s="290"/>
      <c r="L113" s="265"/>
      <c r="M113" s="266"/>
      <c r="N113" s="266"/>
      <c r="O113" s="266"/>
      <c r="P113" s="271"/>
      <c r="Q113" s="268"/>
      <c r="R113" s="269"/>
      <c r="S113" s="290"/>
      <c r="T113" s="265"/>
      <c r="U113" s="266"/>
      <c r="V113" s="266"/>
      <c r="W113" s="266"/>
      <c r="X113" s="271"/>
      <c r="Y113" s="268"/>
      <c r="Z113" s="269"/>
      <c r="AA113" s="290"/>
      <c r="AB113" s="265"/>
      <c r="AC113" s="266"/>
      <c r="AD113" s="266"/>
      <c r="AE113" s="266"/>
      <c r="AF113" s="271"/>
      <c r="AG113" s="268"/>
      <c r="AH113" s="269"/>
      <c r="AI113" s="290"/>
      <c r="AJ113" s="265"/>
      <c r="AK113" s="266"/>
      <c r="AL113" s="266"/>
      <c r="AM113" s="266"/>
      <c r="AN113" s="271"/>
      <c r="AO113" s="268"/>
      <c r="AP113" s="269"/>
      <c r="AQ113" s="290"/>
      <c r="AR113" s="272"/>
      <c r="AS113" s="268"/>
      <c r="AT113" s="268"/>
      <c r="AU113" s="268"/>
      <c r="AV113" s="273"/>
      <c r="AW113" s="268"/>
      <c r="AX113" s="269"/>
      <c r="AY113" s="45"/>
      <c r="AZ113" s="19">
        <f t="shared" si="16"/>
        <v>28.139999999999997</v>
      </c>
      <c r="BA113" s="227">
        <f t="shared" si="17"/>
        <v>8</v>
      </c>
      <c r="BB113" s="173"/>
      <c r="BC113" s="173"/>
      <c r="BD113" s="173"/>
      <c r="BE113" s="173"/>
      <c r="BF113" s="173"/>
      <c r="BG113" s="173"/>
      <c r="BH113" s="173"/>
      <c r="BI113" s="173"/>
      <c r="BJ113" s="173"/>
      <c r="BK113" s="173"/>
      <c r="BL113" s="173"/>
      <c r="BM113" s="173"/>
      <c r="BN113" s="173"/>
      <c r="BO113" s="324">
        <f t="shared" si="21"/>
        <v>149</v>
      </c>
      <c r="BP113" s="319">
        <v>40816</v>
      </c>
      <c r="BQ113" s="324">
        <v>273</v>
      </c>
      <c r="BR113" s="358"/>
      <c r="BS113" s="358">
        <v>7.2</v>
      </c>
      <c r="BT113" s="319"/>
      <c r="BU113" s="324">
        <v>160</v>
      </c>
      <c r="BV113" s="358"/>
      <c r="BW113" s="358">
        <v>2</v>
      </c>
      <c r="BX113" s="319"/>
      <c r="BY113" s="217"/>
      <c r="BZ113" s="219"/>
      <c r="CA113" s="262"/>
      <c r="CB113" s="218"/>
      <c r="CC113" s="217"/>
      <c r="CD113" s="219"/>
      <c r="CE113" s="217"/>
      <c r="CF113" s="220"/>
      <c r="CG113" s="211"/>
      <c r="CH113" s="211"/>
      <c r="CI113" s="262"/>
      <c r="CJ113" s="319"/>
      <c r="CK113" s="211"/>
      <c r="CL113" s="211"/>
      <c r="CM113" s="258"/>
      <c r="CN113" s="173"/>
      <c r="CO113" s="173"/>
      <c r="CP113" s="173"/>
      <c r="CQ113" s="173"/>
      <c r="CR113" s="173"/>
      <c r="CS113" s="173"/>
      <c r="CT113" s="173"/>
      <c r="CU113" s="173"/>
    </row>
    <row r="114" spans="1:99" s="4" customFormat="1">
      <c r="A114" s="16" t="s">
        <v>34</v>
      </c>
      <c r="B114" s="21"/>
      <c r="C114" s="22"/>
      <c r="D114" s="265"/>
      <c r="E114" s="266"/>
      <c r="F114" s="266"/>
      <c r="G114" s="266"/>
      <c r="H114" s="267"/>
      <c r="I114" s="268"/>
      <c r="J114" s="269"/>
      <c r="K114" s="290"/>
      <c r="L114" s="265"/>
      <c r="M114" s="266"/>
      <c r="N114" s="266"/>
      <c r="O114" s="266"/>
      <c r="P114" s="271"/>
      <c r="Q114" s="268"/>
      <c r="R114" s="269"/>
      <c r="S114" s="290"/>
      <c r="T114" s="265"/>
      <c r="U114" s="266"/>
      <c r="V114" s="266"/>
      <c r="W114" s="266"/>
      <c r="X114" s="271"/>
      <c r="Y114" s="268"/>
      <c r="Z114" s="269"/>
      <c r="AA114" s="290"/>
      <c r="AB114" s="265"/>
      <c r="AC114" s="266"/>
      <c r="AD114" s="266"/>
      <c r="AE114" s="266"/>
      <c r="AF114" s="271"/>
      <c r="AG114" s="268"/>
      <c r="AH114" s="269"/>
      <c r="AI114" s="290"/>
      <c r="AJ114" s="265"/>
      <c r="AK114" s="266"/>
      <c r="AL114" s="266"/>
      <c r="AM114" s="266"/>
      <c r="AN114" s="271"/>
      <c r="AO114" s="268"/>
      <c r="AP114" s="269"/>
      <c r="AQ114" s="290"/>
      <c r="AR114" s="272"/>
      <c r="AS114" s="268"/>
      <c r="AT114" s="268"/>
      <c r="AU114" s="268"/>
      <c r="AV114" s="273"/>
      <c r="AW114" s="268"/>
      <c r="AX114" s="269"/>
      <c r="AY114" s="45"/>
      <c r="AZ114" s="19">
        <f t="shared" si="16"/>
        <v>28.139999999999997</v>
      </c>
      <c r="BA114" s="227">
        <f t="shared" si="17"/>
        <v>8</v>
      </c>
      <c r="BB114" s="173"/>
      <c r="BC114" s="173"/>
      <c r="BD114" s="173"/>
      <c r="BE114" s="173"/>
      <c r="BF114" s="173"/>
      <c r="BG114" s="173"/>
      <c r="BH114" s="173"/>
      <c r="BI114" s="173"/>
      <c r="BJ114" s="173"/>
      <c r="BK114" s="173"/>
      <c r="BL114" s="173"/>
      <c r="BM114" s="173"/>
      <c r="BN114" s="173"/>
      <c r="BO114" s="324">
        <f t="shared" si="21"/>
        <v>149</v>
      </c>
      <c r="BP114" s="319">
        <v>40821</v>
      </c>
      <c r="BQ114" s="324">
        <v>278</v>
      </c>
      <c r="BR114" s="358"/>
      <c r="BS114" s="358">
        <v>7.2</v>
      </c>
      <c r="BT114" s="319"/>
      <c r="BU114" s="324">
        <v>160</v>
      </c>
      <c r="BV114" s="358"/>
      <c r="BW114" s="358">
        <v>2</v>
      </c>
      <c r="BX114" s="319"/>
      <c r="BY114" s="217"/>
      <c r="BZ114" s="219"/>
      <c r="CA114" s="262"/>
      <c r="CB114" s="218"/>
      <c r="CC114" s="217"/>
      <c r="CD114" s="219"/>
      <c r="CE114" s="217"/>
      <c r="CF114" s="220"/>
      <c r="CG114" s="211"/>
      <c r="CH114" s="211"/>
      <c r="CI114" s="262"/>
      <c r="CJ114" s="319"/>
      <c r="CK114" s="211"/>
      <c r="CL114" s="211"/>
      <c r="CM114" s="258"/>
      <c r="CN114" s="173"/>
      <c r="CO114" s="173"/>
      <c r="CP114" s="173"/>
      <c r="CQ114" s="173"/>
      <c r="CR114" s="173"/>
      <c r="CS114" s="173"/>
      <c r="CT114" s="173"/>
      <c r="CU114" s="173"/>
    </row>
    <row r="115" spans="1:99" s="4" customFormat="1">
      <c r="A115" s="16" t="s">
        <v>34</v>
      </c>
      <c r="B115" s="21"/>
      <c r="C115" s="22"/>
      <c r="D115" s="265"/>
      <c r="E115" s="266"/>
      <c r="F115" s="266"/>
      <c r="G115" s="266"/>
      <c r="H115" s="267"/>
      <c r="I115" s="268"/>
      <c r="J115" s="269"/>
      <c r="K115" s="290"/>
      <c r="L115" s="265"/>
      <c r="M115" s="266"/>
      <c r="N115" s="266"/>
      <c r="O115" s="266"/>
      <c r="P115" s="271"/>
      <c r="Q115" s="268"/>
      <c r="R115" s="269"/>
      <c r="S115" s="290"/>
      <c r="T115" s="265"/>
      <c r="U115" s="266"/>
      <c r="V115" s="266"/>
      <c r="W115" s="266"/>
      <c r="X115" s="271"/>
      <c r="Y115" s="268"/>
      <c r="Z115" s="269"/>
      <c r="AA115" s="290"/>
      <c r="AB115" s="265"/>
      <c r="AC115" s="266"/>
      <c r="AD115" s="266"/>
      <c r="AE115" s="266"/>
      <c r="AF115" s="271"/>
      <c r="AG115" s="268"/>
      <c r="AH115" s="269"/>
      <c r="AI115" s="290"/>
      <c r="AJ115" s="265"/>
      <c r="AK115" s="266"/>
      <c r="AL115" s="266"/>
      <c r="AM115" s="266"/>
      <c r="AN115" s="271"/>
      <c r="AO115" s="268"/>
      <c r="AP115" s="269"/>
      <c r="AQ115" s="290"/>
      <c r="AR115" s="272"/>
      <c r="AS115" s="268"/>
      <c r="AT115" s="268"/>
      <c r="AU115" s="268"/>
      <c r="AV115" s="273"/>
      <c r="AW115" s="268"/>
      <c r="AX115" s="269"/>
      <c r="AY115" s="45"/>
      <c r="AZ115" s="19">
        <f t="shared" si="16"/>
        <v>28.139999999999997</v>
      </c>
      <c r="BA115" s="227">
        <f t="shared" si="17"/>
        <v>8</v>
      </c>
      <c r="BB115" s="173"/>
      <c r="BC115" s="173"/>
      <c r="BD115" s="173"/>
      <c r="BE115" s="173"/>
      <c r="BF115" s="173"/>
      <c r="BG115" s="173"/>
      <c r="BH115" s="173"/>
      <c r="BI115" s="173"/>
      <c r="BJ115" s="173"/>
      <c r="BK115" s="173"/>
      <c r="BL115" s="173"/>
      <c r="BM115" s="173"/>
      <c r="BN115" s="173"/>
      <c r="BO115" s="324">
        <f t="shared" si="21"/>
        <v>149</v>
      </c>
      <c r="BP115" s="319">
        <v>40826</v>
      </c>
      <c r="BQ115" s="324">
        <v>283</v>
      </c>
      <c r="BR115" s="358"/>
      <c r="BS115" s="358">
        <v>7.8</v>
      </c>
      <c r="BT115" s="319"/>
      <c r="BU115" s="324">
        <v>160</v>
      </c>
      <c r="BV115" s="358"/>
      <c r="BW115" s="358">
        <v>2</v>
      </c>
      <c r="BX115" s="319"/>
      <c r="BY115" s="217"/>
      <c r="BZ115" s="219"/>
      <c r="CA115" s="262"/>
      <c r="CB115" s="218"/>
      <c r="CC115" s="217"/>
      <c r="CD115" s="219"/>
      <c r="CE115" s="217"/>
      <c r="CF115" s="220"/>
      <c r="CG115" s="211"/>
      <c r="CH115" s="211"/>
      <c r="CI115" s="262"/>
      <c r="CJ115" s="319"/>
      <c r="CK115" s="211"/>
      <c r="CL115" s="211"/>
      <c r="CM115" s="258"/>
      <c r="CN115" s="173"/>
      <c r="CO115" s="173"/>
      <c r="CP115" s="173"/>
      <c r="CQ115" s="173"/>
      <c r="CR115" s="173"/>
      <c r="CS115" s="173"/>
      <c r="CT115" s="173"/>
      <c r="CU115" s="173"/>
    </row>
    <row r="116" spans="1:99" s="4" customFormat="1">
      <c r="A116" s="16" t="s">
        <v>34</v>
      </c>
      <c r="B116" s="21"/>
      <c r="C116" s="22"/>
      <c r="D116" s="265"/>
      <c r="E116" s="266"/>
      <c r="F116" s="266"/>
      <c r="G116" s="266"/>
      <c r="H116" s="267"/>
      <c r="I116" s="268"/>
      <c r="J116" s="269"/>
      <c r="K116" s="290"/>
      <c r="L116" s="265"/>
      <c r="M116" s="266"/>
      <c r="N116" s="266"/>
      <c r="O116" s="266"/>
      <c r="P116" s="271"/>
      <c r="Q116" s="268"/>
      <c r="R116" s="269"/>
      <c r="S116" s="290"/>
      <c r="T116" s="265"/>
      <c r="U116" s="266"/>
      <c r="V116" s="266"/>
      <c r="W116" s="266"/>
      <c r="X116" s="271"/>
      <c r="Y116" s="268"/>
      <c r="Z116" s="269"/>
      <c r="AA116" s="290"/>
      <c r="AB116" s="265"/>
      <c r="AC116" s="266"/>
      <c r="AD116" s="266"/>
      <c r="AE116" s="266"/>
      <c r="AF116" s="271"/>
      <c r="AG116" s="268"/>
      <c r="AH116" s="269"/>
      <c r="AI116" s="290"/>
      <c r="AJ116" s="265"/>
      <c r="AK116" s="266"/>
      <c r="AL116" s="266"/>
      <c r="AM116" s="266"/>
      <c r="AN116" s="271"/>
      <c r="AO116" s="268"/>
      <c r="AP116" s="269"/>
      <c r="AQ116" s="290"/>
      <c r="AR116" s="272"/>
      <c r="AS116" s="268"/>
      <c r="AT116" s="268"/>
      <c r="AU116" s="268"/>
      <c r="AV116" s="273"/>
      <c r="AW116" s="268"/>
      <c r="AX116" s="269"/>
      <c r="AY116" s="45"/>
      <c r="AZ116" s="19">
        <f t="shared" si="16"/>
        <v>28.139999999999997</v>
      </c>
      <c r="BA116" s="227">
        <f>IF(COUNT(K116,S116,AA116,AI116,AQ116)=0,BA115,AVERAGE(K116,S116,AA116,AI116,AQ116))</f>
        <v>8</v>
      </c>
      <c r="BB116" s="173"/>
      <c r="BC116" s="173"/>
      <c r="BD116" s="173"/>
      <c r="BE116" s="173"/>
      <c r="BF116" s="173"/>
      <c r="BG116" s="173"/>
      <c r="BH116" s="173"/>
      <c r="BI116" s="173"/>
      <c r="BJ116" s="173"/>
      <c r="BK116" s="173"/>
      <c r="BL116" s="173"/>
      <c r="BM116" s="173"/>
      <c r="BN116" s="173"/>
      <c r="BO116" s="324">
        <f t="shared" si="21"/>
        <v>149</v>
      </c>
      <c r="BP116" s="319">
        <v>40830</v>
      </c>
      <c r="BQ116" s="324">
        <v>287</v>
      </c>
      <c r="BR116" s="358"/>
      <c r="BS116" s="358">
        <v>8</v>
      </c>
      <c r="BT116" s="319"/>
      <c r="BU116" s="324">
        <v>160</v>
      </c>
      <c r="BV116" s="358"/>
      <c r="BW116" s="358">
        <v>2</v>
      </c>
      <c r="BX116" s="319"/>
      <c r="BY116" s="217"/>
      <c r="BZ116" s="219"/>
      <c r="CA116" s="262"/>
      <c r="CB116" s="218"/>
      <c r="CC116" s="217"/>
      <c r="CD116" s="219"/>
      <c r="CE116" s="217"/>
      <c r="CF116" s="220"/>
      <c r="CG116" s="211"/>
      <c r="CH116" s="211"/>
      <c r="CI116" s="262"/>
      <c r="CJ116" s="319"/>
      <c r="CK116" s="211"/>
      <c r="CL116" s="211"/>
      <c r="CM116" s="258"/>
      <c r="CN116" s="173"/>
      <c r="CO116" s="173"/>
      <c r="CP116" s="173"/>
      <c r="CQ116" s="173"/>
      <c r="CR116" s="173"/>
      <c r="CS116" s="173"/>
      <c r="CT116" s="173"/>
      <c r="CU116" s="173"/>
    </row>
    <row r="117" spans="1:99" s="4" customFormat="1">
      <c r="A117" s="16" t="s">
        <v>34</v>
      </c>
      <c r="B117" s="21"/>
      <c r="C117" s="22"/>
      <c r="D117" s="265"/>
      <c r="E117" s="266"/>
      <c r="F117" s="266"/>
      <c r="G117" s="266"/>
      <c r="H117" s="267"/>
      <c r="I117" s="268"/>
      <c r="J117" s="269"/>
      <c r="K117" s="290"/>
      <c r="L117" s="265"/>
      <c r="M117" s="266"/>
      <c r="N117" s="266"/>
      <c r="O117" s="266"/>
      <c r="P117" s="271"/>
      <c r="Q117" s="268"/>
      <c r="R117" s="269"/>
      <c r="S117" s="290"/>
      <c r="T117" s="265"/>
      <c r="U117" s="266"/>
      <c r="V117" s="266"/>
      <c r="W117" s="266"/>
      <c r="X117" s="271"/>
      <c r="Y117" s="268"/>
      <c r="Z117" s="269"/>
      <c r="AA117" s="290"/>
      <c r="AB117" s="265"/>
      <c r="AC117" s="266"/>
      <c r="AD117" s="266"/>
      <c r="AE117" s="266"/>
      <c r="AF117" s="271"/>
      <c r="AG117" s="268"/>
      <c r="AH117" s="269"/>
      <c r="AI117" s="290"/>
      <c r="AJ117" s="265"/>
      <c r="AK117" s="266"/>
      <c r="AL117" s="266"/>
      <c r="AM117" s="266"/>
      <c r="AN117" s="271"/>
      <c r="AO117" s="268"/>
      <c r="AP117" s="269"/>
      <c r="AQ117" s="290"/>
      <c r="AR117" s="272"/>
      <c r="AS117" s="268"/>
      <c r="AT117" s="268"/>
      <c r="AU117" s="268"/>
      <c r="AV117" s="273"/>
      <c r="AW117" s="268"/>
      <c r="AX117" s="269"/>
      <c r="AY117" s="45"/>
      <c r="AZ117" s="19">
        <f t="shared" si="16"/>
        <v>28.139999999999997</v>
      </c>
      <c r="BA117" s="227">
        <f t="shared" si="17"/>
        <v>8</v>
      </c>
      <c r="BB117" s="173"/>
      <c r="BC117" s="173"/>
      <c r="BD117" s="173"/>
      <c r="BE117" s="173"/>
      <c r="BF117" s="173"/>
      <c r="BG117" s="173"/>
      <c r="BH117" s="173"/>
      <c r="BI117" s="173"/>
      <c r="BJ117" s="173"/>
      <c r="BK117" s="173"/>
      <c r="BL117" s="173"/>
      <c r="BM117" s="173"/>
      <c r="BN117" s="173"/>
      <c r="BO117" s="324">
        <f t="shared" si="21"/>
        <v>149</v>
      </c>
      <c r="BP117" s="319"/>
      <c r="BQ117" s="324">
        <v>287</v>
      </c>
      <c r="BR117" s="358"/>
      <c r="BS117" s="358">
        <v>8</v>
      </c>
      <c r="BT117" s="319"/>
      <c r="BU117" s="324">
        <v>160</v>
      </c>
      <c r="BV117" s="358"/>
      <c r="BW117" s="358">
        <v>2</v>
      </c>
      <c r="BX117" s="319"/>
      <c r="BY117" s="217"/>
      <c r="BZ117" s="219"/>
      <c r="CA117" s="262"/>
      <c r="CB117" s="218"/>
      <c r="CC117" s="217"/>
      <c r="CD117" s="219"/>
      <c r="CE117" s="217"/>
      <c r="CF117" s="220"/>
      <c r="CG117" s="211"/>
      <c r="CH117" s="211"/>
      <c r="CI117" s="262"/>
      <c r="CJ117" s="319"/>
      <c r="CK117" s="211"/>
      <c r="CL117" s="211"/>
      <c r="CM117" s="258"/>
      <c r="CN117" s="173"/>
      <c r="CO117" s="173"/>
      <c r="CP117" s="173"/>
      <c r="CQ117" s="173"/>
      <c r="CR117" s="173"/>
      <c r="CS117" s="173"/>
      <c r="CT117" s="173"/>
      <c r="CU117" s="173"/>
    </row>
    <row r="118" spans="1:99" s="4" customFormat="1">
      <c r="A118" s="16" t="s">
        <v>34</v>
      </c>
      <c r="B118" s="21"/>
      <c r="C118" s="22"/>
      <c r="D118" s="265"/>
      <c r="E118" s="266"/>
      <c r="F118" s="266"/>
      <c r="G118" s="266"/>
      <c r="H118" s="267"/>
      <c r="I118" s="268"/>
      <c r="J118" s="269"/>
      <c r="K118" s="290"/>
      <c r="L118" s="265"/>
      <c r="M118" s="266"/>
      <c r="N118" s="266"/>
      <c r="O118" s="266"/>
      <c r="P118" s="271"/>
      <c r="Q118" s="268"/>
      <c r="R118" s="269"/>
      <c r="S118" s="290"/>
      <c r="T118" s="265"/>
      <c r="U118" s="266"/>
      <c r="V118" s="266"/>
      <c r="W118" s="266"/>
      <c r="X118" s="271"/>
      <c r="Y118" s="268"/>
      <c r="Z118" s="269"/>
      <c r="AA118" s="290"/>
      <c r="AB118" s="265"/>
      <c r="AC118" s="266"/>
      <c r="AD118" s="266"/>
      <c r="AE118" s="266"/>
      <c r="AF118" s="271"/>
      <c r="AG118" s="268"/>
      <c r="AH118" s="269"/>
      <c r="AI118" s="290"/>
      <c r="AJ118" s="265"/>
      <c r="AK118" s="266"/>
      <c r="AL118" s="266"/>
      <c r="AM118" s="266"/>
      <c r="AN118" s="271"/>
      <c r="AO118" s="268"/>
      <c r="AP118" s="269"/>
      <c r="AQ118" s="290"/>
      <c r="AR118" s="272"/>
      <c r="AS118" s="268"/>
      <c r="AT118" s="268"/>
      <c r="AU118" s="268"/>
      <c r="AV118" s="273"/>
      <c r="AW118" s="268"/>
      <c r="AX118" s="269"/>
      <c r="AY118" s="45"/>
      <c r="AZ118" s="19">
        <f t="shared" si="16"/>
        <v>28.139999999999997</v>
      </c>
      <c r="BA118" s="227">
        <f t="shared" si="17"/>
        <v>8</v>
      </c>
      <c r="BB118" s="173"/>
      <c r="BC118" s="173"/>
      <c r="BD118" s="173"/>
      <c r="BE118" s="173"/>
      <c r="BF118" s="173"/>
      <c r="BG118" s="173"/>
      <c r="BH118" s="173"/>
      <c r="BI118" s="173"/>
      <c r="BJ118" s="173"/>
      <c r="BK118" s="173"/>
      <c r="BL118" s="173"/>
      <c r="BM118" s="173"/>
      <c r="BN118" s="173"/>
      <c r="BO118" s="324">
        <f t="shared" si="21"/>
        <v>149</v>
      </c>
      <c r="BP118" s="319"/>
      <c r="BQ118" s="324">
        <v>287</v>
      </c>
      <c r="BR118" s="358"/>
      <c r="BS118" s="358">
        <v>8</v>
      </c>
      <c r="BT118" s="319"/>
      <c r="BU118" s="324">
        <v>160</v>
      </c>
      <c r="BV118" s="358"/>
      <c r="BW118" s="358">
        <v>2</v>
      </c>
      <c r="BX118" s="319"/>
      <c r="BY118" s="217"/>
      <c r="BZ118" s="219"/>
      <c r="CA118" s="262"/>
      <c r="CB118" s="218"/>
      <c r="CC118" s="217"/>
      <c r="CD118" s="219"/>
      <c r="CE118" s="217"/>
      <c r="CF118" s="220"/>
      <c r="CG118" s="211"/>
      <c r="CH118" s="211"/>
      <c r="CI118" s="262"/>
      <c r="CJ118" s="319"/>
      <c r="CK118" s="211"/>
      <c r="CL118" s="211"/>
      <c r="CM118" s="258"/>
      <c r="CN118" s="173"/>
      <c r="CO118" s="173"/>
      <c r="CP118" s="173"/>
      <c r="CQ118" s="173"/>
      <c r="CR118" s="173"/>
      <c r="CS118" s="173"/>
      <c r="CT118" s="173"/>
      <c r="CU118" s="173"/>
    </row>
    <row r="119" spans="1:99" s="4" customFormat="1">
      <c r="A119" s="16" t="s">
        <v>34</v>
      </c>
      <c r="B119" s="21"/>
      <c r="C119" s="22"/>
      <c r="D119" s="265"/>
      <c r="E119" s="266"/>
      <c r="F119" s="266"/>
      <c r="G119" s="266"/>
      <c r="H119" s="267"/>
      <c r="I119" s="268"/>
      <c r="J119" s="269"/>
      <c r="K119" s="290"/>
      <c r="L119" s="265"/>
      <c r="M119" s="266"/>
      <c r="N119" s="266"/>
      <c r="O119" s="266"/>
      <c r="P119" s="271"/>
      <c r="Q119" s="268"/>
      <c r="R119" s="269"/>
      <c r="S119" s="290"/>
      <c r="T119" s="265"/>
      <c r="U119" s="266"/>
      <c r="V119" s="266"/>
      <c r="W119" s="266"/>
      <c r="X119" s="271"/>
      <c r="Y119" s="268"/>
      <c r="Z119" s="269"/>
      <c r="AA119" s="290"/>
      <c r="AB119" s="265"/>
      <c r="AC119" s="266"/>
      <c r="AD119" s="266"/>
      <c r="AE119" s="266"/>
      <c r="AF119" s="271"/>
      <c r="AG119" s="268"/>
      <c r="AH119" s="269"/>
      <c r="AI119" s="290"/>
      <c r="AJ119" s="265"/>
      <c r="AK119" s="266"/>
      <c r="AL119" s="266"/>
      <c r="AM119" s="266"/>
      <c r="AN119" s="271"/>
      <c r="AO119" s="268"/>
      <c r="AP119" s="269"/>
      <c r="AQ119" s="290"/>
      <c r="AR119" s="272"/>
      <c r="AS119" s="268"/>
      <c r="AT119" s="268"/>
      <c r="AU119" s="268"/>
      <c r="AV119" s="273"/>
      <c r="AW119" s="268"/>
      <c r="AX119" s="269"/>
      <c r="AY119" s="45"/>
      <c r="AZ119" s="19">
        <f t="shared" si="16"/>
        <v>28.139999999999997</v>
      </c>
      <c r="BA119" s="227">
        <f t="shared" si="17"/>
        <v>8</v>
      </c>
      <c r="BB119" s="173"/>
      <c r="BC119" s="173"/>
      <c r="BD119" s="173"/>
      <c r="BE119" s="173"/>
      <c r="BF119" s="173"/>
      <c r="BG119" s="173"/>
      <c r="BH119" s="173"/>
      <c r="BI119" s="173"/>
      <c r="BJ119" s="173"/>
      <c r="BK119" s="173"/>
      <c r="BL119" s="173"/>
      <c r="BM119" s="173"/>
      <c r="BN119" s="173"/>
      <c r="BO119" s="324">
        <f t="shared" si="21"/>
        <v>149</v>
      </c>
      <c r="BP119" s="319"/>
      <c r="BQ119" s="324">
        <v>287</v>
      </c>
      <c r="BR119" s="358"/>
      <c r="BS119" s="358">
        <v>8</v>
      </c>
      <c r="BT119" s="319"/>
      <c r="BU119" s="324">
        <v>160</v>
      </c>
      <c r="BV119" s="358"/>
      <c r="BW119" s="358">
        <v>2</v>
      </c>
      <c r="BX119" s="319"/>
      <c r="BY119" s="217"/>
      <c r="BZ119" s="219"/>
      <c r="CA119" s="262"/>
      <c r="CB119" s="218"/>
      <c r="CC119" s="217"/>
      <c r="CD119" s="219"/>
      <c r="CE119" s="217"/>
      <c r="CF119" s="220"/>
      <c r="CG119" s="211"/>
      <c r="CH119" s="211"/>
      <c r="CI119" s="262"/>
      <c r="CJ119" s="319"/>
      <c r="CK119" s="211"/>
      <c r="CL119" s="211"/>
      <c r="CM119" s="258"/>
      <c r="CN119" s="173"/>
      <c r="CO119" s="173"/>
      <c r="CP119" s="173"/>
      <c r="CQ119" s="173"/>
      <c r="CR119" s="173"/>
      <c r="CS119" s="173"/>
      <c r="CT119" s="173"/>
      <c r="CU119" s="173"/>
    </row>
    <row r="120" spans="1:99" s="4" customFormat="1">
      <c r="A120" s="16" t="s">
        <v>34</v>
      </c>
      <c r="B120" s="21"/>
      <c r="C120" s="22"/>
      <c r="D120" s="265"/>
      <c r="E120" s="266"/>
      <c r="F120" s="266"/>
      <c r="G120" s="266"/>
      <c r="H120" s="267"/>
      <c r="I120" s="268"/>
      <c r="J120" s="269"/>
      <c r="K120" s="290"/>
      <c r="L120" s="265"/>
      <c r="M120" s="266"/>
      <c r="N120" s="266"/>
      <c r="O120" s="266"/>
      <c r="P120" s="271"/>
      <c r="Q120" s="268"/>
      <c r="R120" s="269"/>
      <c r="S120" s="290"/>
      <c r="T120" s="265"/>
      <c r="U120" s="266"/>
      <c r="V120" s="266"/>
      <c r="W120" s="266"/>
      <c r="X120" s="271"/>
      <c r="Y120" s="268"/>
      <c r="Z120" s="269"/>
      <c r="AA120" s="290"/>
      <c r="AB120" s="265"/>
      <c r="AC120" s="266"/>
      <c r="AD120" s="266"/>
      <c r="AE120" s="266"/>
      <c r="AF120" s="271"/>
      <c r="AG120" s="268"/>
      <c r="AH120" s="269"/>
      <c r="AI120" s="290"/>
      <c r="AJ120" s="265"/>
      <c r="AK120" s="266"/>
      <c r="AL120" s="266"/>
      <c r="AM120" s="266"/>
      <c r="AN120" s="271"/>
      <c r="AO120" s="268"/>
      <c r="AP120" s="269"/>
      <c r="AQ120" s="290"/>
      <c r="AR120" s="272"/>
      <c r="AS120" s="268"/>
      <c r="AT120" s="268"/>
      <c r="AU120" s="268"/>
      <c r="AV120" s="273"/>
      <c r="AW120" s="268"/>
      <c r="AX120" s="269"/>
      <c r="AY120" s="45"/>
      <c r="AZ120" s="19">
        <f t="shared" si="16"/>
        <v>28.139999999999997</v>
      </c>
      <c r="BA120" s="227">
        <f t="shared" si="17"/>
        <v>8</v>
      </c>
      <c r="BB120" s="173"/>
      <c r="BC120" s="173"/>
      <c r="BD120" s="173"/>
      <c r="BE120" s="173"/>
      <c r="BF120" s="173"/>
      <c r="BG120" s="173"/>
      <c r="BH120" s="173"/>
      <c r="BI120" s="173"/>
      <c r="BJ120" s="173"/>
      <c r="BK120" s="173"/>
      <c r="BL120" s="173"/>
      <c r="BM120" s="173"/>
      <c r="BN120" s="173"/>
      <c r="BO120" s="324">
        <f t="shared" si="21"/>
        <v>149</v>
      </c>
      <c r="BP120" s="319"/>
      <c r="BQ120" s="324">
        <v>287</v>
      </c>
      <c r="BR120" s="358"/>
      <c r="BS120" s="358">
        <v>8</v>
      </c>
      <c r="BT120" s="319"/>
      <c r="BU120" s="324">
        <v>160</v>
      </c>
      <c r="BV120" s="358"/>
      <c r="BW120" s="358">
        <v>2</v>
      </c>
      <c r="BX120" s="319"/>
      <c r="BY120" s="217"/>
      <c r="BZ120" s="219"/>
      <c r="CA120" s="262"/>
      <c r="CB120" s="218"/>
      <c r="CC120" s="217"/>
      <c r="CD120" s="219"/>
      <c r="CE120" s="217"/>
      <c r="CF120" s="220"/>
      <c r="CG120" s="211"/>
      <c r="CH120" s="211"/>
      <c r="CI120" s="262"/>
      <c r="CJ120" s="319"/>
      <c r="CK120" s="211"/>
      <c r="CL120" s="211"/>
      <c r="CM120" s="258"/>
      <c r="CN120" s="173"/>
      <c r="CO120" s="173"/>
      <c r="CP120" s="173"/>
      <c r="CQ120" s="173"/>
      <c r="CR120" s="173"/>
      <c r="CS120" s="173"/>
      <c r="CT120" s="173"/>
      <c r="CU120" s="173"/>
    </row>
    <row r="121" spans="1:99" s="4" customFormat="1">
      <c r="A121" s="16" t="s">
        <v>34</v>
      </c>
      <c r="B121" s="21"/>
      <c r="C121" s="22"/>
      <c r="D121" s="265"/>
      <c r="E121" s="266"/>
      <c r="F121" s="266"/>
      <c r="G121" s="266"/>
      <c r="H121" s="267"/>
      <c r="I121" s="268"/>
      <c r="J121" s="269"/>
      <c r="K121" s="290"/>
      <c r="L121" s="265"/>
      <c r="M121" s="266"/>
      <c r="N121" s="266"/>
      <c r="O121" s="266"/>
      <c r="P121" s="271"/>
      <c r="Q121" s="268"/>
      <c r="R121" s="269"/>
      <c r="S121" s="290"/>
      <c r="T121" s="265"/>
      <c r="U121" s="266"/>
      <c r="V121" s="266"/>
      <c r="W121" s="266"/>
      <c r="X121" s="271"/>
      <c r="Y121" s="268"/>
      <c r="Z121" s="269"/>
      <c r="AA121" s="290"/>
      <c r="AB121" s="265"/>
      <c r="AC121" s="266"/>
      <c r="AD121" s="266"/>
      <c r="AE121" s="266"/>
      <c r="AF121" s="271"/>
      <c r="AG121" s="268"/>
      <c r="AH121" s="269"/>
      <c r="AI121" s="290"/>
      <c r="AJ121" s="265"/>
      <c r="AK121" s="266"/>
      <c r="AL121" s="266"/>
      <c r="AM121" s="266"/>
      <c r="AN121" s="271"/>
      <c r="AO121" s="268"/>
      <c r="AP121" s="269"/>
      <c r="AQ121" s="290"/>
      <c r="AR121" s="272"/>
      <c r="AS121" s="268"/>
      <c r="AT121" s="268"/>
      <c r="AU121" s="268"/>
      <c r="AV121" s="273"/>
      <c r="AW121" s="268"/>
      <c r="AX121" s="269"/>
      <c r="AY121" s="45"/>
      <c r="AZ121" s="19">
        <f t="shared" si="16"/>
        <v>28.139999999999997</v>
      </c>
      <c r="BA121" s="227">
        <f t="shared" si="17"/>
        <v>8</v>
      </c>
      <c r="BB121" s="173"/>
      <c r="BC121" s="173"/>
      <c r="BD121" s="173"/>
      <c r="BE121" s="173"/>
      <c r="BF121" s="173"/>
      <c r="BG121" s="173"/>
      <c r="BH121" s="173"/>
      <c r="BI121" s="173"/>
      <c r="BJ121" s="173"/>
      <c r="BK121" s="173"/>
      <c r="BL121" s="173"/>
      <c r="BM121" s="173"/>
      <c r="BN121" s="173"/>
      <c r="BO121" s="324">
        <f t="shared" si="21"/>
        <v>149</v>
      </c>
      <c r="BP121" s="319"/>
      <c r="BQ121" s="324">
        <v>287</v>
      </c>
      <c r="BR121" s="358"/>
      <c r="BS121" s="358">
        <v>8</v>
      </c>
      <c r="BT121" s="319"/>
      <c r="BU121" s="324">
        <v>160</v>
      </c>
      <c r="BV121" s="358"/>
      <c r="BW121" s="358">
        <v>2</v>
      </c>
      <c r="BX121" s="319"/>
      <c r="BY121" s="217"/>
      <c r="BZ121" s="219"/>
      <c r="CA121" s="262"/>
      <c r="CB121" s="218"/>
      <c r="CC121" s="217"/>
      <c r="CD121" s="219"/>
      <c r="CE121" s="217"/>
      <c r="CF121" s="220"/>
      <c r="CG121" s="211"/>
      <c r="CH121" s="211"/>
      <c r="CI121" s="262"/>
      <c r="CJ121" s="319"/>
      <c r="CK121" s="211"/>
      <c r="CL121" s="211"/>
      <c r="CM121" s="258"/>
      <c r="CN121" s="173"/>
      <c r="CO121" s="173"/>
      <c r="CP121" s="173"/>
      <c r="CQ121" s="173"/>
      <c r="CR121" s="173"/>
      <c r="CS121" s="173"/>
      <c r="CT121" s="173"/>
      <c r="CU121" s="173"/>
    </row>
    <row r="122" spans="1:99" s="4" customFormat="1">
      <c r="A122" s="16" t="s">
        <v>34</v>
      </c>
      <c r="B122" s="21"/>
      <c r="C122" s="22"/>
      <c r="D122" s="265"/>
      <c r="E122" s="266"/>
      <c r="F122" s="266"/>
      <c r="G122" s="266"/>
      <c r="H122" s="267"/>
      <c r="I122" s="268"/>
      <c r="J122" s="269"/>
      <c r="K122" s="290"/>
      <c r="L122" s="265"/>
      <c r="M122" s="266"/>
      <c r="N122" s="266"/>
      <c r="O122" s="266"/>
      <c r="P122" s="271"/>
      <c r="Q122" s="268"/>
      <c r="R122" s="269"/>
      <c r="S122" s="290"/>
      <c r="T122" s="265"/>
      <c r="U122" s="266"/>
      <c r="V122" s="266"/>
      <c r="W122" s="266"/>
      <c r="X122" s="271"/>
      <c r="Y122" s="268"/>
      <c r="Z122" s="269"/>
      <c r="AA122" s="290"/>
      <c r="AB122" s="265"/>
      <c r="AC122" s="266"/>
      <c r="AD122" s="266"/>
      <c r="AE122" s="266"/>
      <c r="AF122" s="271"/>
      <c r="AG122" s="268"/>
      <c r="AH122" s="269"/>
      <c r="AI122" s="290"/>
      <c r="AJ122" s="265"/>
      <c r="AK122" s="266"/>
      <c r="AL122" s="266"/>
      <c r="AM122" s="266"/>
      <c r="AN122" s="271"/>
      <c r="AO122" s="268"/>
      <c r="AP122" s="269"/>
      <c r="AQ122" s="290"/>
      <c r="AR122" s="272"/>
      <c r="AS122" s="268"/>
      <c r="AT122" s="268"/>
      <c r="AU122" s="268"/>
      <c r="AV122" s="273"/>
      <c r="AW122" s="268"/>
      <c r="AX122" s="269"/>
      <c r="AY122" s="45"/>
      <c r="AZ122" s="19">
        <f t="shared" si="16"/>
        <v>28.139999999999997</v>
      </c>
      <c r="BA122" s="227">
        <f t="shared" si="17"/>
        <v>8</v>
      </c>
      <c r="BB122" s="173"/>
      <c r="BC122" s="173"/>
      <c r="BD122" s="173"/>
      <c r="BE122" s="173"/>
      <c r="BF122" s="173"/>
      <c r="BG122" s="173"/>
      <c r="BH122" s="173"/>
      <c r="BI122" s="173"/>
      <c r="BJ122" s="173"/>
      <c r="BK122" s="173"/>
      <c r="BL122" s="173"/>
      <c r="BM122" s="173"/>
      <c r="BN122" s="173"/>
      <c r="BO122" s="324">
        <f t="shared" si="21"/>
        <v>149</v>
      </c>
      <c r="BP122" s="319"/>
      <c r="BQ122" s="324">
        <v>287</v>
      </c>
      <c r="BR122" s="358"/>
      <c r="BS122" s="358">
        <v>8</v>
      </c>
      <c r="BT122" s="319"/>
      <c r="BU122" s="324">
        <v>160</v>
      </c>
      <c r="BV122" s="358"/>
      <c r="BW122" s="358">
        <v>2</v>
      </c>
      <c r="BX122" s="319"/>
      <c r="BY122" s="217"/>
      <c r="BZ122" s="219"/>
      <c r="CA122" s="262"/>
      <c r="CB122" s="218"/>
      <c r="CC122" s="217"/>
      <c r="CD122" s="219"/>
      <c r="CE122" s="217"/>
      <c r="CF122" s="220"/>
      <c r="CG122" s="211"/>
      <c r="CH122" s="211"/>
      <c r="CI122" s="262"/>
      <c r="CJ122" s="319"/>
      <c r="CK122" s="211"/>
      <c r="CL122" s="211"/>
      <c r="CM122" s="258"/>
      <c r="CN122" s="173"/>
      <c r="CO122" s="173"/>
      <c r="CP122" s="173"/>
      <c r="CQ122" s="173"/>
      <c r="CR122" s="173"/>
      <c r="CS122" s="173"/>
      <c r="CT122" s="173"/>
      <c r="CU122" s="173"/>
    </row>
    <row r="123" spans="1:99" s="4" customFormat="1">
      <c r="A123" s="16" t="s">
        <v>34</v>
      </c>
      <c r="B123" s="21"/>
      <c r="C123" s="22"/>
      <c r="D123" s="265"/>
      <c r="E123" s="266"/>
      <c r="F123" s="266"/>
      <c r="G123" s="266"/>
      <c r="H123" s="267"/>
      <c r="I123" s="268"/>
      <c r="J123" s="269"/>
      <c r="K123" s="290"/>
      <c r="L123" s="265"/>
      <c r="M123" s="266"/>
      <c r="N123" s="266"/>
      <c r="O123" s="266"/>
      <c r="P123" s="271"/>
      <c r="Q123" s="268"/>
      <c r="R123" s="269"/>
      <c r="S123" s="290"/>
      <c r="T123" s="265"/>
      <c r="U123" s="266"/>
      <c r="V123" s="266"/>
      <c r="W123" s="266"/>
      <c r="X123" s="271"/>
      <c r="Y123" s="268"/>
      <c r="Z123" s="269"/>
      <c r="AA123" s="290"/>
      <c r="AB123" s="265"/>
      <c r="AC123" s="266"/>
      <c r="AD123" s="266"/>
      <c r="AE123" s="266"/>
      <c r="AF123" s="271"/>
      <c r="AG123" s="268"/>
      <c r="AH123" s="269"/>
      <c r="AI123" s="290"/>
      <c r="AJ123" s="265"/>
      <c r="AK123" s="266"/>
      <c r="AL123" s="266"/>
      <c r="AM123" s="266"/>
      <c r="AN123" s="271"/>
      <c r="AO123" s="268"/>
      <c r="AP123" s="269"/>
      <c r="AQ123" s="290"/>
      <c r="AR123" s="272"/>
      <c r="AS123" s="268"/>
      <c r="AT123" s="268"/>
      <c r="AU123" s="268"/>
      <c r="AV123" s="273"/>
      <c r="AW123" s="268"/>
      <c r="AX123" s="269"/>
      <c r="AY123" s="45"/>
      <c r="AZ123" s="19">
        <f t="shared" si="16"/>
        <v>28.139999999999997</v>
      </c>
      <c r="BA123" s="227">
        <f t="shared" si="17"/>
        <v>8</v>
      </c>
      <c r="BB123" s="173"/>
      <c r="BC123" s="173"/>
      <c r="BD123" s="173"/>
      <c r="BE123" s="173"/>
      <c r="BF123" s="173"/>
      <c r="BG123" s="173"/>
      <c r="BH123" s="173"/>
      <c r="BI123" s="173"/>
      <c r="BJ123" s="173"/>
      <c r="BK123" s="173"/>
      <c r="BL123" s="173"/>
      <c r="BM123" s="173"/>
      <c r="BN123" s="173"/>
      <c r="BO123" s="324">
        <f t="shared" si="21"/>
        <v>149</v>
      </c>
      <c r="BP123" s="319"/>
      <c r="BQ123" s="324">
        <v>287</v>
      </c>
      <c r="BR123" s="358"/>
      <c r="BS123" s="358">
        <v>8</v>
      </c>
      <c r="BT123" s="319"/>
      <c r="BU123" s="324">
        <v>160</v>
      </c>
      <c r="BV123" s="358"/>
      <c r="BW123" s="358">
        <v>2</v>
      </c>
      <c r="BX123" s="319"/>
      <c r="BY123" s="217"/>
      <c r="BZ123" s="219"/>
      <c r="CA123" s="262"/>
      <c r="CB123" s="218"/>
      <c r="CC123" s="217"/>
      <c r="CD123" s="219"/>
      <c r="CE123" s="217"/>
      <c r="CF123" s="220"/>
      <c r="CG123" s="211"/>
      <c r="CH123" s="211"/>
      <c r="CI123" s="262"/>
      <c r="CJ123" s="319"/>
      <c r="CK123" s="211"/>
      <c r="CL123" s="211"/>
      <c r="CM123" s="258"/>
      <c r="CN123" s="173"/>
      <c r="CO123" s="173"/>
      <c r="CP123" s="173"/>
      <c r="CQ123" s="173"/>
      <c r="CR123" s="173"/>
      <c r="CS123" s="173"/>
      <c r="CT123" s="173"/>
      <c r="CU123" s="173"/>
    </row>
    <row r="124" spans="1:99" s="4" customFormat="1">
      <c r="A124" s="16" t="s">
        <v>34</v>
      </c>
      <c r="B124" s="21"/>
      <c r="C124" s="22"/>
      <c r="D124" s="265"/>
      <c r="E124" s="266"/>
      <c r="F124" s="266"/>
      <c r="G124" s="266"/>
      <c r="H124" s="267"/>
      <c r="I124" s="268"/>
      <c r="J124" s="269"/>
      <c r="K124" s="290"/>
      <c r="L124" s="265"/>
      <c r="M124" s="266"/>
      <c r="N124" s="266"/>
      <c r="O124" s="266"/>
      <c r="P124" s="271"/>
      <c r="Q124" s="268"/>
      <c r="R124" s="269"/>
      <c r="S124" s="290"/>
      <c r="T124" s="265"/>
      <c r="U124" s="266"/>
      <c r="V124" s="266"/>
      <c r="W124" s="266"/>
      <c r="X124" s="271"/>
      <c r="Y124" s="268"/>
      <c r="Z124" s="269"/>
      <c r="AA124" s="290"/>
      <c r="AB124" s="265"/>
      <c r="AC124" s="266"/>
      <c r="AD124" s="266"/>
      <c r="AE124" s="266"/>
      <c r="AF124" s="271"/>
      <c r="AG124" s="268"/>
      <c r="AH124" s="269"/>
      <c r="AI124" s="290"/>
      <c r="AJ124" s="265"/>
      <c r="AK124" s="266"/>
      <c r="AL124" s="266"/>
      <c r="AM124" s="266"/>
      <c r="AN124" s="271"/>
      <c r="AO124" s="268"/>
      <c r="AP124" s="269"/>
      <c r="AQ124" s="290"/>
      <c r="AR124" s="272"/>
      <c r="AS124" s="268"/>
      <c r="AT124" s="268"/>
      <c r="AU124" s="268"/>
      <c r="AV124" s="273"/>
      <c r="AW124" s="268"/>
      <c r="AX124" s="269"/>
      <c r="AY124" s="45"/>
      <c r="AZ124" s="19">
        <f t="shared" si="16"/>
        <v>28.139999999999997</v>
      </c>
      <c r="BA124" s="227">
        <f t="shared" si="17"/>
        <v>8</v>
      </c>
      <c r="BB124" s="173"/>
      <c r="BC124" s="173"/>
      <c r="BD124" s="173"/>
      <c r="BE124" s="173"/>
      <c r="BF124" s="173"/>
      <c r="BG124" s="173"/>
      <c r="BH124" s="173"/>
      <c r="BI124" s="173"/>
      <c r="BJ124" s="173"/>
      <c r="BK124" s="173"/>
      <c r="BL124" s="173"/>
      <c r="BM124" s="173"/>
      <c r="BN124" s="173"/>
      <c r="BO124" s="324">
        <f t="shared" si="21"/>
        <v>149</v>
      </c>
      <c r="BP124" s="319"/>
      <c r="BQ124" s="324">
        <v>287</v>
      </c>
      <c r="BR124" s="358"/>
      <c r="BS124" s="358">
        <v>8</v>
      </c>
      <c r="BT124" s="319"/>
      <c r="BU124" s="324">
        <v>160</v>
      </c>
      <c r="BV124" s="358"/>
      <c r="BW124" s="358">
        <v>2</v>
      </c>
      <c r="BX124" s="319"/>
      <c r="BY124" s="217"/>
      <c r="BZ124" s="219"/>
      <c r="CA124" s="262"/>
      <c r="CB124" s="218"/>
      <c r="CC124" s="217"/>
      <c r="CD124" s="219"/>
      <c r="CE124" s="217"/>
      <c r="CF124" s="220"/>
      <c r="CG124" s="211"/>
      <c r="CH124" s="211"/>
      <c r="CI124" s="262"/>
      <c r="CJ124" s="319"/>
      <c r="CK124" s="211"/>
      <c r="CL124" s="211"/>
      <c r="CM124" s="258"/>
      <c r="CN124" s="173"/>
      <c r="CO124" s="173"/>
      <c r="CP124" s="173"/>
      <c r="CQ124" s="173"/>
      <c r="CR124" s="173"/>
      <c r="CS124" s="173"/>
      <c r="CT124" s="173"/>
      <c r="CU124" s="173"/>
    </row>
    <row r="125" spans="1:99" s="13" customFormat="1" ht="13" thickBot="1">
      <c r="A125" s="17" t="s">
        <v>34</v>
      </c>
      <c r="B125" s="29"/>
      <c r="C125" s="30"/>
      <c r="D125" s="274"/>
      <c r="E125" s="275"/>
      <c r="F125" s="275"/>
      <c r="G125" s="275"/>
      <c r="H125" s="276"/>
      <c r="I125" s="277"/>
      <c r="J125" s="278"/>
      <c r="K125" s="291"/>
      <c r="L125" s="274"/>
      <c r="M125" s="275"/>
      <c r="N125" s="275"/>
      <c r="O125" s="275"/>
      <c r="P125" s="279"/>
      <c r="Q125" s="277"/>
      <c r="R125" s="278"/>
      <c r="S125" s="291"/>
      <c r="T125" s="274"/>
      <c r="U125" s="275"/>
      <c r="V125" s="275"/>
      <c r="W125" s="275"/>
      <c r="X125" s="279"/>
      <c r="Y125" s="277"/>
      <c r="Z125" s="278"/>
      <c r="AA125" s="291"/>
      <c r="AB125" s="274"/>
      <c r="AC125" s="275"/>
      <c r="AD125" s="275"/>
      <c r="AE125" s="275"/>
      <c r="AF125" s="279"/>
      <c r="AG125" s="277"/>
      <c r="AH125" s="278"/>
      <c r="AI125" s="291"/>
      <c r="AJ125" s="274"/>
      <c r="AK125" s="275"/>
      <c r="AL125" s="275"/>
      <c r="AM125" s="275"/>
      <c r="AN125" s="279"/>
      <c r="AO125" s="277"/>
      <c r="AP125" s="278"/>
      <c r="AQ125" s="291"/>
      <c r="AR125" s="280"/>
      <c r="AS125" s="277"/>
      <c r="AT125" s="277"/>
      <c r="AU125" s="277"/>
      <c r="AV125" s="281"/>
      <c r="AW125" s="277"/>
      <c r="AX125" s="278"/>
      <c r="AY125" s="46"/>
      <c r="AZ125" s="20"/>
      <c r="BA125" s="208">
        <f t="shared" si="17"/>
        <v>8</v>
      </c>
      <c r="BB125" s="176"/>
      <c r="BC125" s="176"/>
      <c r="BD125" s="176"/>
      <c r="BE125" s="176"/>
      <c r="BF125" s="176"/>
      <c r="BG125" s="176"/>
      <c r="BH125" s="176"/>
      <c r="BI125" s="176"/>
      <c r="BJ125" s="176"/>
      <c r="BK125" s="176"/>
      <c r="BL125" s="176"/>
      <c r="BM125" s="176"/>
      <c r="BN125" s="176"/>
      <c r="BO125" s="325">
        <f t="shared" si="21"/>
        <v>149</v>
      </c>
      <c r="BP125" s="238"/>
      <c r="BQ125" s="325">
        <v>287</v>
      </c>
      <c r="BR125" s="359"/>
      <c r="BS125" s="359">
        <v>8</v>
      </c>
      <c r="BT125" s="238"/>
      <c r="BU125" s="325">
        <v>160</v>
      </c>
      <c r="BV125" s="359"/>
      <c r="BW125" s="359">
        <v>2</v>
      </c>
      <c r="BX125" s="238"/>
      <c r="BY125" s="255"/>
      <c r="BZ125" s="244"/>
      <c r="CA125" s="264"/>
      <c r="CB125" s="254"/>
      <c r="CC125" s="255"/>
      <c r="CD125" s="244"/>
      <c r="CE125" s="255"/>
      <c r="CF125" s="263"/>
      <c r="CG125" s="239"/>
      <c r="CH125" s="239"/>
      <c r="CI125" s="264"/>
      <c r="CJ125" s="238"/>
      <c r="CK125" s="239"/>
      <c r="CL125" s="239"/>
      <c r="CM125" s="240"/>
      <c r="CN125" s="176"/>
      <c r="CO125" s="176"/>
      <c r="CP125" s="176"/>
      <c r="CQ125" s="176"/>
      <c r="CR125" s="176"/>
      <c r="CS125" s="176"/>
      <c r="CT125" s="176"/>
      <c r="CU125" s="176"/>
    </row>
    <row r="126" spans="1:99" s="4" customFormat="1">
      <c r="A126" s="15" t="s">
        <v>33</v>
      </c>
      <c r="B126" s="37">
        <v>41036</v>
      </c>
      <c r="C126" s="38" t="s">
        <v>87</v>
      </c>
      <c r="D126" s="282">
        <v>4.88</v>
      </c>
      <c r="E126" s="283">
        <v>4.5599999999999996</v>
      </c>
      <c r="F126" s="283">
        <v>5</v>
      </c>
      <c r="G126" s="283">
        <v>4.71</v>
      </c>
      <c r="H126" s="284">
        <v>3.03</v>
      </c>
      <c r="I126" s="285">
        <v>4.08</v>
      </c>
      <c r="J126" s="286">
        <v>4.17</v>
      </c>
      <c r="K126" s="292">
        <v>0</v>
      </c>
      <c r="L126" s="282">
        <v>5.4</v>
      </c>
      <c r="M126" s="283">
        <v>4.5599999999999996</v>
      </c>
      <c r="N126" s="283">
        <v>5.2</v>
      </c>
      <c r="O126" s="283">
        <v>6.19</v>
      </c>
      <c r="P126" s="287">
        <v>6.82</v>
      </c>
      <c r="Q126" s="285">
        <v>6.06</v>
      </c>
      <c r="R126" s="286">
        <v>4.9800000000000004</v>
      </c>
      <c r="S126" s="292">
        <v>0</v>
      </c>
      <c r="T126" s="282">
        <v>6.93</v>
      </c>
      <c r="U126" s="283">
        <v>7.06</v>
      </c>
      <c r="V126" s="283">
        <v>6.49</v>
      </c>
      <c r="W126" s="283">
        <v>5.58</v>
      </c>
      <c r="X126" s="287">
        <v>6.36</v>
      </c>
      <c r="Y126" s="285">
        <v>4.3</v>
      </c>
      <c r="Z126" s="286">
        <v>5.47</v>
      </c>
      <c r="AA126" s="292">
        <v>0</v>
      </c>
      <c r="AB126" s="282">
        <v>4.8499999999999996</v>
      </c>
      <c r="AC126" s="283">
        <v>5.84</v>
      </c>
      <c r="AD126" s="283">
        <v>4.43</v>
      </c>
      <c r="AE126" s="283">
        <v>3.74</v>
      </c>
      <c r="AF126" s="287">
        <v>4.3099999999999996</v>
      </c>
      <c r="AG126" s="285">
        <v>6</v>
      </c>
      <c r="AH126" s="286">
        <v>5.73</v>
      </c>
      <c r="AI126" s="292">
        <v>0</v>
      </c>
      <c r="AJ126" s="282">
        <v>6.54</v>
      </c>
      <c r="AK126" s="283">
        <v>5.49</v>
      </c>
      <c r="AL126" s="283">
        <v>6.03</v>
      </c>
      <c r="AM126" s="283">
        <v>6.29</v>
      </c>
      <c r="AN126" s="287">
        <v>6.01</v>
      </c>
      <c r="AO126" s="285">
        <v>6.37</v>
      </c>
      <c r="AP126" s="286">
        <v>6.78</v>
      </c>
      <c r="AQ126" s="292">
        <v>0</v>
      </c>
      <c r="AR126" s="288">
        <v>6.38</v>
      </c>
      <c r="AS126" s="285">
        <v>7.66</v>
      </c>
      <c r="AT126" s="285">
        <v>5.63</v>
      </c>
      <c r="AU126" s="285">
        <v>5.67</v>
      </c>
      <c r="AV126" s="289">
        <v>6.46</v>
      </c>
      <c r="AW126" s="285">
        <v>7.09</v>
      </c>
      <c r="AX126" s="286">
        <v>6.9</v>
      </c>
      <c r="AY126" s="44">
        <v>0</v>
      </c>
      <c r="AZ126" s="18">
        <f t="shared" si="16"/>
        <v>5.4354285714285711</v>
      </c>
      <c r="BA126" s="200">
        <f t="shared" si="17"/>
        <v>0</v>
      </c>
      <c r="BB126" s="173"/>
      <c r="BC126" s="173"/>
      <c r="BD126" s="173"/>
      <c r="BE126" s="173"/>
      <c r="BF126" s="173"/>
      <c r="BG126" s="173"/>
      <c r="BH126" s="173"/>
      <c r="BI126" s="173"/>
      <c r="BJ126" s="173"/>
      <c r="BK126" s="173"/>
      <c r="BL126" s="173"/>
      <c r="BM126" s="173"/>
      <c r="BN126" s="173"/>
      <c r="BO126" s="324">
        <f t="shared" si="21"/>
        <v>128</v>
      </c>
      <c r="BP126" s="319">
        <v>40660</v>
      </c>
      <c r="BQ126" s="324">
        <v>117</v>
      </c>
      <c r="BR126" s="358">
        <v>5.403714285714285</v>
      </c>
      <c r="BS126" s="358">
        <v>0</v>
      </c>
      <c r="BT126" s="319">
        <v>40301</v>
      </c>
      <c r="BU126" s="324">
        <v>123</v>
      </c>
      <c r="BV126" s="358">
        <v>5.6714285714285717</v>
      </c>
      <c r="BW126" s="358">
        <v>0</v>
      </c>
      <c r="BX126" s="319">
        <v>39933</v>
      </c>
      <c r="BY126" s="217">
        <v>120</v>
      </c>
      <c r="BZ126" s="219">
        <v>5.1742857142857144</v>
      </c>
      <c r="CA126" s="262">
        <v>0</v>
      </c>
      <c r="CB126" s="218">
        <v>39570</v>
      </c>
      <c r="CC126" s="217">
        <f t="shared" ref="CC126:CC145" si="22">CB126-DATE(YEAR(CB126)-1,12,31)</f>
        <v>123</v>
      </c>
      <c r="CD126" s="219">
        <v>5.8880000000000008</v>
      </c>
      <c r="CE126" s="217">
        <v>0</v>
      </c>
      <c r="CF126" s="220">
        <v>39205</v>
      </c>
      <c r="CG126" s="217">
        <f t="shared" ref="CG126:CG150" si="23">CF126-DATE(YEAR(CF126)-1,12,31)</f>
        <v>123</v>
      </c>
      <c r="CH126" s="211">
        <v>7.1319999999999997</v>
      </c>
      <c r="CI126" s="262">
        <v>0</v>
      </c>
      <c r="CJ126" s="319">
        <v>38843</v>
      </c>
      <c r="CK126" s="217">
        <f t="shared" ref="CK126:CK141" si="24">CJ126-DATE(YEAR(CJ126)-1,12,31)</f>
        <v>126</v>
      </c>
      <c r="CL126" s="211"/>
      <c r="CM126" s="258">
        <v>0</v>
      </c>
      <c r="CN126" s="173"/>
      <c r="CO126" s="173"/>
      <c r="CP126" s="173"/>
      <c r="CQ126" s="173"/>
      <c r="CR126" s="173"/>
      <c r="CS126" s="173"/>
      <c r="CT126" s="173"/>
      <c r="CU126" s="173"/>
    </row>
    <row r="127" spans="1:99" s="4" customFormat="1">
      <c r="A127" s="16" t="s">
        <v>33</v>
      </c>
      <c r="B127" s="21">
        <v>41045</v>
      </c>
      <c r="C127" s="22" t="s">
        <v>87</v>
      </c>
      <c r="D127" s="265">
        <v>6</v>
      </c>
      <c r="E127" s="266">
        <v>5.52</v>
      </c>
      <c r="F127" s="266">
        <v>7.07</v>
      </c>
      <c r="G127" s="266">
        <v>5.61</v>
      </c>
      <c r="H127" s="267">
        <v>3.07</v>
      </c>
      <c r="I127" s="268">
        <v>7.06</v>
      </c>
      <c r="J127" s="269">
        <v>7.08</v>
      </c>
      <c r="K127" s="290">
        <v>0</v>
      </c>
      <c r="L127" s="265">
        <v>7.07</v>
      </c>
      <c r="M127" s="266">
        <v>5.16</v>
      </c>
      <c r="N127" s="266">
        <v>6.77</v>
      </c>
      <c r="O127" s="266">
        <v>8.18</v>
      </c>
      <c r="P127" s="271">
        <v>7.46</v>
      </c>
      <c r="Q127" s="268">
        <v>9.06</v>
      </c>
      <c r="R127" s="269">
        <v>7.81</v>
      </c>
      <c r="S127" s="290">
        <v>0</v>
      </c>
      <c r="T127" s="265">
        <v>6.96</v>
      </c>
      <c r="U127" s="266">
        <v>7.14</v>
      </c>
      <c r="V127" s="266">
        <v>7.62</v>
      </c>
      <c r="W127" s="266">
        <v>7.12</v>
      </c>
      <c r="X127" s="271">
        <v>8.73</v>
      </c>
      <c r="Y127" s="268">
        <v>4.5199999999999996</v>
      </c>
      <c r="Z127" s="269">
        <v>5.95</v>
      </c>
      <c r="AA127" s="290">
        <v>0</v>
      </c>
      <c r="AB127" s="265">
        <v>5.36</v>
      </c>
      <c r="AC127" s="266">
        <v>6.32</v>
      </c>
      <c r="AD127" s="266">
        <v>4.7300000000000004</v>
      </c>
      <c r="AE127" s="266">
        <v>3.98</v>
      </c>
      <c r="AF127" s="271">
        <v>5</v>
      </c>
      <c r="AG127" s="268">
        <v>6.39</v>
      </c>
      <c r="AH127" s="269">
        <v>5.99</v>
      </c>
      <c r="AI127" s="290">
        <v>0</v>
      </c>
      <c r="AJ127" s="265">
        <v>7.3</v>
      </c>
      <c r="AK127" s="266">
        <v>7.28</v>
      </c>
      <c r="AL127" s="266">
        <v>6.15</v>
      </c>
      <c r="AM127" s="266">
        <v>7.51</v>
      </c>
      <c r="AN127" s="271">
        <v>6.77</v>
      </c>
      <c r="AO127" s="268">
        <v>7.26</v>
      </c>
      <c r="AP127" s="269">
        <v>7.27</v>
      </c>
      <c r="AQ127" s="290">
        <v>0</v>
      </c>
      <c r="AR127" s="272">
        <v>7.47</v>
      </c>
      <c r="AS127" s="268">
        <v>7.89</v>
      </c>
      <c r="AT127" s="268">
        <v>7.01</v>
      </c>
      <c r="AU127" s="268">
        <v>6.27</v>
      </c>
      <c r="AV127" s="273">
        <v>7.52</v>
      </c>
      <c r="AW127" s="268">
        <v>7.63</v>
      </c>
      <c r="AX127" s="269">
        <v>7.83</v>
      </c>
      <c r="AY127" s="45">
        <v>0</v>
      </c>
      <c r="AZ127" s="19">
        <f t="shared" si="16"/>
        <v>6.5220000000000011</v>
      </c>
      <c r="BA127" s="227">
        <f t="shared" si="17"/>
        <v>0</v>
      </c>
      <c r="BB127" s="173"/>
      <c r="BC127" s="173"/>
      <c r="BD127" s="173"/>
      <c r="BE127" s="173"/>
      <c r="BF127" s="173"/>
      <c r="BG127" s="173"/>
      <c r="BH127" s="173"/>
      <c r="BI127" s="173"/>
      <c r="BJ127" s="173"/>
      <c r="BK127" s="173"/>
      <c r="BL127" s="173"/>
      <c r="BM127" s="173"/>
      <c r="BN127" s="173"/>
      <c r="BO127" s="324">
        <f t="shared" si="21"/>
        <v>137</v>
      </c>
      <c r="BP127" s="319">
        <v>40667</v>
      </c>
      <c r="BQ127" s="324">
        <v>124</v>
      </c>
      <c r="BR127" s="358">
        <v>5.9934285714285718</v>
      </c>
      <c r="BS127" s="358">
        <v>0</v>
      </c>
      <c r="BT127" s="319">
        <v>40310</v>
      </c>
      <c r="BU127" s="324">
        <v>132</v>
      </c>
      <c r="BV127" s="358">
        <v>6.2200000000000006</v>
      </c>
      <c r="BW127" s="358">
        <v>0</v>
      </c>
      <c r="BX127" s="319">
        <v>39940</v>
      </c>
      <c r="BY127" s="217">
        <v>127</v>
      </c>
      <c r="BZ127" s="219">
        <v>6.677142857142857</v>
      </c>
      <c r="CA127" s="262">
        <v>0</v>
      </c>
      <c r="CB127" s="218">
        <v>39576</v>
      </c>
      <c r="CC127" s="217">
        <f t="shared" si="22"/>
        <v>129</v>
      </c>
      <c r="CD127" s="219">
        <v>7</v>
      </c>
      <c r="CE127" s="217">
        <v>0</v>
      </c>
      <c r="CF127" s="220">
        <v>39209</v>
      </c>
      <c r="CG127" s="217">
        <f t="shared" si="23"/>
        <v>127</v>
      </c>
      <c r="CH127" s="211">
        <v>7.8599999999999994</v>
      </c>
      <c r="CI127" s="262">
        <v>0</v>
      </c>
      <c r="CJ127" s="319">
        <v>38845</v>
      </c>
      <c r="CK127" s="217">
        <f t="shared" si="24"/>
        <v>128</v>
      </c>
      <c r="CL127" s="211"/>
      <c r="CM127" s="258">
        <v>0.2</v>
      </c>
      <c r="CN127" s="173"/>
      <c r="CO127" s="173"/>
      <c r="CP127" s="173"/>
      <c r="CQ127" s="173"/>
      <c r="CR127" s="173"/>
      <c r="CS127" s="173"/>
      <c r="CT127" s="173"/>
      <c r="CU127" s="173"/>
    </row>
    <row r="128" spans="1:99" s="4" customFormat="1">
      <c r="A128" s="16" t="s">
        <v>33</v>
      </c>
      <c r="B128" s="21">
        <v>41052</v>
      </c>
      <c r="C128" s="22" t="s">
        <v>87</v>
      </c>
      <c r="D128" s="265">
        <v>7.52</v>
      </c>
      <c r="E128" s="266">
        <v>5.99</v>
      </c>
      <c r="F128" s="266">
        <v>8.8000000000000007</v>
      </c>
      <c r="G128" s="266">
        <v>7.45</v>
      </c>
      <c r="H128" s="267">
        <v>3.09</v>
      </c>
      <c r="I128" s="268">
        <v>9.9</v>
      </c>
      <c r="J128" s="269">
        <v>8.33</v>
      </c>
      <c r="K128" s="290">
        <v>0</v>
      </c>
      <c r="L128" s="265">
        <v>9.99</v>
      </c>
      <c r="M128" s="266">
        <v>8.8800000000000008</v>
      </c>
      <c r="N128" s="266">
        <v>9.57</v>
      </c>
      <c r="O128" s="266">
        <v>11.95</v>
      </c>
      <c r="P128" s="271">
        <v>11.7</v>
      </c>
      <c r="Q128" s="268">
        <v>11.54</v>
      </c>
      <c r="R128" s="269">
        <v>11.49</v>
      </c>
      <c r="S128" s="290">
        <v>0</v>
      </c>
      <c r="T128" s="265">
        <v>8.64</v>
      </c>
      <c r="U128" s="266">
        <v>8.7799999999999994</v>
      </c>
      <c r="V128" s="266">
        <v>10.49</v>
      </c>
      <c r="W128" s="266">
        <v>8.4700000000000006</v>
      </c>
      <c r="X128" s="271">
        <v>9.5500000000000007</v>
      </c>
      <c r="Y128" s="268">
        <v>6.07</v>
      </c>
      <c r="Z128" s="269">
        <v>6.68</v>
      </c>
      <c r="AA128" s="290">
        <v>0</v>
      </c>
      <c r="AB128" s="265">
        <v>6.11</v>
      </c>
      <c r="AC128" s="266">
        <v>8.18</v>
      </c>
      <c r="AD128" s="266">
        <v>6.79</v>
      </c>
      <c r="AE128" s="266">
        <v>6.22</v>
      </c>
      <c r="AF128" s="271">
        <v>5.47</v>
      </c>
      <c r="AG128" s="268">
        <v>6.85</v>
      </c>
      <c r="AH128" s="269">
        <v>7.43</v>
      </c>
      <c r="AI128" s="290">
        <v>0</v>
      </c>
      <c r="AJ128" s="265">
        <v>10.54</v>
      </c>
      <c r="AK128" s="266">
        <v>8.8800000000000008</v>
      </c>
      <c r="AL128" s="266">
        <v>8.6199999999999992</v>
      </c>
      <c r="AM128" s="266">
        <v>10.46</v>
      </c>
      <c r="AN128" s="271">
        <v>9.1199999999999992</v>
      </c>
      <c r="AO128" s="268">
        <v>10.3</v>
      </c>
      <c r="AP128" s="269">
        <v>9.2100000000000009</v>
      </c>
      <c r="AQ128" s="290">
        <v>0</v>
      </c>
      <c r="AR128" s="272">
        <v>9.8000000000000007</v>
      </c>
      <c r="AS128" s="268">
        <v>10.48</v>
      </c>
      <c r="AT128" s="268">
        <v>8.02</v>
      </c>
      <c r="AU128" s="268">
        <v>9.0299999999999994</v>
      </c>
      <c r="AV128" s="273">
        <v>10.71</v>
      </c>
      <c r="AW128" s="268">
        <v>11.43</v>
      </c>
      <c r="AX128" s="269">
        <v>11.1</v>
      </c>
      <c r="AY128" s="45">
        <v>0</v>
      </c>
      <c r="AZ128" s="19">
        <f t="shared" si="16"/>
        <v>8.5445714285714267</v>
      </c>
      <c r="BA128" s="227">
        <f t="shared" si="17"/>
        <v>0</v>
      </c>
      <c r="BB128" s="173"/>
      <c r="BC128" s="173"/>
      <c r="BD128" s="173"/>
      <c r="BE128" s="173"/>
      <c r="BF128" s="173"/>
      <c r="BG128" s="173"/>
      <c r="BH128" s="173"/>
      <c r="BI128" s="173"/>
      <c r="BJ128" s="173"/>
      <c r="BK128" s="173"/>
      <c r="BL128" s="173"/>
      <c r="BM128" s="173"/>
      <c r="BN128" s="173"/>
      <c r="BO128" s="324">
        <f t="shared" si="21"/>
        <v>144</v>
      </c>
      <c r="BP128" s="319">
        <v>40672</v>
      </c>
      <c r="BQ128" s="324">
        <v>129</v>
      </c>
      <c r="BR128" s="358">
        <v>6.8231428571428578</v>
      </c>
      <c r="BS128" s="358">
        <v>0</v>
      </c>
      <c r="BT128" s="319">
        <v>40315</v>
      </c>
      <c r="BU128" s="324">
        <v>137</v>
      </c>
      <c r="BV128" s="358">
        <v>10.534285714285716</v>
      </c>
      <c r="BW128" s="358">
        <v>1</v>
      </c>
      <c r="BX128" s="319">
        <v>39947</v>
      </c>
      <c r="BY128" s="217">
        <v>134</v>
      </c>
      <c r="BZ128" s="219">
        <v>9.98</v>
      </c>
      <c r="CA128" s="262">
        <v>0</v>
      </c>
      <c r="CB128" s="218">
        <v>39580</v>
      </c>
      <c r="CC128" s="217">
        <f t="shared" si="22"/>
        <v>133</v>
      </c>
      <c r="CD128" s="219">
        <v>9.3239999999999998</v>
      </c>
      <c r="CE128" s="217">
        <v>0</v>
      </c>
      <c r="CF128" s="220">
        <v>39212</v>
      </c>
      <c r="CG128" s="217">
        <f t="shared" si="23"/>
        <v>130</v>
      </c>
      <c r="CH128" s="211">
        <v>8.7360000000000007</v>
      </c>
      <c r="CI128" s="262">
        <v>0</v>
      </c>
      <c r="CJ128" s="319">
        <v>38848</v>
      </c>
      <c r="CK128" s="217">
        <f t="shared" si="24"/>
        <v>131</v>
      </c>
      <c r="CL128" s="211">
        <v>12.795999999999998</v>
      </c>
      <c r="CM128" s="258">
        <v>1.2</v>
      </c>
      <c r="CN128" s="173"/>
      <c r="CO128" s="173"/>
      <c r="CP128" s="173"/>
      <c r="CQ128" s="173"/>
      <c r="CR128" s="173"/>
      <c r="CS128" s="173"/>
      <c r="CT128" s="173"/>
      <c r="CU128" s="173"/>
    </row>
    <row r="129" spans="1:99" s="4" customFormat="1">
      <c r="A129" s="16" t="s">
        <v>33</v>
      </c>
      <c r="B129" s="21">
        <v>41054</v>
      </c>
      <c r="C129" s="22" t="s">
        <v>87</v>
      </c>
      <c r="D129" s="265">
        <v>10.220000000000001</v>
      </c>
      <c r="E129" s="266">
        <v>7.64</v>
      </c>
      <c r="F129" s="266">
        <v>11.18</v>
      </c>
      <c r="G129" s="266">
        <v>9.57</v>
      </c>
      <c r="H129" s="267">
        <v>4.28</v>
      </c>
      <c r="I129" s="268">
        <v>13.76</v>
      </c>
      <c r="J129" s="269">
        <v>13.11</v>
      </c>
      <c r="K129" s="290">
        <v>1</v>
      </c>
      <c r="L129" s="265">
        <v>14.9</v>
      </c>
      <c r="M129" s="266">
        <v>12.28</v>
      </c>
      <c r="N129" s="266">
        <v>14.21</v>
      </c>
      <c r="O129" s="266">
        <v>16.88</v>
      </c>
      <c r="P129" s="271">
        <v>17.29</v>
      </c>
      <c r="Q129" s="268">
        <v>15</v>
      </c>
      <c r="R129" s="269">
        <v>14.93</v>
      </c>
      <c r="S129" s="290">
        <v>1</v>
      </c>
      <c r="T129" s="265">
        <v>9.35</v>
      </c>
      <c r="U129" s="266">
        <v>11.78</v>
      </c>
      <c r="V129" s="266">
        <v>13.69</v>
      </c>
      <c r="W129" s="266">
        <v>11.9</v>
      </c>
      <c r="X129" s="271">
        <v>12.11</v>
      </c>
      <c r="Y129" s="268">
        <v>7.78</v>
      </c>
      <c r="Z129" s="269">
        <v>8.9700000000000006</v>
      </c>
      <c r="AA129" s="290">
        <v>0</v>
      </c>
      <c r="AB129" s="265">
        <v>10.16</v>
      </c>
      <c r="AC129" s="266">
        <v>11.55</v>
      </c>
      <c r="AD129" s="266">
        <v>10.08</v>
      </c>
      <c r="AE129" s="266">
        <v>7.17</v>
      </c>
      <c r="AF129" s="271">
        <v>7.4</v>
      </c>
      <c r="AG129" s="268">
        <v>10.07</v>
      </c>
      <c r="AH129" s="269">
        <v>12.58</v>
      </c>
      <c r="AI129" s="290">
        <v>1</v>
      </c>
      <c r="AJ129" s="265">
        <v>16.38</v>
      </c>
      <c r="AK129" s="266">
        <v>12.35</v>
      </c>
      <c r="AL129" s="266">
        <v>12.24</v>
      </c>
      <c r="AM129" s="266">
        <v>15.29</v>
      </c>
      <c r="AN129" s="271">
        <v>13.36</v>
      </c>
      <c r="AO129" s="268">
        <v>15.63</v>
      </c>
      <c r="AP129" s="269">
        <v>11.37</v>
      </c>
      <c r="AQ129" s="290">
        <v>1</v>
      </c>
      <c r="AR129" s="272">
        <v>15.41</v>
      </c>
      <c r="AS129" s="268">
        <v>15.17</v>
      </c>
      <c r="AT129" s="268">
        <v>12.44</v>
      </c>
      <c r="AU129" s="268">
        <v>13.75</v>
      </c>
      <c r="AV129" s="273">
        <v>16.07</v>
      </c>
      <c r="AW129" s="268">
        <v>15.78</v>
      </c>
      <c r="AX129" s="269">
        <v>17.73</v>
      </c>
      <c r="AY129" s="45">
        <v>1</v>
      </c>
      <c r="AZ129" s="19">
        <f t="shared" si="16"/>
        <v>11.898857142857143</v>
      </c>
      <c r="BA129" s="227">
        <f t="shared" si="17"/>
        <v>0.8</v>
      </c>
      <c r="BB129" s="173"/>
      <c r="BC129" s="173"/>
      <c r="BD129" s="173"/>
      <c r="BE129" s="173"/>
      <c r="BF129" s="173"/>
      <c r="BG129" s="173"/>
      <c r="BH129" s="173"/>
      <c r="BI129" s="173"/>
      <c r="BJ129" s="173"/>
      <c r="BK129" s="173"/>
      <c r="BL129" s="173"/>
      <c r="BM129" s="173"/>
      <c r="BN129" s="173"/>
      <c r="BO129" s="324">
        <f t="shared" si="21"/>
        <v>146</v>
      </c>
      <c r="BP129" s="319">
        <v>40675</v>
      </c>
      <c r="BQ129" s="324">
        <v>132</v>
      </c>
      <c r="BR129" s="358">
        <v>9.4034285714285719</v>
      </c>
      <c r="BS129" s="358">
        <v>1</v>
      </c>
      <c r="BT129" s="319">
        <v>40318</v>
      </c>
      <c r="BU129" s="324">
        <v>140</v>
      </c>
      <c r="BV129" s="358">
        <v>19.594285714285714</v>
      </c>
      <c r="BW129" s="358">
        <v>1</v>
      </c>
      <c r="BX129" s="319">
        <v>39951</v>
      </c>
      <c r="BY129" s="217">
        <v>138</v>
      </c>
      <c r="BZ129" s="219">
        <v>14.771428571428572</v>
      </c>
      <c r="CA129" s="262">
        <v>1</v>
      </c>
      <c r="CB129" s="218">
        <v>39584</v>
      </c>
      <c r="CC129" s="217">
        <f t="shared" si="22"/>
        <v>137</v>
      </c>
      <c r="CD129" s="219">
        <v>9.76</v>
      </c>
      <c r="CE129" s="217">
        <v>0</v>
      </c>
      <c r="CF129" s="220">
        <v>39216</v>
      </c>
      <c r="CG129" s="217">
        <f t="shared" si="23"/>
        <v>134</v>
      </c>
      <c r="CH129" s="211">
        <v>9.9520000000000017</v>
      </c>
      <c r="CI129" s="262">
        <v>0</v>
      </c>
      <c r="CJ129" s="319">
        <v>38854</v>
      </c>
      <c r="CK129" s="217">
        <f t="shared" si="24"/>
        <v>137</v>
      </c>
      <c r="CL129" s="211">
        <v>15.688000000000002</v>
      </c>
      <c r="CM129" s="258">
        <v>1.2</v>
      </c>
      <c r="CN129" s="173"/>
      <c r="CO129" s="173"/>
      <c r="CP129" s="173"/>
      <c r="CQ129" s="173"/>
      <c r="CR129" s="173"/>
      <c r="CS129" s="173"/>
      <c r="CT129" s="173"/>
      <c r="CU129" s="173"/>
    </row>
    <row r="130" spans="1:99" s="4" customFormat="1">
      <c r="A130" s="16" t="s">
        <v>33</v>
      </c>
      <c r="B130" s="21">
        <v>41060</v>
      </c>
      <c r="C130" s="22" t="s">
        <v>87</v>
      </c>
      <c r="D130" s="265">
        <v>14.69</v>
      </c>
      <c r="E130" s="266">
        <v>9.59</v>
      </c>
      <c r="F130" s="266">
        <v>16.760000000000002</v>
      </c>
      <c r="G130" s="266">
        <v>12.45</v>
      </c>
      <c r="H130" s="267">
        <v>5.36</v>
      </c>
      <c r="I130" s="268">
        <v>23.83</v>
      </c>
      <c r="J130" s="269">
        <v>22.54</v>
      </c>
      <c r="K130" s="290">
        <v>2</v>
      </c>
      <c r="L130" s="265">
        <v>19.059999999999999</v>
      </c>
      <c r="M130" s="266">
        <v>19.920000000000002</v>
      </c>
      <c r="N130" s="266">
        <v>26.51</v>
      </c>
      <c r="O130" s="266">
        <v>34.090000000000003</v>
      </c>
      <c r="P130" s="271">
        <v>31.1</v>
      </c>
      <c r="Q130" s="268">
        <v>25.46</v>
      </c>
      <c r="R130" s="269">
        <v>26.29</v>
      </c>
      <c r="S130" s="290">
        <v>2</v>
      </c>
      <c r="T130" s="265">
        <v>16.95</v>
      </c>
      <c r="U130" s="266">
        <v>21.95</v>
      </c>
      <c r="V130" s="266">
        <v>25.99</v>
      </c>
      <c r="W130" s="266">
        <v>24.43</v>
      </c>
      <c r="X130" s="271">
        <v>18.2</v>
      </c>
      <c r="Y130" s="268">
        <v>12.26</v>
      </c>
      <c r="Z130" s="269">
        <v>16.170000000000002</v>
      </c>
      <c r="AA130" s="290">
        <v>1</v>
      </c>
      <c r="AB130" s="265">
        <v>16.75</v>
      </c>
      <c r="AC130" s="266">
        <v>14.57</v>
      </c>
      <c r="AD130" s="266">
        <v>13.62</v>
      </c>
      <c r="AE130" s="266">
        <v>18.489999999999998</v>
      </c>
      <c r="AF130" s="271">
        <v>13.04</v>
      </c>
      <c r="AG130" s="268">
        <v>17.920000000000002</v>
      </c>
      <c r="AH130" s="269">
        <v>22.51</v>
      </c>
      <c r="AI130" s="290">
        <v>2</v>
      </c>
      <c r="AJ130" s="265">
        <v>20.010000000000002</v>
      </c>
      <c r="AK130" s="266">
        <v>18.28</v>
      </c>
      <c r="AL130" s="266">
        <v>14.95</v>
      </c>
      <c r="AM130" s="266">
        <v>26.77</v>
      </c>
      <c r="AN130" s="271">
        <v>26.05</v>
      </c>
      <c r="AO130" s="268">
        <v>25.64</v>
      </c>
      <c r="AP130" s="269">
        <v>23.68</v>
      </c>
      <c r="AQ130" s="290">
        <v>1</v>
      </c>
      <c r="AR130" s="272">
        <v>25.07</v>
      </c>
      <c r="AS130" s="268">
        <v>29.52</v>
      </c>
      <c r="AT130" s="268">
        <v>21.2</v>
      </c>
      <c r="AU130" s="268">
        <v>18.440000000000001</v>
      </c>
      <c r="AV130" s="273">
        <v>28.49</v>
      </c>
      <c r="AW130" s="268">
        <v>28.43</v>
      </c>
      <c r="AX130" s="269">
        <v>30.85</v>
      </c>
      <c r="AY130" s="45">
        <v>2</v>
      </c>
      <c r="AZ130" s="19">
        <f t="shared" si="16"/>
        <v>19.882285714285711</v>
      </c>
      <c r="BA130" s="227">
        <f t="shared" si="17"/>
        <v>1.6</v>
      </c>
      <c r="BB130" s="173"/>
      <c r="BC130" s="173"/>
      <c r="BD130" s="173"/>
      <c r="BE130" s="173"/>
      <c r="BF130" s="173"/>
      <c r="BG130" s="173"/>
      <c r="BH130" s="173"/>
      <c r="BI130" s="173"/>
      <c r="BJ130" s="173"/>
      <c r="BK130" s="173"/>
      <c r="BL130" s="173"/>
      <c r="BM130" s="173"/>
      <c r="BN130" s="173"/>
      <c r="BO130" s="324">
        <f t="shared" si="21"/>
        <v>152</v>
      </c>
      <c r="BP130" s="319">
        <v>40680</v>
      </c>
      <c r="BQ130" s="324">
        <v>137</v>
      </c>
      <c r="BR130" s="358">
        <v>12.498857142857144</v>
      </c>
      <c r="BS130" s="358">
        <v>1</v>
      </c>
      <c r="BT130" s="319">
        <v>40322</v>
      </c>
      <c r="BU130" s="324">
        <v>144</v>
      </c>
      <c r="BV130" s="358">
        <v>29.67428571428572</v>
      </c>
      <c r="BW130" s="358">
        <v>2</v>
      </c>
      <c r="BX130" s="319">
        <v>39955</v>
      </c>
      <c r="BY130" s="217">
        <v>142</v>
      </c>
      <c r="BZ130" s="219">
        <v>20.597142857142856</v>
      </c>
      <c r="CA130" s="262">
        <v>1</v>
      </c>
      <c r="CB130" s="218">
        <v>39591</v>
      </c>
      <c r="CC130" s="217">
        <f t="shared" si="22"/>
        <v>144</v>
      </c>
      <c r="CD130" s="219">
        <v>11.519000000000002</v>
      </c>
      <c r="CE130" s="217">
        <v>0.4</v>
      </c>
      <c r="CF130" s="220">
        <v>39218</v>
      </c>
      <c r="CG130" s="217">
        <f t="shared" si="23"/>
        <v>136</v>
      </c>
      <c r="CH130" s="211">
        <v>10.495999999999999</v>
      </c>
      <c r="CI130" s="262">
        <v>0</v>
      </c>
      <c r="CJ130" s="319">
        <v>38859</v>
      </c>
      <c r="CK130" s="217">
        <f t="shared" si="24"/>
        <v>142</v>
      </c>
      <c r="CL130" s="211">
        <v>19.5</v>
      </c>
      <c r="CM130" s="258">
        <v>1.2</v>
      </c>
      <c r="CN130" s="173"/>
      <c r="CO130" s="173"/>
      <c r="CP130" s="173"/>
      <c r="CQ130" s="173"/>
      <c r="CR130" s="173"/>
      <c r="CS130" s="173"/>
      <c r="CT130" s="173"/>
      <c r="CU130" s="173"/>
    </row>
    <row r="131" spans="1:99" s="4" customFormat="1">
      <c r="A131" s="16" t="s">
        <v>33</v>
      </c>
      <c r="B131" s="21">
        <v>41065</v>
      </c>
      <c r="C131" s="22" t="s">
        <v>87</v>
      </c>
      <c r="D131" s="265">
        <v>16.16</v>
      </c>
      <c r="E131" s="266">
        <v>11.57</v>
      </c>
      <c r="F131" s="266">
        <v>17.04</v>
      </c>
      <c r="G131" s="266">
        <v>12.77</v>
      </c>
      <c r="H131" s="267">
        <v>5.5</v>
      </c>
      <c r="I131" s="268">
        <v>28.54</v>
      </c>
      <c r="J131" s="269">
        <v>25.87</v>
      </c>
      <c r="K131" s="290">
        <v>2</v>
      </c>
      <c r="L131" s="265">
        <v>23.11</v>
      </c>
      <c r="M131" s="266">
        <v>23.39</v>
      </c>
      <c r="N131" s="266">
        <v>31.78</v>
      </c>
      <c r="O131" s="266">
        <v>38.71</v>
      </c>
      <c r="P131" s="271">
        <v>37.979999999999997</v>
      </c>
      <c r="Q131" s="268">
        <v>32.4</v>
      </c>
      <c r="R131" s="269">
        <v>33.369999999999997</v>
      </c>
      <c r="S131" s="290">
        <v>2</v>
      </c>
      <c r="T131" s="265">
        <v>20.36</v>
      </c>
      <c r="U131" s="266">
        <v>23.76</v>
      </c>
      <c r="V131" s="266">
        <v>29.31</v>
      </c>
      <c r="W131" s="266">
        <v>26.44</v>
      </c>
      <c r="X131" s="271">
        <v>22.11</v>
      </c>
      <c r="Y131" s="268">
        <v>15.3</v>
      </c>
      <c r="Z131" s="269">
        <v>21.62</v>
      </c>
      <c r="AA131" s="290">
        <v>2</v>
      </c>
      <c r="AB131" s="265">
        <v>20.440000000000001</v>
      </c>
      <c r="AC131" s="266">
        <v>22.14</v>
      </c>
      <c r="AD131" s="266">
        <v>16.63</v>
      </c>
      <c r="AE131" s="266">
        <v>15.75</v>
      </c>
      <c r="AF131" s="271">
        <v>13.43</v>
      </c>
      <c r="AG131" s="268">
        <v>25.82</v>
      </c>
      <c r="AH131" s="269">
        <v>31.25</v>
      </c>
      <c r="AI131" s="290">
        <v>2</v>
      </c>
      <c r="AJ131" s="265">
        <v>29.56</v>
      </c>
      <c r="AK131" s="266">
        <v>23.33</v>
      </c>
      <c r="AL131" s="266">
        <v>23.6</v>
      </c>
      <c r="AM131" s="266">
        <v>33.380000000000003</v>
      </c>
      <c r="AN131" s="271">
        <v>30.66</v>
      </c>
      <c r="AO131" s="268">
        <v>36.42</v>
      </c>
      <c r="AP131" s="269">
        <v>30.49</v>
      </c>
      <c r="AQ131" s="290">
        <v>2</v>
      </c>
      <c r="AR131" s="272">
        <v>31.17</v>
      </c>
      <c r="AS131" s="268">
        <v>35.520000000000003</v>
      </c>
      <c r="AT131" s="268">
        <v>25.9</v>
      </c>
      <c r="AU131" s="268">
        <v>22.07</v>
      </c>
      <c r="AV131" s="273">
        <v>36.06</v>
      </c>
      <c r="AW131" s="268">
        <v>31.91</v>
      </c>
      <c r="AX131" s="269">
        <v>35</v>
      </c>
      <c r="AY131" s="45">
        <v>2</v>
      </c>
      <c r="AZ131" s="19">
        <f t="shared" si="16"/>
        <v>24.285428571428572</v>
      </c>
      <c r="BA131" s="227">
        <f t="shared" si="17"/>
        <v>2</v>
      </c>
      <c r="BB131" s="173"/>
      <c r="BC131" s="173"/>
      <c r="BD131" s="173"/>
      <c r="BE131" s="173"/>
      <c r="BF131" s="173"/>
      <c r="BG131" s="173"/>
      <c r="BH131" s="173"/>
      <c r="BI131" s="173"/>
      <c r="BJ131" s="173"/>
      <c r="BK131" s="173"/>
      <c r="BL131" s="173"/>
      <c r="BM131" s="173"/>
      <c r="BN131" s="173"/>
      <c r="BO131" s="324">
        <f t="shared" si="21"/>
        <v>157</v>
      </c>
      <c r="BP131" s="319">
        <v>40683</v>
      </c>
      <c r="BQ131" s="324">
        <v>140</v>
      </c>
      <c r="BR131" s="358">
        <v>15.029714285714286</v>
      </c>
      <c r="BS131" s="358">
        <v>1.2</v>
      </c>
      <c r="BT131" s="319">
        <v>40325</v>
      </c>
      <c r="BU131" s="324">
        <v>147</v>
      </c>
      <c r="BV131" s="358">
        <v>32.942857142857143</v>
      </c>
      <c r="BW131" s="358">
        <v>2</v>
      </c>
      <c r="BX131" s="319">
        <v>39961</v>
      </c>
      <c r="BY131" s="217">
        <v>148</v>
      </c>
      <c r="BZ131" s="219">
        <v>31.440000000000005</v>
      </c>
      <c r="CA131" s="262">
        <v>2</v>
      </c>
      <c r="CB131" s="218">
        <v>39594</v>
      </c>
      <c r="CC131" s="217">
        <f t="shared" si="22"/>
        <v>147</v>
      </c>
      <c r="CD131" s="219">
        <v>14.916</v>
      </c>
      <c r="CE131" s="217">
        <v>1</v>
      </c>
      <c r="CF131" s="220">
        <v>39220</v>
      </c>
      <c r="CG131" s="217">
        <f t="shared" si="23"/>
        <v>138</v>
      </c>
      <c r="CH131" s="211">
        <v>11.311999999999999</v>
      </c>
      <c r="CI131" s="262">
        <v>0.4</v>
      </c>
      <c r="CJ131" s="319">
        <v>38863</v>
      </c>
      <c r="CK131" s="217">
        <f t="shared" si="24"/>
        <v>146</v>
      </c>
      <c r="CL131" s="211">
        <v>23.84</v>
      </c>
      <c r="CM131" s="258">
        <v>1.4</v>
      </c>
      <c r="CN131" s="173"/>
      <c r="CO131" s="173"/>
      <c r="CP131" s="173"/>
      <c r="CQ131" s="173"/>
      <c r="CR131" s="173"/>
      <c r="CS131" s="173"/>
      <c r="CT131" s="173"/>
      <c r="CU131" s="173"/>
    </row>
    <row r="132" spans="1:99" s="4" customFormat="1">
      <c r="A132" s="16" t="s">
        <v>33</v>
      </c>
      <c r="B132" s="21">
        <v>41071</v>
      </c>
      <c r="C132" s="22" t="s">
        <v>87</v>
      </c>
      <c r="D132" s="265">
        <v>17.77</v>
      </c>
      <c r="E132" s="266">
        <v>12.97</v>
      </c>
      <c r="F132" s="266">
        <v>21.46</v>
      </c>
      <c r="G132" s="266">
        <v>13.58</v>
      </c>
      <c r="H132" s="267">
        <v>6.63</v>
      </c>
      <c r="I132" s="268">
        <v>36.64</v>
      </c>
      <c r="J132" s="269">
        <v>33.090000000000003</v>
      </c>
      <c r="K132" s="290">
        <v>2</v>
      </c>
      <c r="L132" s="265">
        <v>26.73</v>
      </c>
      <c r="M132" s="266">
        <v>30.09</v>
      </c>
      <c r="N132" s="266">
        <v>36.44</v>
      </c>
      <c r="O132" s="266">
        <v>49.67</v>
      </c>
      <c r="P132" s="271">
        <v>48.85</v>
      </c>
      <c r="Q132" s="268">
        <v>42.36</v>
      </c>
      <c r="R132" s="269">
        <v>41.77</v>
      </c>
      <c r="S132" s="290">
        <v>2</v>
      </c>
      <c r="T132" s="265">
        <v>23.65</v>
      </c>
      <c r="U132" s="266">
        <v>35.130000000000003</v>
      </c>
      <c r="V132" s="266">
        <v>33.75</v>
      </c>
      <c r="W132" s="266">
        <v>35.58</v>
      </c>
      <c r="X132" s="271">
        <v>24.97</v>
      </c>
      <c r="Y132" s="268">
        <v>21.26</v>
      </c>
      <c r="Z132" s="269">
        <v>23.49</v>
      </c>
      <c r="AA132" s="290">
        <v>2</v>
      </c>
      <c r="AB132" s="265">
        <v>27.49</v>
      </c>
      <c r="AC132" s="266">
        <v>23.73</v>
      </c>
      <c r="AD132" s="266">
        <v>20.02</v>
      </c>
      <c r="AE132" s="266">
        <v>18.72</v>
      </c>
      <c r="AF132" s="271">
        <v>15.93</v>
      </c>
      <c r="AG132" s="268">
        <v>25.82</v>
      </c>
      <c r="AH132" s="269">
        <v>34.43</v>
      </c>
      <c r="AI132" s="290">
        <v>2</v>
      </c>
      <c r="AJ132" s="265">
        <v>37.67</v>
      </c>
      <c r="AK132" s="266">
        <v>23.92</v>
      </c>
      <c r="AL132" s="266">
        <v>24.66</v>
      </c>
      <c r="AM132" s="266">
        <v>41.12</v>
      </c>
      <c r="AN132" s="271">
        <v>42.52</v>
      </c>
      <c r="AO132" s="268">
        <v>43.37</v>
      </c>
      <c r="AP132" s="269">
        <v>36.880000000000003</v>
      </c>
      <c r="AQ132" s="290">
        <v>2</v>
      </c>
      <c r="AR132" s="272">
        <v>39.94</v>
      </c>
      <c r="AS132" s="268">
        <v>45.1</v>
      </c>
      <c r="AT132" s="268">
        <v>35.28</v>
      </c>
      <c r="AU132" s="268">
        <v>23.68</v>
      </c>
      <c r="AV132" s="273">
        <v>51.16</v>
      </c>
      <c r="AW132" s="268">
        <v>39.619999999999997</v>
      </c>
      <c r="AX132" s="269">
        <v>43.4</v>
      </c>
      <c r="AY132" s="45">
        <v>2</v>
      </c>
      <c r="AZ132" s="19">
        <f t="shared" si="16"/>
        <v>29.490285714285712</v>
      </c>
      <c r="BA132" s="227">
        <f t="shared" si="17"/>
        <v>2</v>
      </c>
      <c r="BB132" s="173"/>
      <c r="BC132" s="173"/>
      <c r="BD132" s="173"/>
      <c r="BE132" s="173"/>
      <c r="BF132" s="173"/>
      <c r="BG132" s="173"/>
      <c r="BH132" s="173"/>
      <c r="BI132" s="173"/>
      <c r="BJ132" s="173"/>
      <c r="BK132" s="173"/>
      <c r="BL132" s="173"/>
      <c r="BM132" s="173"/>
      <c r="BN132" s="173"/>
      <c r="BO132" s="324">
        <f t="shared" si="21"/>
        <v>163</v>
      </c>
      <c r="BP132" s="319">
        <v>40686</v>
      </c>
      <c r="BQ132" s="324">
        <v>143</v>
      </c>
      <c r="BR132" s="358">
        <v>20.438095238095237</v>
      </c>
      <c r="BS132" s="358">
        <v>2</v>
      </c>
      <c r="BT132" s="319">
        <v>40331</v>
      </c>
      <c r="BU132" s="324">
        <v>153</v>
      </c>
      <c r="BV132" s="358">
        <v>38.282857142857146</v>
      </c>
      <c r="BW132" s="358">
        <v>2</v>
      </c>
      <c r="BX132" s="319">
        <v>39965</v>
      </c>
      <c r="BY132" s="217">
        <v>152</v>
      </c>
      <c r="BZ132" s="219">
        <v>42.234285714285718</v>
      </c>
      <c r="CA132" s="262">
        <v>2</v>
      </c>
      <c r="CB132" s="218">
        <v>39597</v>
      </c>
      <c r="CC132" s="217">
        <f t="shared" si="22"/>
        <v>150</v>
      </c>
      <c r="CD132" s="219">
        <v>19.600000000000001</v>
      </c>
      <c r="CE132" s="217">
        <v>1</v>
      </c>
      <c r="CF132" s="220">
        <v>39223</v>
      </c>
      <c r="CG132" s="217">
        <f t="shared" si="23"/>
        <v>141</v>
      </c>
      <c r="CH132" s="211">
        <v>13.611999999999998</v>
      </c>
      <c r="CI132" s="262">
        <v>1</v>
      </c>
      <c r="CJ132" s="319">
        <v>38866</v>
      </c>
      <c r="CK132" s="217">
        <f t="shared" si="24"/>
        <v>149</v>
      </c>
      <c r="CL132" s="211">
        <v>26.96</v>
      </c>
      <c r="CM132" s="258">
        <v>1.8</v>
      </c>
      <c r="CN132" s="173"/>
      <c r="CO132" s="173"/>
      <c r="CP132" s="173"/>
      <c r="CQ132" s="173"/>
      <c r="CR132" s="173"/>
      <c r="CS132" s="173"/>
      <c r="CT132" s="173"/>
      <c r="CU132" s="173"/>
    </row>
    <row r="133" spans="1:99" s="4" customFormat="1">
      <c r="A133" s="16" t="s">
        <v>33</v>
      </c>
      <c r="B133" s="21">
        <v>41078</v>
      </c>
      <c r="C133" s="22" t="s">
        <v>87</v>
      </c>
      <c r="D133" s="265">
        <v>21.08</v>
      </c>
      <c r="E133" s="266">
        <v>13.23</v>
      </c>
      <c r="F133" s="266">
        <v>29.13</v>
      </c>
      <c r="G133" s="266">
        <v>22.18</v>
      </c>
      <c r="H133" s="267">
        <v>8.43</v>
      </c>
      <c r="I133" s="268">
        <v>47.18</v>
      </c>
      <c r="J133" s="269">
        <v>44.65</v>
      </c>
      <c r="K133" s="290">
        <v>2</v>
      </c>
      <c r="L133" s="265">
        <v>34.090000000000003</v>
      </c>
      <c r="M133" s="266">
        <v>38.4</v>
      </c>
      <c r="N133" s="266">
        <v>44.53</v>
      </c>
      <c r="O133" s="266">
        <v>61.85</v>
      </c>
      <c r="P133" s="271">
        <v>60.72</v>
      </c>
      <c r="Q133" s="268">
        <v>54.25</v>
      </c>
      <c r="R133" s="269">
        <v>51.19</v>
      </c>
      <c r="S133" s="290">
        <v>2</v>
      </c>
      <c r="T133" s="265">
        <v>38.799999999999997</v>
      </c>
      <c r="U133" s="266">
        <v>56.67</v>
      </c>
      <c r="V133" s="266">
        <v>60.37</v>
      </c>
      <c r="W133" s="266">
        <v>50.34</v>
      </c>
      <c r="X133" s="271">
        <v>29.55</v>
      </c>
      <c r="Y133" s="268">
        <v>33.659999999999997</v>
      </c>
      <c r="Z133" s="269">
        <v>45.11</v>
      </c>
      <c r="AA133" s="290">
        <v>2</v>
      </c>
      <c r="AB133" s="265">
        <v>34.770000000000003</v>
      </c>
      <c r="AC133" s="266">
        <v>29.58</v>
      </c>
      <c r="AD133" s="266">
        <v>27.96</v>
      </c>
      <c r="AE133" s="266">
        <v>28.86</v>
      </c>
      <c r="AF133" s="271">
        <v>25.41</v>
      </c>
      <c r="AG133" s="268">
        <v>34.799999999999997</v>
      </c>
      <c r="AH133" s="269">
        <v>43.76</v>
      </c>
      <c r="AI133" s="290">
        <v>2</v>
      </c>
      <c r="AJ133" s="265">
        <v>48.36</v>
      </c>
      <c r="AK133" s="266">
        <v>28.7</v>
      </c>
      <c r="AL133" s="266">
        <v>25.26</v>
      </c>
      <c r="AM133" s="266">
        <v>51.8</v>
      </c>
      <c r="AN133" s="271">
        <v>54.87</v>
      </c>
      <c r="AO133" s="268">
        <v>56.24</v>
      </c>
      <c r="AP133" s="269">
        <v>47.76</v>
      </c>
      <c r="AQ133" s="290">
        <v>2</v>
      </c>
      <c r="AR133" s="272">
        <v>47.95</v>
      </c>
      <c r="AS133" s="268">
        <v>59.17</v>
      </c>
      <c r="AT133" s="268">
        <v>50.76</v>
      </c>
      <c r="AU133" s="268">
        <v>35.159999999999997</v>
      </c>
      <c r="AV133" s="273">
        <v>65.06</v>
      </c>
      <c r="AW133" s="268">
        <v>62.23</v>
      </c>
      <c r="AX133" s="269">
        <v>48.83</v>
      </c>
      <c r="AY133" s="45">
        <v>2</v>
      </c>
      <c r="AZ133" s="19">
        <f t="shared" si="16"/>
        <v>39.529714285714284</v>
      </c>
      <c r="BA133" s="227">
        <f t="shared" si="17"/>
        <v>2</v>
      </c>
      <c r="BB133" s="173"/>
      <c r="BC133" s="173"/>
      <c r="BD133" s="173"/>
      <c r="BE133" s="173"/>
      <c r="BF133" s="173"/>
      <c r="BG133" s="173"/>
      <c r="BH133" s="173"/>
      <c r="BI133" s="173"/>
      <c r="BJ133" s="173"/>
      <c r="BK133" s="173"/>
      <c r="BL133" s="173"/>
      <c r="BM133" s="173"/>
      <c r="BN133" s="173"/>
      <c r="BO133" s="324">
        <f t="shared" si="21"/>
        <v>170</v>
      </c>
      <c r="BP133" s="319">
        <v>40689</v>
      </c>
      <c r="BQ133" s="324">
        <v>146</v>
      </c>
      <c r="BR133" s="358">
        <v>24.160095238095238</v>
      </c>
      <c r="BS133" s="358">
        <v>2</v>
      </c>
      <c r="BT133" s="319">
        <v>40336</v>
      </c>
      <c r="BU133" s="324">
        <v>158</v>
      </c>
      <c r="BV133" s="358">
        <v>41.94</v>
      </c>
      <c r="BW133" s="358">
        <v>2</v>
      </c>
      <c r="BX133" s="319">
        <v>39972</v>
      </c>
      <c r="BY133" s="217">
        <v>159</v>
      </c>
      <c r="BZ133" s="219">
        <v>45.691428571428574</v>
      </c>
      <c r="CA133" s="262">
        <v>2</v>
      </c>
      <c r="CB133" s="218">
        <v>39601</v>
      </c>
      <c r="CC133" s="217">
        <f t="shared" si="22"/>
        <v>154</v>
      </c>
      <c r="CD133" s="219">
        <v>31.560000000000002</v>
      </c>
      <c r="CE133" s="217">
        <v>2</v>
      </c>
      <c r="CF133" s="220">
        <v>39225</v>
      </c>
      <c r="CG133" s="217">
        <f t="shared" si="23"/>
        <v>143</v>
      </c>
      <c r="CH133" s="211">
        <v>16.684000000000001</v>
      </c>
      <c r="CI133" s="262">
        <v>1</v>
      </c>
      <c r="CJ133" s="319">
        <v>38868</v>
      </c>
      <c r="CK133" s="217">
        <f t="shared" si="24"/>
        <v>151</v>
      </c>
      <c r="CL133" s="211">
        <v>28.52</v>
      </c>
      <c r="CM133" s="258">
        <v>1.8</v>
      </c>
      <c r="CN133" s="173"/>
      <c r="CO133" s="173"/>
      <c r="CP133" s="173"/>
      <c r="CQ133" s="173"/>
      <c r="CR133" s="173"/>
      <c r="CS133" s="173"/>
      <c r="CT133" s="173"/>
      <c r="CU133" s="173"/>
    </row>
    <row r="134" spans="1:99" s="4" customFormat="1">
      <c r="A134" s="16" t="s">
        <v>33</v>
      </c>
      <c r="B134" s="21">
        <v>41085</v>
      </c>
      <c r="C134" s="22" t="s">
        <v>88</v>
      </c>
      <c r="D134" s="265">
        <v>21.08</v>
      </c>
      <c r="E134" s="266">
        <v>13.23</v>
      </c>
      <c r="F134" s="266">
        <v>30.32</v>
      </c>
      <c r="G134" s="266">
        <v>25.56</v>
      </c>
      <c r="H134" s="267">
        <v>9.0299999999999994</v>
      </c>
      <c r="I134" s="268">
        <v>48.72</v>
      </c>
      <c r="J134" s="269">
        <v>47.21</v>
      </c>
      <c r="K134" s="290">
        <v>2</v>
      </c>
      <c r="L134" s="265">
        <v>40.020000000000003</v>
      </c>
      <c r="M134" s="266">
        <v>39.619999999999997</v>
      </c>
      <c r="N134" s="266">
        <v>52.11</v>
      </c>
      <c r="O134" s="266">
        <v>62.61</v>
      </c>
      <c r="P134" s="271">
        <v>61.13</v>
      </c>
      <c r="Q134" s="268">
        <v>56.15</v>
      </c>
      <c r="R134" s="269">
        <v>51.88</v>
      </c>
      <c r="S134" s="290">
        <v>2</v>
      </c>
      <c r="T134" s="265">
        <v>44.28</v>
      </c>
      <c r="U134" s="266">
        <v>66.48</v>
      </c>
      <c r="V134" s="266">
        <v>74.430000000000007</v>
      </c>
      <c r="W134" s="266">
        <v>56.79</v>
      </c>
      <c r="X134" s="271">
        <v>42.41</v>
      </c>
      <c r="Y134" s="268">
        <v>40.14</v>
      </c>
      <c r="Z134" s="269">
        <v>58.95</v>
      </c>
      <c r="AA134" s="290">
        <v>2</v>
      </c>
      <c r="AB134" s="265">
        <v>36.979999999999997</v>
      </c>
      <c r="AC134" s="266">
        <v>38.58</v>
      </c>
      <c r="AD134" s="266">
        <v>29.65</v>
      </c>
      <c r="AE134" s="266">
        <v>34.11</v>
      </c>
      <c r="AF134" s="271">
        <v>31</v>
      </c>
      <c r="AG134" s="268">
        <v>39.630000000000003</v>
      </c>
      <c r="AH134" s="269">
        <v>46.27</v>
      </c>
      <c r="AI134" s="290">
        <v>2</v>
      </c>
      <c r="AJ134" s="265">
        <v>49.08</v>
      </c>
      <c r="AK134" s="266">
        <v>30.29</v>
      </c>
      <c r="AL134" s="266">
        <v>27.94</v>
      </c>
      <c r="AM134" s="266">
        <v>61.95</v>
      </c>
      <c r="AN134" s="271">
        <v>57.43</v>
      </c>
      <c r="AO134" s="268">
        <v>59.99</v>
      </c>
      <c r="AP134" s="269">
        <v>51.29</v>
      </c>
      <c r="AQ134" s="290">
        <v>2</v>
      </c>
      <c r="AR134" s="272">
        <v>52.74</v>
      </c>
      <c r="AS134" s="268">
        <v>65.349999999999994</v>
      </c>
      <c r="AT134" s="268">
        <v>57.88</v>
      </c>
      <c r="AU134" s="268">
        <v>42.17</v>
      </c>
      <c r="AV134" s="273">
        <v>80.55</v>
      </c>
      <c r="AW134" s="268">
        <v>67.8</v>
      </c>
      <c r="AX134" s="269">
        <v>52.95</v>
      </c>
      <c r="AY134" s="45">
        <v>2</v>
      </c>
      <c r="AZ134" s="19">
        <f t="shared" si="16"/>
        <v>43.895428571428582</v>
      </c>
      <c r="BA134" s="227">
        <f t="shared" si="17"/>
        <v>2</v>
      </c>
      <c r="BB134" s="173"/>
      <c r="BC134" s="173"/>
      <c r="BD134" s="173"/>
      <c r="BE134" s="173"/>
      <c r="BF134" s="173"/>
      <c r="BG134" s="173"/>
      <c r="BH134" s="173"/>
      <c r="BI134" s="173"/>
      <c r="BJ134" s="173"/>
      <c r="BK134" s="173"/>
      <c r="BL134" s="173"/>
      <c r="BM134" s="173"/>
      <c r="BN134" s="173"/>
      <c r="BO134" s="324">
        <f t="shared" ref="BO134:BO155" si="25">IF(B134=0,BO133,B134-DATE(YEAR(B134)-1,12,31))</f>
        <v>177</v>
      </c>
      <c r="BP134" s="319">
        <v>40693</v>
      </c>
      <c r="BQ134" s="324">
        <v>150</v>
      </c>
      <c r="BR134" s="358">
        <v>27.019666666666666</v>
      </c>
      <c r="BS134" s="358">
        <v>2</v>
      </c>
      <c r="BT134" s="319">
        <v>40344</v>
      </c>
      <c r="BU134" s="324">
        <v>166</v>
      </c>
      <c r="BV134" s="358">
        <v>44.754285714285714</v>
      </c>
      <c r="BW134" s="358">
        <v>2</v>
      </c>
      <c r="BX134" s="319">
        <v>39975</v>
      </c>
      <c r="BY134" s="217">
        <v>162</v>
      </c>
      <c r="BZ134" s="219">
        <v>48.085714285714282</v>
      </c>
      <c r="CA134" s="262">
        <v>2</v>
      </c>
      <c r="CB134" s="218">
        <v>39604</v>
      </c>
      <c r="CC134" s="217">
        <f t="shared" si="22"/>
        <v>157</v>
      </c>
      <c r="CD134" s="219">
        <v>38.923999999999999</v>
      </c>
      <c r="CE134" s="217">
        <v>2</v>
      </c>
      <c r="CF134" s="220">
        <v>39227</v>
      </c>
      <c r="CG134" s="217">
        <f t="shared" si="23"/>
        <v>145</v>
      </c>
      <c r="CH134" s="211">
        <v>19.744</v>
      </c>
      <c r="CI134" s="262">
        <v>1.6</v>
      </c>
      <c r="CJ134" s="319">
        <v>38870</v>
      </c>
      <c r="CK134" s="217">
        <f t="shared" si="24"/>
        <v>153</v>
      </c>
      <c r="CL134" s="211">
        <v>30.972000000000001</v>
      </c>
      <c r="CM134" s="258">
        <v>2</v>
      </c>
      <c r="CN134" s="173"/>
      <c r="CO134" s="173"/>
      <c r="CP134" s="173"/>
      <c r="CQ134" s="173"/>
      <c r="CR134" s="173"/>
      <c r="CS134" s="173"/>
      <c r="CT134" s="173"/>
      <c r="CU134" s="173"/>
    </row>
    <row r="135" spans="1:99" s="4" customFormat="1">
      <c r="A135" s="16" t="s">
        <v>33</v>
      </c>
      <c r="B135" s="21">
        <v>41093</v>
      </c>
      <c r="C135" s="22" t="s">
        <v>89</v>
      </c>
      <c r="D135" s="265">
        <v>21.08</v>
      </c>
      <c r="E135" s="266"/>
      <c r="F135" s="266">
        <v>30.32</v>
      </c>
      <c r="G135" s="266">
        <v>25.56</v>
      </c>
      <c r="H135" s="267">
        <v>11.38</v>
      </c>
      <c r="I135" s="268">
        <v>49.53</v>
      </c>
      <c r="J135" s="269">
        <v>47.46</v>
      </c>
      <c r="K135" s="290">
        <v>2</v>
      </c>
      <c r="L135" s="265">
        <v>40.020000000000003</v>
      </c>
      <c r="M135" s="266">
        <v>40.729999999999997</v>
      </c>
      <c r="N135" s="266">
        <v>53.05</v>
      </c>
      <c r="O135" s="266">
        <v>66.13</v>
      </c>
      <c r="P135" s="271">
        <v>63.65</v>
      </c>
      <c r="Q135" s="268">
        <v>56.65</v>
      </c>
      <c r="R135" s="269">
        <v>53.56</v>
      </c>
      <c r="S135" s="290">
        <v>2</v>
      </c>
      <c r="T135" s="265">
        <v>45.05</v>
      </c>
      <c r="U135" s="266">
        <v>66.94</v>
      </c>
      <c r="V135" s="266">
        <v>75.62</v>
      </c>
      <c r="W135" s="266">
        <v>57.19</v>
      </c>
      <c r="X135" s="271">
        <v>43.23</v>
      </c>
      <c r="Y135" s="268">
        <v>41.85</v>
      </c>
      <c r="Z135" s="269">
        <v>59.95</v>
      </c>
      <c r="AA135" s="290">
        <v>2</v>
      </c>
      <c r="AB135" s="265">
        <v>37.590000000000003</v>
      </c>
      <c r="AC135" s="266">
        <v>40.369999999999997</v>
      </c>
      <c r="AD135" s="266">
        <v>29.65</v>
      </c>
      <c r="AE135" s="266">
        <v>34.11</v>
      </c>
      <c r="AF135" s="271">
        <v>36.130000000000003</v>
      </c>
      <c r="AG135" s="268">
        <v>39.630000000000003</v>
      </c>
      <c r="AH135" s="269">
        <v>46.27</v>
      </c>
      <c r="AI135" s="290">
        <v>2</v>
      </c>
      <c r="AJ135" s="265">
        <v>53.93</v>
      </c>
      <c r="AK135" s="266">
        <v>30.29</v>
      </c>
      <c r="AL135" s="266">
        <v>33.119999999999997</v>
      </c>
      <c r="AM135" s="266">
        <v>66.239999999999995</v>
      </c>
      <c r="AN135" s="271">
        <v>58.47</v>
      </c>
      <c r="AO135" s="268">
        <v>61.04</v>
      </c>
      <c r="AP135" s="269">
        <v>51.29</v>
      </c>
      <c r="AQ135" s="290">
        <v>2</v>
      </c>
      <c r="AR135" s="272">
        <v>53.06</v>
      </c>
      <c r="AS135" s="268">
        <v>66.19</v>
      </c>
      <c r="AT135" s="268">
        <v>59.83</v>
      </c>
      <c r="AU135" s="268">
        <v>43.21</v>
      </c>
      <c r="AV135" s="273">
        <v>80.55</v>
      </c>
      <c r="AW135" s="268">
        <v>68.819999999999993</v>
      </c>
      <c r="AX135" s="269">
        <v>53.39</v>
      </c>
      <c r="AY135" s="45">
        <v>2</v>
      </c>
      <c r="AZ135" s="19">
        <f t="shared" si="16"/>
        <v>45.656238095238095</v>
      </c>
      <c r="BA135" s="227">
        <f t="shared" si="17"/>
        <v>2</v>
      </c>
      <c r="BB135" s="173"/>
      <c r="BC135" s="173"/>
      <c r="BD135" s="173"/>
      <c r="BE135" s="173"/>
      <c r="BF135" s="173"/>
      <c r="BG135" s="173"/>
      <c r="BH135" s="173"/>
      <c r="BI135" s="173"/>
      <c r="BJ135" s="173"/>
      <c r="BK135" s="173"/>
      <c r="BL135" s="173"/>
      <c r="BM135" s="173"/>
      <c r="BN135" s="173"/>
      <c r="BO135" s="324">
        <f t="shared" si="25"/>
        <v>185</v>
      </c>
      <c r="BP135" s="319">
        <v>40697</v>
      </c>
      <c r="BQ135" s="324">
        <v>154</v>
      </c>
      <c r="BR135" s="358">
        <v>34.925238095238093</v>
      </c>
      <c r="BS135" s="358">
        <v>2</v>
      </c>
      <c r="BT135" s="319">
        <v>40351</v>
      </c>
      <c r="BU135" s="324">
        <v>173</v>
      </c>
      <c r="BV135" s="358">
        <v>46.32</v>
      </c>
      <c r="BW135" s="358">
        <v>2</v>
      </c>
      <c r="BX135" s="319">
        <v>39982</v>
      </c>
      <c r="BY135" s="217">
        <v>169</v>
      </c>
      <c r="BZ135" s="219">
        <v>49.911428571428573</v>
      </c>
      <c r="CA135" s="262">
        <v>2</v>
      </c>
      <c r="CB135" s="218">
        <v>39610</v>
      </c>
      <c r="CC135" s="217">
        <f t="shared" si="22"/>
        <v>163</v>
      </c>
      <c r="CD135" s="219">
        <v>43.16</v>
      </c>
      <c r="CE135" s="217">
        <v>2</v>
      </c>
      <c r="CF135" s="220">
        <v>39230</v>
      </c>
      <c r="CG135" s="217">
        <f t="shared" si="23"/>
        <v>148</v>
      </c>
      <c r="CH135" s="211">
        <v>25.355999999999998</v>
      </c>
      <c r="CI135" s="262">
        <v>2</v>
      </c>
      <c r="CJ135" s="319">
        <v>38875</v>
      </c>
      <c r="CK135" s="217">
        <f t="shared" si="24"/>
        <v>158</v>
      </c>
      <c r="CL135" s="211">
        <v>36.347999999999999</v>
      </c>
      <c r="CM135" s="258">
        <v>2</v>
      </c>
      <c r="CN135" s="173"/>
      <c r="CO135" s="173"/>
      <c r="CP135" s="173"/>
      <c r="CQ135" s="173"/>
      <c r="CR135" s="173"/>
      <c r="CS135" s="173"/>
      <c r="CT135" s="173"/>
      <c r="CU135" s="173"/>
    </row>
    <row r="136" spans="1:99" s="4" customFormat="1">
      <c r="A136" s="16" t="s">
        <v>33</v>
      </c>
      <c r="B136" s="21">
        <v>41100</v>
      </c>
      <c r="C136" s="22" t="s">
        <v>89</v>
      </c>
      <c r="D136" s="265"/>
      <c r="E136" s="266"/>
      <c r="F136" s="266"/>
      <c r="G136" s="266"/>
      <c r="H136" s="267"/>
      <c r="I136" s="268">
        <v>51.52</v>
      </c>
      <c r="J136" s="269">
        <v>47.69</v>
      </c>
      <c r="K136" s="290">
        <v>3</v>
      </c>
      <c r="L136" s="265">
        <v>40.020000000000003</v>
      </c>
      <c r="M136" s="266">
        <v>41.7</v>
      </c>
      <c r="N136" s="266">
        <v>53.62</v>
      </c>
      <c r="O136" s="266">
        <v>66.13</v>
      </c>
      <c r="P136" s="271">
        <v>63.65</v>
      </c>
      <c r="Q136" s="268">
        <v>56.65</v>
      </c>
      <c r="R136" s="269">
        <v>53.9</v>
      </c>
      <c r="S136" s="290">
        <v>3</v>
      </c>
      <c r="T136" s="265">
        <v>46.74</v>
      </c>
      <c r="U136" s="266">
        <v>67.3</v>
      </c>
      <c r="V136" s="266">
        <v>77.64</v>
      </c>
      <c r="W136" s="266">
        <v>57.19</v>
      </c>
      <c r="X136" s="271">
        <v>43.63</v>
      </c>
      <c r="Y136" s="268">
        <v>41.85</v>
      </c>
      <c r="Z136" s="269">
        <v>59.95</v>
      </c>
      <c r="AA136" s="290">
        <v>3</v>
      </c>
      <c r="AB136" s="265">
        <v>39.75</v>
      </c>
      <c r="AC136" s="266">
        <v>41.06</v>
      </c>
      <c r="AD136" s="266">
        <v>29.65</v>
      </c>
      <c r="AE136" s="266">
        <v>34.11</v>
      </c>
      <c r="AF136" s="271">
        <v>36.130000000000003</v>
      </c>
      <c r="AG136" s="268">
        <v>39.630000000000003</v>
      </c>
      <c r="AH136" s="269">
        <v>46.27</v>
      </c>
      <c r="AI136" s="290">
        <v>3</v>
      </c>
      <c r="AJ136" s="265">
        <v>53.93</v>
      </c>
      <c r="AK136" s="266">
        <v>30.29</v>
      </c>
      <c r="AL136" s="266">
        <v>33.119999999999997</v>
      </c>
      <c r="AM136" s="266">
        <v>66.239999999999995</v>
      </c>
      <c r="AN136" s="271">
        <v>58.47</v>
      </c>
      <c r="AO136" s="268">
        <v>61.42</v>
      </c>
      <c r="AP136" s="269">
        <v>51.29</v>
      </c>
      <c r="AQ136" s="290">
        <v>3</v>
      </c>
      <c r="AR136" s="272">
        <v>54.58</v>
      </c>
      <c r="AS136" s="268">
        <v>67.11</v>
      </c>
      <c r="AT136" s="268">
        <v>59.83</v>
      </c>
      <c r="AU136" s="268">
        <v>43.21</v>
      </c>
      <c r="AV136" s="273">
        <v>80.55</v>
      </c>
      <c r="AW136" s="268">
        <v>69.77</v>
      </c>
      <c r="AX136" s="269">
        <v>53.39</v>
      </c>
      <c r="AY136" s="45">
        <v>3</v>
      </c>
      <c r="AZ136" s="19">
        <f t="shared" si="16"/>
        <v>49.673285714285711</v>
      </c>
      <c r="BA136" s="227">
        <f t="shared" si="17"/>
        <v>3</v>
      </c>
      <c r="BB136" s="173"/>
      <c r="BC136" s="173"/>
      <c r="BD136" s="173"/>
      <c r="BE136" s="173"/>
      <c r="BF136" s="173"/>
      <c r="BG136" s="173"/>
      <c r="BH136" s="173"/>
      <c r="BI136" s="173"/>
      <c r="BJ136" s="173"/>
      <c r="BK136" s="173"/>
      <c r="BL136" s="173"/>
      <c r="BM136" s="173"/>
      <c r="BN136" s="173"/>
      <c r="BO136" s="324">
        <f t="shared" si="25"/>
        <v>192</v>
      </c>
      <c r="BP136" s="319">
        <v>40702</v>
      </c>
      <c r="BQ136" s="324">
        <v>159</v>
      </c>
      <c r="BR136" s="358">
        <v>44.092904761904755</v>
      </c>
      <c r="BS136" s="358">
        <v>2</v>
      </c>
      <c r="BT136" s="319">
        <v>40358</v>
      </c>
      <c r="BU136" s="324">
        <v>180</v>
      </c>
      <c r="BV136" s="358">
        <v>46.708571428571432</v>
      </c>
      <c r="BW136" s="358">
        <v>2</v>
      </c>
      <c r="BX136" s="319">
        <v>39986</v>
      </c>
      <c r="BY136" s="217">
        <v>173</v>
      </c>
      <c r="BZ136" s="219">
        <v>51.471428571428568</v>
      </c>
      <c r="CA136" s="262">
        <v>2</v>
      </c>
      <c r="CB136" s="218">
        <v>39617</v>
      </c>
      <c r="CC136" s="217">
        <f t="shared" si="22"/>
        <v>170</v>
      </c>
      <c r="CD136" s="219">
        <v>46.315999999999995</v>
      </c>
      <c r="CE136" s="217">
        <v>2</v>
      </c>
      <c r="CF136" s="220">
        <v>39233</v>
      </c>
      <c r="CG136" s="217">
        <f t="shared" si="23"/>
        <v>151</v>
      </c>
      <c r="CH136" s="211">
        <v>31.715999999999998</v>
      </c>
      <c r="CI136" s="262">
        <v>2</v>
      </c>
      <c r="CJ136" s="319">
        <v>38877</v>
      </c>
      <c r="CK136" s="217">
        <f t="shared" si="24"/>
        <v>160</v>
      </c>
      <c r="CL136" s="211">
        <v>39.904000000000003</v>
      </c>
      <c r="CM136" s="258">
        <v>2</v>
      </c>
      <c r="CN136" s="173"/>
      <c r="CO136" s="173"/>
      <c r="CP136" s="173"/>
      <c r="CQ136" s="173"/>
      <c r="CR136" s="173"/>
      <c r="CS136" s="173"/>
      <c r="CT136" s="173"/>
      <c r="CU136" s="173"/>
    </row>
    <row r="137" spans="1:99" s="4" customFormat="1">
      <c r="A137" s="16" t="s">
        <v>33</v>
      </c>
      <c r="B137" s="21">
        <v>41106</v>
      </c>
      <c r="C137" s="22" t="s">
        <v>89</v>
      </c>
      <c r="D137" s="265"/>
      <c r="E137" s="266"/>
      <c r="F137" s="266"/>
      <c r="G137" s="266"/>
      <c r="H137" s="267"/>
      <c r="I137" s="268">
        <v>51.52</v>
      </c>
      <c r="J137" s="269">
        <v>47.69</v>
      </c>
      <c r="K137" s="290">
        <v>3</v>
      </c>
      <c r="L137" s="265">
        <v>40.020000000000003</v>
      </c>
      <c r="M137" s="266">
        <v>41.7</v>
      </c>
      <c r="N137" s="266">
        <v>53.62</v>
      </c>
      <c r="O137" s="266">
        <v>66.13</v>
      </c>
      <c r="P137" s="271">
        <v>63.65</v>
      </c>
      <c r="Q137" s="268">
        <v>56.65</v>
      </c>
      <c r="R137" s="269">
        <v>53.9</v>
      </c>
      <c r="S137" s="290">
        <v>3</v>
      </c>
      <c r="T137" s="265">
        <v>46.74</v>
      </c>
      <c r="U137" s="266">
        <v>67.3</v>
      </c>
      <c r="V137" s="266">
        <v>77.64</v>
      </c>
      <c r="W137" s="266">
        <v>57.19</v>
      </c>
      <c r="X137" s="271">
        <v>43.63</v>
      </c>
      <c r="Y137" s="268">
        <v>41.85</v>
      </c>
      <c r="Z137" s="269">
        <v>59.95</v>
      </c>
      <c r="AA137" s="290">
        <v>3</v>
      </c>
      <c r="AB137" s="265">
        <v>39.75</v>
      </c>
      <c r="AC137" s="266">
        <v>41.06</v>
      </c>
      <c r="AD137" s="266">
        <v>29.65</v>
      </c>
      <c r="AE137" s="266">
        <v>34.11</v>
      </c>
      <c r="AF137" s="271">
        <v>36.130000000000003</v>
      </c>
      <c r="AG137" s="268">
        <v>39.630000000000003</v>
      </c>
      <c r="AH137" s="269">
        <v>46.27</v>
      </c>
      <c r="AI137" s="290">
        <v>3</v>
      </c>
      <c r="AJ137" s="265">
        <v>53.93</v>
      </c>
      <c r="AK137" s="266">
        <v>30.29</v>
      </c>
      <c r="AL137" s="266">
        <v>33.119999999999997</v>
      </c>
      <c r="AM137" s="266">
        <v>66.239999999999995</v>
      </c>
      <c r="AN137" s="271">
        <v>58.47</v>
      </c>
      <c r="AO137" s="268">
        <v>61.42</v>
      </c>
      <c r="AP137" s="269">
        <v>51.29</v>
      </c>
      <c r="AQ137" s="290">
        <v>3</v>
      </c>
      <c r="AR137" s="272">
        <v>54.58</v>
      </c>
      <c r="AS137" s="268">
        <v>67.11</v>
      </c>
      <c r="AT137" s="268">
        <v>59.83</v>
      </c>
      <c r="AU137" s="268">
        <v>43.21</v>
      </c>
      <c r="AV137" s="273">
        <v>80.55</v>
      </c>
      <c r="AW137" s="268">
        <v>69.77</v>
      </c>
      <c r="AX137" s="269">
        <v>53.39</v>
      </c>
      <c r="AY137" s="45">
        <v>3</v>
      </c>
      <c r="AZ137" s="19">
        <f t="shared" si="16"/>
        <v>49.673285714285711</v>
      </c>
      <c r="BA137" s="227">
        <f t="shared" si="17"/>
        <v>3</v>
      </c>
      <c r="BB137" s="173"/>
      <c r="BC137" s="173"/>
      <c r="BD137" s="173"/>
      <c r="BE137" s="173"/>
      <c r="BF137" s="173"/>
      <c r="BG137" s="173"/>
      <c r="BH137" s="173"/>
      <c r="BI137" s="173"/>
      <c r="BJ137" s="173"/>
      <c r="BK137" s="173"/>
      <c r="BL137" s="173"/>
      <c r="BM137" s="173"/>
      <c r="BN137" s="173"/>
      <c r="BO137" s="324">
        <f t="shared" si="25"/>
        <v>198</v>
      </c>
      <c r="BP137" s="319">
        <v>40707</v>
      </c>
      <c r="BQ137" s="324">
        <v>164</v>
      </c>
      <c r="BR137" s="358">
        <v>45.97966666666666</v>
      </c>
      <c r="BS137" s="358">
        <v>2</v>
      </c>
      <c r="BT137" s="319">
        <v>40365</v>
      </c>
      <c r="BU137" s="324">
        <v>187</v>
      </c>
      <c r="BV137" s="358">
        <v>46.977142857142852</v>
      </c>
      <c r="BW137" s="358">
        <v>2</v>
      </c>
      <c r="BX137" s="319">
        <v>39997</v>
      </c>
      <c r="BY137" s="217">
        <v>184</v>
      </c>
      <c r="BZ137" s="219">
        <v>52.64</v>
      </c>
      <c r="CA137" s="262">
        <v>2</v>
      </c>
      <c r="CB137" s="218">
        <v>39625</v>
      </c>
      <c r="CC137" s="217">
        <f t="shared" si="22"/>
        <v>178</v>
      </c>
      <c r="CD137" s="219">
        <v>47.508000000000003</v>
      </c>
      <c r="CE137" s="217">
        <v>3</v>
      </c>
      <c r="CF137" s="220">
        <v>39237</v>
      </c>
      <c r="CG137" s="217">
        <f t="shared" si="23"/>
        <v>155</v>
      </c>
      <c r="CH137" s="211">
        <v>39.003999999999998</v>
      </c>
      <c r="CI137" s="262">
        <v>2</v>
      </c>
      <c r="CJ137" s="319">
        <v>38880</v>
      </c>
      <c r="CK137" s="217">
        <f t="shared" si="24"/>
        <v>163</v>
      </c>
      <c r="CL137" s="211">
        <v>43.043999999999997</v>
      </c>
      <c r="CM137" s="258">
        <v>2</v>
      </c>
      <c r="CN137" s="173"/>
      <c r="CO137" s="173"/>
      <c r="CP137" s="173"/>
      <c r="CQ137" s="173"/>
      <c r="CR137" s="173"/>
      <c r="CS137" s="173"/>
      <c r="CT137" s="173"/>
      <c r="CU137" s="173"/>
    </row>
    <row r="138" spans="1:99" s="4" customFormat="1">
      <c r="A138" s="16" t="s">
        <v>33</v>
      </c>
      <c r="B138" s="21">
        <v>41113</v>
      </c>
      <c r="C138" s="22" t="s">
        <v>89</v>
      </c>
      <c r="D138" s="265"/>
      <c r="E138" s="266"/>
      <c r="F138" s="266"/>
      <c r="G138" s="266"/>
      <c r="H138" s="267"/>
      <c r="I138" s="268">
        <v>51.52</v>
      </c>
      <c r="J138" s="269">
        <v>47.69</v>
      </c>
      <c r="K138" s="290">
        <v>3</v>
      </c>
      <c r="L138" s="265">
        <v>40.020000000000003</v>
      </c>
      <c r="M138" s="266">
        <v>41.7</v>
      </c>
      <c r="N138" s="266">
        <v>53.62</v>
      </c>
      <c r="O138" s="266">
        <v>66.13</v>
      </c>
      <c r="P138" s="271">
        <v>63.65</v>
      </c>
      <c r="Q138" s="268">
        <v>56.65</v>
      </c>
      <c r="R138" s="269">
        <v>53.9</v>
      </c>
      <c r="S138" s="290">
        <v>3</v>
      </c>
      <c r="T138" s="265">
        <v>46.74</v>
      </c>
      <c r="U138" s="266">
        <v>67.3</v>
      </c>
      <c r="V138" s="266">
        <v>77.64</v>
      </c>
      <c r="W138" s="266">
        <v>57.19</v>
      </c>
      <c r="X138" s="271">
        <v>43.63</v>
      </c>
      <c r="Y138" s="268">
        <v>41.85</v>
      </c>
      <c r="Z138" s="269">
        <v>59.95</v>
      </c>
      <c r="AA138" s="290">
        <v>3</v>
      </c>
      <c r="AB138" s="265">
        <v>39.75</v>
      </c>
      <c r="AC138" s="266">
        <v>41.06</v>
      </c>
      <c r="AD138" s="266">
        <v>29.65</v>
      </c>
      <c r="AE138" s="266">
        <v>34.11</v>
      </c>
      <c r="AF138" s="271">
        <v>36.130000000000003</v>
      </c>
      <c r="AG138" s="268">
        <v>39.630000000000003</v>
      </c>
      <c r="AH138" s="269">
        <v>46.27</v>
      </c>
      <c r="AI138" s="290">
        <v>3</v>
      </c>
      <c r="AJ138" s="265">
        <v>53.93</v>
      </c>
      <c r="AK138" s="266">
        <v>30.29</v>
      </c>
      <c r="AL138" s="266">
        <v>33.119999999999997</v>
      </c>
      <c r="AM138" s="266">
        <v>66.239999999999995</v>
      </c>
      <c r="AN138" s="271">
        <v>58.47</v>
      </c>
      <c r="AO138" s="268">
        <v>61.42</v>
      </c>
      <c r="AP138" s="269">
        <v>51.29</v>
      </c>
      <c r="AQ138" s="290">
        <v>3</v>
      </c>
      <c r="AR138" s="272">
        <v>54.58</v>
      </c>
      <c r="AS138" s="268">
        <v>67.11</v>
      </c>
      <c r="AT138" s="268">
        <v>59.83</v>
      </c>
      <c r="AU138" s="268">
        <v>43.21</v>
      </c>
      <c r="AV138" s="273">
        <v>80.55</v>
      </c>
      <c r="AW138" s="268">
        <v>69.77</v>
      </c>
      <c r="AX138" s="269">
        <v>53.39</v>
      </c>
      <c r="AY138" s="45">
        <v>3</v>
      </c>
      <c r="AZ138" s="19">
        <f t="shared" si="16"/>
        <v>49.673285714285711</v>
      </c>
      <c r="BA138" s="227">
        <f t="shared" si="17"/>
        <v>3</v>
      </c>
      <c r="BB138" s="173"/>
      <c r="BC138" s="173"/>
      <c r="BD138" s="173"/>
      <c r="BE138" s="173"/>
      <c r="BF138" s="173"/>
      <c r="BG138" s="173"/>
      <c r="BH138" s="173"/>
      <c r="BI138" s="173"/>
      <c r="BJ138" s="173"/>
      <c r="BK138" s="173"/>
      <c r="BL138" s="173"/>
      <c r="BM138" s="173"/>
      <c r="BN138" s="173"/>
      <c r="BO138" s="324">
        <f t="shared" si="25"/>
        <v>205</v>
      </c>
      <c r="BP138" s="319">
        <v>40716</v>
      </c>
      <c r="BQ138" s="324">
        <v>173</v>
      </c>
      <c r="BR138" s="358">
        <v>47.398000000000003</v>
      </c>
      <c r="BS138" s="358">
        <v>2</v>
      </c>
      <c r="BT138" s="319">
        <v>40373</v>
      </c>
      <c r="BU138" s="324">
        <v>195</v>
      </c>
      <c r="BV138" s="358">
        <v>47.182857142857145</v>
      </c>
      <c r="BW138" s="358">
        <v>2</v>
      </c>
      <c r="BX138" s="319">
        <v>40003</v>
      </c>
      <c r="BY138" s="217">
        <v>190</v>
      </c>
      <c r="BZ138" s="219"/>
      <c r="CA138" s="262">
        <v>3</v>
      </c>
      <c r="CB138" s="218">
        <v>39686</v>
      </c>
      <c r="CC138" s="217">
        <f t="shared" si="22"/>
        <v>239</v>
      </c>
      <c r="CD138" s="219"/>
      <c r="CE138" s="217">
        <v>3.8</v>
      </c>
      <c r="CF138" s="220">
        <v>39241</v>
      </c>
      <c r="CG138" s="217">
        <f t="shared" si="23"/>
        <v>159</v>
      </c>
      <c r="CH138" s="211">
        <v>42.432000000000002</v>
      </c>
      <c r="CI138" s="262">
        <v>2</v>
      </c>
      <c r="CJ138" s="319">
        <v>38882</v>
      </c>
      <c r="CK138" s="217">
        <f t="shared" si="24"/>
        <v>165</v>
      </c>
      <c r="CL138" s="211">
        <v>44.355999999999995</v>
      </c>
      <c r="CM138" s="258">
        <v>2</v>
      </c>
      <c r="CN138" s="173"/>
      <c r="CO138" s="173"/>
      <c r="CP138" s="173"/>
      <c r="CQ138" s="173"/>
      <c r="CR138" s="173"/>
      <c r="CS138" s="173"/>
      <c r="CT138" s="173"/>
      <c r="CU138" s="173"/>
    </row>
    <row r="139" spans="1:99" s="4" customFormat="1">
      <c r="A139" s="16" t="s">
        <v>33</v>
      </c>
      <c r="B139" s="21">
        <v>41137</v>
      </c>
      <c r="C139" s="22" t="s">
        <v>87</v>
      </c>
      <c r="D139" s="265"/>
      <c r="E139" s="266"/>
      <c r="F139" s="266"/>
      <c r="G139" s="266"/>
      <c r="H139" s="267"/>
      <c r="I139" s="268"/>
      <c r="J139" s="269"/>
      <c r="K139" s="290">
        <v>4</v>
      </c>
      <c r="L139" s="265"/>
      <c r="M139" s="266"/>
      <c r="N139" s="266"/>
      <c r="O139" s="266"/>
      <c r="P139" s="271"/>
      <c r="Q139" s="268"/>
      <c r="R139" s="269"/>
      <c r="S139" s="290">
        <v>4</v>
      </c>
      <c r="T139" s="265"/>
      <c r="U139" s="266"/>
      <c r="V139" s="266"/>
      <c r="W139" s="266"/>
      <c r="X139" s="271"/>
      <c r="Y139" s="268"/>
      <c r="Z139" s="269"/>
      <c r="AA139" s="290">
        <v>4</v>
      </c>
      <c r="AB139" s="265"/>
      <c r="AC139" s="266"/>
      <c r="AD139" s="266"/>
      <c r="AE139" s="266"/>
      <c r="AF139" s="271"/>
      <c r="AG139" s="268"/>
      <c r="AH139" s="269"/>
      <c r="AI139" s="290">
        <v>4</v>
      </c>
      <c r="AJ139" s="265"/>
      <c r="AK139" s="266"/>
      <c r="AL139" s="266"/>
      <c r="AM139" s="266"/>
      <c r="AN139" s="271"/>
      <c r="AO139" s="268"/>
      <c r="AP139" s="269"/>
      <c r="AQ139" s="290">
        <v>4</v>
      </c>
      <c r="AR139" s="272"/>
      <c r="AS139" s="268"/>
      <c r="AT139" s="268"/>
      <c r="AU139" s="268"/>
      <c r="AV139" s="273"/>
      <c r="AW139" s="268"/>
      <c r="AX139" s="269"/>
      <c r="AY139" s="45">
        <v>4</v>
      </c>
      <c r="AZ139" s="19">
        <f t="shared" si="16"/>
        <v>49.673285714285711</v>
      </c>
      <c r="BA139" s="227">
        <f t="shared" si="17"/>
        <v>4</v>
      </c>
      <c r="BB139" s="173"/>
      <c r="BC139" s="173"/>
      <c r="BD139" s="173"/>
      <c r="BE139" s="173"/>
      <c r="BF139" s="173"/>
      <c r="BG139" s="173"/>
      <c r="BH139" s="173"/>
      <c r="BI139" s="173"/>
      <c r="BJ139" s="173"/>
      <c r="BK139" s="173"/>
      <c r="BL139" s="173"/>
      <c r="BM139" s="173"/>
      <c r="BN139" s="173"/>
      <c r="BO139" s="324">
        <f t="shared" si="25"/>
        <v>229</v>
      </c>
      <c r="BP139" s="319">
        <v>40722</v>
      </c>
      <c r="BQ139" s="324">
        <v>179</v>
      </c>
      <c r="BR139" s="358">
        <v>46.111723809523809</v>
      </c>
      <c r="BS139" s="358">
        <v>2</v>
      </c>
      <c r="BT139" s="319">
        <v>40379</v>
      </c>
      <c r="BU139" s="324">
        <v>201</v>
      </c>
      <c r="BV139" s="358">
        <v>47.22</v>
      </c>
      <c r="BW139" s="358">
        <v>2</v>
      </c>
      <c r="BX139" s="319">
        <v>40044</v>
      </c>
      <c r="BY139" s="217">
        <v>231</v>
      </c>
      <c r="BZ139" s="219"/>
      <c r="CA139" s="262">
        <v>4</v>
      </c>
      <c r="CB139" s="218">
        <v>39693</v>
      </c>
      <c r="CC139" s="217">
        <f t="shared" si="22"/>
        <v>246</v>
      </c>
      <c r="CD139" s="219"/>
      <c r="CE139" s="217">
        <v>4</v>
      </c>
      <c r="CF139" s="220">
        <v>39244</v>
      </c>
      <c r="CG139" s="217">
        <f t="shared" si="23"/>
        <v>162</v>
      </c>
      <c r="CH139" s="211">
        <v>43.236000000000004</v>
      </c>
      <c r="CI139" s="262">
        <v>2</v>
      </c>
      <c r="CJ139" s="319">
        <v>38884</v>
      </c>
      <c r="CK139" s="217">
        <f t="shared" si="24"/>
        <v>167</v>
      </c>
      <c r="CL139" s="211">
        <v>44.872</v>
      </c>
      <c r="CM139" s="258">
        <v>2.2000000000000002</v>
      </c>
      <c r="CN139" s="173"/>
      <c r="CO139" s="173"/>
      <c r="CP139" s="173"/>
      <c r="CQ139" s="173"/>
      <c r="CR139" s="173"/>
      <c r="CS139" s="173"/>
      <c r="CT139" s="173"/>
      <c r="CU139" s="173"/>
    </row>
    <row r="140" spans="1:99" s="4" customFormat="1">
      <c r="A140" s="16" t="s">
        <v>33</v>
      </c>
      <c r="B140" s="21">
        <v>41143</v>
      </c>
      <c r="C140" s="22" t="s">
        <v>87</v>
      </c>
      <c r="D140" s="265"/>
      <c r="E140" s="266"/>
      <c r="F140" s="266"/>
      <c r="G140" s="266"/>
      <c r="H140" s="267"/>
      <c r="I140" s="268"/>
      <c r="J140" s="269"/>
      <c r="K140" s="290">
        <v>4</v>
      </c>
      <c r="L140" s="265"/>
      <c r="M140" s="266"/>
      <c r="N140" s="266"/>
      <c r="O140" s="266"/>
      <c r="P140" s="271"/>
      <c r="Q140" s="268"/>
      <c r="R140" s="269"/>
      <c r="S140" s="290">
        <v>4</v>
      </c>
      <c r="T140" s="265"/>
      <c r="U140" s="266"/>
      <c r="V140" s="266"/>
      <c r="W140" s="266"/>
      <c r="X140" s="271"/>
      <c r="Y140" s="268"/>
      <c r="Z140" s="269"/>
      <c r="AA140" s="290">
        <v>4</v>
      </c>
      <c r="AB140" s="265"/>
      <c r="AC140" s="266"/>
      <c r="AD140" s="266"/>
      <c r="AE140" s="266"/>
      <c r="AF140" s="271"/>
      <c r="AG140" s="268"/>
      <c r="AH140" s="269"/>
      <c r="AI140" s="290">
        <v>4</v>
      </c>
      <c r="AJ140" s="265"/>
      <c r="AK140" s="266"/>
      <c r="AL140" s="266"/>
      <c r="AM140" s="266"/>
      <c r="AN140" s="271"/>
      <c r="AO140" s="268"/>
      <c r="AP140" s="269"/>
      <c r="AQ140" s="290">
        <v>4</v>
      </c>
      <c r="AR140" s="272"/>
      <c r="AS140" s="268"/>
      <c r="AT140" s="268"/>
      <c r="AU140" s="268"/>
      <c r="AV140" s="273"/>
      <c r="AW140" s="268"/>
      <c r="AX140" s="269"/>
      <c r="AY140" s="45">
        <v>4</v>
      </c>
      <c r="AZ140" s="19">
        <f t="shared" si="16"/>
        <v>49.673285714285711</v>
      </c>
      <c r="BA140" s="227">
        <f t="shared" si="17"/>
        <v>4</v>
      </c>
      <c r="BB140" s="173"/>
      <c r="BC140" s="173"/>
      <c r="BD140" s="173"/>
      <c r="BE140" s="173"/>
      <c r="BF140" s="173"/>
      <c r="BG140" s="173"/>
      <c r="BH140" s="173"/>
      <c r="BI140" s="173"/>
      <c r="BJ140" s="173"/>
      <c r="BK140" s="173"/>
      <c r="BL140" s="173"/>
      <c r="BM140" s="173"/>
      <c r="BN140" s="173"/>
      <c r="BO140" s="324">
        <f t="shared" si="25"/>
        <v>235</v>
      </c>
      <c r="BP140" s="319">
        <v>40730</v>
      </c>
      <c r="BQ140" s="324">
        <v>187</v>
      </c>
      <c r="BR140" s="358">
        <v>47.157057142857141</v>
      </c>
      <c r="BS140" s="358">
        <v>2</v>
      </c>
      <c r="BT140" s="319">
        <v>40386</v>
      </c>
      <c r="BU140" s="324">
        <v>208</v>
      </c>
      <c r="BV140" s="358">
        <v>47.288571428571423</v>
      </c>
      <c r="BW140" s="358">
        <v>2.2000000000000002</v>
      </c>
      <c r="BX140" s="319">
        <v>40051</v>
      </c>
      <c r="BY140" s="217">
        <v>238</v>
      </c>
      <c r="BZ140" s="219"/>
      <c r="CA140" s="262">
        <v>4</v>
      </c>
      <c r="CB140" s="218">
        <v>39699</v>
      </c>
      <c r="CC140" s="217">
        <f t="shared" si="22"/>
        <v>252</v>
      </c>
      <c r="CD140" s="219"/>
      <c r="CE140" s="217">
        <v>4</v>
      </c>
      <c r="CF140" s="220">
        <v>39251</v>
      </c>
      <c r="CG140" s="217">
        <f t="shared" si="23"/>
        <v>169</v>
      </c>
      <c r="CH140" s="211">
        <v>43.956000000000003</v>
      </c>
      <c r="CI140" s="262">
        <v>3</v>
      </c>
      <c r="CJ140" s="319">
        <v>38887</v>
      </c>
      <c r="CK140" s="217">
        <f t="shared" si="24"/>
        <v>170</v>
      </c>
      <c r="CL140" s="211">
        <v>45.467999999999996</v>
      </c>
      <c r="CM140" s="258">
        <v>3</v>
      </c>
      <c r="CN140" s="173"/>
      <c r="CO140" s="173"/>
      <c r="CP140" s="173"/>
      <c r="CQ140" s="173"/>
      <c r="CR140" s="173"/>
      <c r="CS140" s="173"/>
      <c r="CT140" s="173"/>
      <c r="CU140" s="173"/>
    </row>
    <row r="141" spans="1:99" s="4" customFormat="1">
      <c r="A141" s="16" t="s">
        <v>33</v>
      </c>
      <c r="B141" s="21">
        <v>41149</v>
      </c>
      <c r="C141" s="22" t="s">
        <v>87</v>
      </c>
      <c r="D141" s="265"/>
      <c r="E141" s="266"/>
      <c r="F141" s="266"/>
      <c r="G141" s="266"/>
      <c r="H141" s="267"/>
      <c r="I141" s="268"/>
      <c r="J141" s="269"/>
      <c r="K141" s="290">
        <v>4</v>
      </c>
      <c r="L141" s="265"/>
      <c r="M141" s="266"/>
      <c r="N141" s="266"/>
      <c r="O141" s="266"/>
      <c r="P141" s="271"/>
      <c r="Q141" s="268"/>
      <c r="R141" s="269"/>
      <c r="S141" s="290">
        <v>4</v>
      </c>
      <c r="T141" s="265"/>
      <c r="U141" s="266"/>
      <c r="V141" s="266"/>
      <c r="W141" s="266"/>
      <c r="X141" s="271"/>
      <c r="Y141" s="268"/>
      <c r="Z141" s="269"/>
      <c r="AA141" s="290">
        <v>4</v>
      </c>
      <c r="AB141" s="265"/>
      <c r="AC141" s="266"/>
      <c r="AD141" s="266"/>
      <c r="AE141" s="266"/>
      <c r="AF141" s="271"/>
      <c r="AG141" s="268"/>
      <c r="AH141" s="269"/>
      <c r="AI141" s="290">
        <v>4</v>
      </c>
      <c r="AJ141" s="265"/>
      <c r="AK141" s="266"/>
      <c r="AL141" s="266"/>
      <c r="AM141" s="266"/>
      <c r="AN141" s="271"/>
      <c r="AO141" s="268"/>
      <c r="AP141" s="269"/>
      <c r="AQ141" s="290">
        <v>4</v>
      </c>
      <c r="AR141" s="272"/>
      <c r="AS141" s="268"/>
      <c r="AT141" s="268"/>
      <c r="AU141" s="268"/>
      <c r="AV141" s="273"/>
      <c r="AW141" s="268"/>
      <c r="AX141" s="269"/>
      <c r="AY141" s="45">
        <v>4</v>
      </c>
      <c r="AZ141" s="19">
        <f t="shared" si="16"/>
        <v>49.673285714285711</v>
      </c>
      <c r="BA141" s="227">
        <f t="shared" si="17"/>
        <v>4</v>
      </c>
      <c r="BB141" s="173"/>
      <c r="BC141" s="173"/>
      <c r="BD141" s="173"/>
      <c r="BE141" s="173"/>
      <c r="BF141" s="173"/>
      <c r="BG141" s="173"/>
      <c r="BH141" s="173"/>
      <c r="BI141" s="173"/>
      <c r="BJ141" s="173"/>
      <c r="BK141" s="173"/>
      <c r="BL141" s="173"/>
      <c r="BM141" s="173"/>
      <c r="BN141" s="173"/>
      <c r="BO141" s="324">
        <f t="shared" si="25"/>
        <v>241</v>
      </c>
      <c r="BP141" s="319">
        <v>40737</v>
      </c>
      <c r="BQ141" s="324">
        <v>194</v>
      </c>
      <c r="BR141" s="358">
        <v>47.70153333333333</v>
      </c>
      <c r="BS141" s="358">
        <v>2</v>
      </c>
      <c r="BT141" s="319">
        <v>40393</v>
      </c>
      <c r="BU141" s="324">
        <v>215</v>
      </c>
      <c r="BV141" s="358">
        <v>47.302857142857142</v>
      </c>
      <c r="BW141" s="358">
        <v>2.8</v>
      </c>
      <c r="BX141" s="319">
        <v>40058</v>
      </c>
      <c r="BY141" s="217">
        <v>245</v>
      </c>
      <c r="BZ141" s="219"/>
      <c r="CA141" s="262">
        <v>4</v>
      </c>
      <c r="CB141" s="218">
        <v>39706</v>
      </c>
      <c r="CC141" s="217">
        <f t="shared" si="22"/>
        <v>259</v>
      </c>
      <c r="CD141" s="219"/>
      <c r="CE141" s="217">
        <v>4</v>
      </c>
      <c r="CF141" s="220">
        <v>39258</v>
      </c>
      <c r="CG141" s="217">
        <f t="shared" si="23"/>
        <v>176</v>
      </c>
      <c r="CH141" s="211">
        <v>43.972000000000001</v>
      </c>
      <c r="CI141" s="262">
        <v>3</v>
      </c>
      <c r="CJ141" s="319">
        <v>38890</v>
      </c>
      <c r="CK141" s="217">
        <f t="shared" si="24"/>
        <v>173</v>
      </c>
      <c r="CL141" s="211">
        <v>45.488</v>
      </c>
      <c r="CM141" s="258"/>
      <c r="CN141" s="173"/>
      <c r="CO141" s="173"/>
      <c r="CP141" s="173"/>
      <c r="CQ141" s="173"/>
      <c r="CR141" s="173"/>
      <c r="CS141" s="173"/>
      <c r="CT141" s="173"/>
      <c r="CU141" s="173"/>
    </row>
    <row r="142" spans="1:99" s="4" customFormat="1">
      <c r="A142" s="16" t="s">
        <v>33</v>
      </c>
      <c r="B142" s="21">
        <v>41156</v>
      </c>
      <c r="C142" s="22" t="s">
        <v>87</v>
      </c>
      <c r="D142" s="265"/>
      <c r="E142" s="266"/>
      <c r="F142" s="266"/>
      <c r="G142" s="266"/>
      <c r="H142" s="267"/>
      <c r="I142" s="268"/>
      <c r="J142" s="269"/>
      <c r="K142" s="290">
        <v>4</v>
      </c>
      <c r="L142" s="265"/>
      <c r="M142" s="266"/>
      <c r="N142" s="266"/>
      <c r="O142" s="266"/>
      <c r="P142" s="271"/>
      <c r="Q142" s="268"/>
      <c r="R142" s="269"/>
      <c r="S142" s="290">
        <v>5</v>
      </c>
      <c r="T142" s="265"/>
      <c r="U142" s="266"/>
      <c r="V142" s="266"/>
      <c r="W142" s="266"/>
      <c r="X142" s="271"/>
      <c r="Y142" s="268"/>
      <c r="Z142" s="269"/>
      <c r="AA142" s="290">
        <v>5</v>
      </c>
      <c r="AB142" s="265"/>
      <c r="AC142" s="266"/>
      <c r="AD142" s="266"/>
      <c r="AE142" s="266"/>
      <c r="AF142" s="271"/>
      <c r="AG142" s="268"/>
      <c r="AH142" s="269"/>
      <c r="AI142" s="290">
        <v>5</v>
      </c>
      <c r="AJ142" s="265"/>
      <c r="AK142" s="266"/>
      <c r="AL142" s="266"/>
      <c r="AM142" s="266"/>
      <c r="AN142" s="271"/>
      <c r="AO142" s="268"/>
      <c r="AP142" s="269"/>
      <c r="AQ142" s="290">
        <v>5</v>
      </c>
      <c r="AR142" s="272"/>
      <c r="AS142" s="268"/>
      <c r="AT142" s="268"/>
      <c r="AU142" s="268"/>
      <c r="AV142" s="273"/>
      <c r="AW142" s="268"/>
      <c r="AX142" s="269"/>
      <c r="AY142" s="45">
        <v>5</v>
      </c>
      <c r="AZ142" s="19">
        <f t="shared" ref="AZ142:AZ155" si="26">IF(COUNT(AJ142:AP142,AB142:AH142,T142:Z142,L142:R142,D142:J142)=0,AZ141,AVERAGE(AVERAGE(D142:J142),AVERAGE(L142:R142),AVERAGE(T142:Z142),AVERAGE(AB142:AH142),AVERAGE(AJ142:AP142)))</f>
        <v>49.673285714285711</v>
      </c>
      <c r="BA142" s="227">
        <f t="shared" si="17"/>
        <v>4.8</v>
      </c>
      <c r="BB142" s="173"/>
      <c r="BC142" s="173"/>
      <c r="BD142" s="173"/>
      <c r="BE142" s="173"/>
      <c r="BF142" s="173"/>
      <c r="BG142" s="173"/>
      <c r="BH142" s="173"/>
      <c r="BI142" s="173"/>
      <c r="BJ142" s="173"/>
      <c r="BK142" s="173"/>
      <c r="BL142" s="173"/>
      <c r="BM142" s="173"/>
      <c r="BN142" s="173"/>
      <c r="BO142" s="324">
        <f t="shared" si="25"/>
        <v>248</v>
      </c>
      <c r="BP142" s="319">
        <v>40743</v>
      </c>
      <c r="BQ142" s="324">
        <v>200</v>
      </c>
      <c r="BR142" s="358">
        <v>47.726333333333329</v>
      </c>
      <c r="BS142" s="358">
        <v>2.8</v>
      </c>
      <c r="BT142" s="319">
        <v>40400</v>
      </c>
      <c r="BU142" s="324">
        <v>222</v>
      </c>
      <c r="BV142" s="358">
        <v>47.302857142857142</v>
      </c>
      <c r="BW142" s="358">
        <v>3</v>
      </c>
      <c r="BX142" s="319">
        <v>40065</v>
      </c>
      <c r="BY142" s="217">
        <v>252</v>
      </c>
      <c r="BZ142" s="219"/>
      <c r="CA142" s="262">
        <v>4.5999999999999996</v>
      </c>
      <c r="CB142" s="218">
        <v>39713</v>
      </c>
      <c r="CC142" s="217">
        <f t="shared" si="22"/>
        <v>266</v>
      </c>
      <c r="CD142" s="219"/>
      <c r="CE142" s="217">
        <v>5.2</v>
      </c>
      <c r="CF142" s="220">
        <v>39324</v>
      </c>
      <c r="CG142" s="217">
        <f t="shared" si="23"/>
        <v>242</v>
      </c>
      <c r="CH142" s="211"/>
      <c r="CI142" s="262">
        <v>4</v>
      </c>
      <c r="CJ142" s="319"/>
      <c r="CK142" s="211"/>
      <c r="CL142" s="211"/>
      <c r="CM142" s="258"/>
      <c r="CN142" s="173"/>
      <c r="CO142" s="173"/>
      <c r="CP142" s="173"/>
      <c r="CQ142" s="173"/>
      <c r="CR142" s="173"/>
      <c r="CS142" s="173"/>
      <c r="CT142" s="173"/>
      <c r="CU142" s="173"/>
    </row>
    <row r="143" spans="1:99" s="4" customFormat="1">
      <c r="A143" s="16" t="s">
        <v>33</v>
      </c>
      <c r="B143" s="21">
        <v>41162</v>
      </c>
      <c r="C143" s="22" t="s">
        <v>87</v>
      </c>
      <c r="D143" s="265"/>
      <c r="E143" s="266"/>
      <c r="F143" s="266"/>
      <c r="G143" s="266"/>
      <c r="H143" s="267"/>
      <c r="I143" s="268"/>
      <c r="J143" s="269"/>
      <c r="K143" s="290">
        <v>5</v>
      </c>
      <c r="L143" s="265"/>
      <c r="M143" s="266"/>
      <c r="N143" s="266"/>
      <c r="O143" s="266"/>
      <c r="P143" s="271"/>
      <c r="Q143" s="268"/>
      <c r="R143" s="269"/>
      <c r="S143" s="290">
        <v>5</v>
      </c>
      <c r="T143" s="265"/>
      <c r="U143" s="266"/>
      <c r="V143" s="266"/>
      <c r="W143" s="266"/>
      <c r="X143" s="271"/>
      <c r="Y143" s="268"/>
      <c r="Z143" s="269"/>
      <c r="AA143" s="290">
        <v>5</v>
      </c>
      <c r="AB143" s="265"/>
      <c r="AC143" s="266"/>
      <c r="AD143" s="266"/>
      <c r="AE143" s="266"/>
      <c r="AF143" s="271"/>
      <c r="AG143" s="268"/>
      <c r="AH143" s="269"/>
      <c r="AI143" s="290">
        <v>5</v>
      </c>
      <c r="AJ143" s="265"/>
      <c r="AK143" s="266"/>
      <c r="AL143" s="266"/>
      <c r="AM143" s="266"/>
      <c r="AN143" s="271"/>
      <c r="AO143" s="268"/>
      <c r="AP143" s="269"/>
      <c r="AQ143" s="290">
        <v>5</v>
      </c>
      <c r="AR143" s="272"/>
      <c r="AS143" s="268"/>
      <c r="AT143" s="268"/>
      <c r="AU143" s="268"/>
      <c r="AV143" s="273"/>
      <c r="AW143" s="268"/>
      <c r="AX143" s="269"/>
      <c r="AY143" s="45">
        <v>5</v>
      </c>
      <c r="AZ143" s="19">
        <f t="shared" si="26"/>
        <v>49.673285714285711</v>
      </c>
      <c r="BA143" s="227">
        <f t="shared" ref="BA143:BA155" si="27">IF(COUNT(K143,S143,AA143,AI143,AQ143)=0,BA142,AVERAGE(K143,S143,AA143,AI143,AQ143))</f>
        <v>5</v>
      </c>
      <c r="BB143" s="173"/>
      <c r="BC143" s="173"/>
      <c r="BD143" s="173"/>
      <c r="BE143" s="173"/>
      <c r="BF143" s="173"/>
      <c r="BG143" s="173"/>
      <c r="BH143" s="173"/>
      <c r="BI143" s="173"/>
      <c r="BJ143" s="173"/>
      <c r="BK143" s="173"/>
      <c r="BL143" s="173"/>
      <c r="BM143" s="173"/>
      <c r="BN143" s="173"/>
      <c r="BO143" s="324">
        <f t="shared" si="25"/>
        <v>254</v>
      </c>
      <c r="BP143" s="319">
        <v>40750</v>
      </c>
      <c r="BQ143" s="324">
        <v>207</v>
      </c>
      <c r="BR143" s="358">
        <v>47.726333333333329</v>
      </c>
      <c r="BS143" s="358">
        <v>3</v>
      </c>
      <c r="BT143" s="319">
        <v>40406</v>
      </c>
      <c r="BU143" s="324">
        <v>228</v>
      </c>
      <c r="BV143" s="358">
        <v>47.302857142857142</v>
      </c>
      <c r="BW143" s="358">
        <v>3.8</v>
      </c>
      <c r="BX143" s="319">
        <v>40072</v>
      </c>
      <c r="BY143" s="217">
        <v>259</v>
      </c>
      <c r="BZ143" s="219"/>
      <c r="CA143" s="262">
        <v>5</v>
      </c>
      <c r="CB143" s="218">
        <v>39720</v>
      </c>
      <c r="CC143" s="217">
        <f t="shared" si="22"/>
        <v>273</v>
      </c>
      <c r="CD143" s="219"/>
      <c r="CE143" s="217">
        <v>6.6</v>
      </c>
      <c r="CF143" s="220">
        <v>39329</v>
      </c>
      <c r="CG143" s="217">
        <f t="shared" si="23"/>
        <v>247</v>
      </c>
      <c r="CH143" s="211"/>
      <c r="CI143" s="262">
        <v>4</v>
      </c>
      <c r="CJ143" s="319"/>
      <c r="CK143" s="211"/>
      <c r="CL143" s="211"/>
      <c r="CM143" s="258"/>
      <c r="CN143" s="173"/>
      <c r="CO143" s="173"/>
      <c r="CP143" s="173"/>
      <c r="CQ143" s="173"/>
      <c r="CR143" s="173"/>
      <c r="CS143" s="173"/>
      <c r="CT143" s="173"/>
      <c r="CU143" s="173"/>
    </row>
    <row r="144" spans="1:99" s="4" customFormat="1">
      <c r="A144" s="16" t="s">
        <v>33</v>
      </c>
      <c r="B144" s="21">
        <v>41169</v>
      </c>
      <c r="C144" s="22" t="s">
        <v>87</v>
      </c>
      <c r="D144" s="265"/>
      <c r="E144" s="266"/>
      <c r="F144" s="266"/>
      <c r="G144" s="266"/>
      <c r="H144" s="267"/>
      <c r="I144" s="268"/>
      <c r="J144" s="269"/>
      <c r="K144" s="290">
        <v>5</v>
      </c>
      <c r="L144" s="265"/>
      <c r="M144" s="266"/>
      <c r="N144" s="266"/>
      <c r="O144" s="266"/>
      <c r="P144" s="271"/>
      <c r="Q144" s="268"/>
      <c r="R144" s="269"/>
      <c r="S144" s="290">
        <v>6</v>
      </c>
      <c r="T144" s="265"/>
      <c r="U144" s="266"/>
      <c r="V144" s="266"/>
      <c r="W144" s="266"/>
      <c r="X144" s="271"/>
      <c r="Y144" s="268"/>
      <c r="Z144" s="269"/>
      <c r="AA144" s="290">
        <v>6</v>
      </c>
      <c r="AB144" s="265"/>
      <c r="AC144" s="266"/>
      <c r="AD144" s="266"/>
      <c r="AE144" s="266"/>
      <c r="AF144" s="271"/>
      <c r="AG144" s="268"/>
      <c r="AH144" s="269"/>
      <c r="AI144" s="290">
        <v>6</v>
      </c>
      <c r="AJ144" s="265"/>
      <c r="AK144" s="266"/>
      <c r="AL144" s="266"/>
      <c r="AM144" s="266"/>
      <c r="AN144" s="271"/>
      <c r="AO144" s="268"/>
      <c r="AP144" s="269"/>
      <c r="AQ144" s="290">
        <v>6</v>
      </c>
      <c r="AR144" s="272"/>
      <c r="AS144" s="268"/>
      <c r="AT144" s="268"/>
      <c r="AU144" s="268"/>
      <c r="AV144" s="273"/>
      <c r="AW144" s="268"/>
      <c r="AX144" s="269"/>
      <c r="AY144" s="45">
        <v>6</v>
      </c>
      <c r="AZ144" s="19">
        <f t="shared" si="26"/>
        <v>49.673285714285711</v>
      </c>
      <c r="BA144" s="227">
        <f t="shared" si="27"/>
        <v>5.8</v>
      </c>
      <c r="BB144" s="173"/>
      <c r="BC144" s="173"/>
      <c r="BD144" s="173"/>
      <c r="BE144" s="173"/>
      <c r="BF144" s="173"/>
      <c r="BG144" s="173"/>
      <c r="BH144" s="173"/>
      <c r="BI144" s="173"/>
      <c r="BJ144" s="173"/>
      <c r="BK144" s="173"/>
      <c r="BL144" s="173"/>
      <c r="BM144" s="173"/>
      <c r="BN144" s="173"/>
      <c r="BO144" s="324">
        <f t="shared" si="25"/>
        <v>261</v>
      </c>
      <c r="BP144" s="319">
        <v>40756</v>
      </c>
      <c r="BQ144" s="324">
        <v>213</v>
      </c>
      <c r="BR144" s="358">
        <v>47.726333333333329</v>
      </c>
      <c r="BS144" s="358">
        <v>3</v>
      </c>
      <c r="BT144" s="319">
        <v>40413</v>
      </c>
      <c r="BU144" s="324">
        <v>235</v>
      </c>
      <c r="BV144" s="358">
        <v>47.302857142857142</v>
      </c>
      <c r="BW144" s="358">
        <v>4</v>
      </c>
      <c r="BX144" s="319">
        <v>40079</v>
      </c>
      <c r="BY144" s="217">
        <v>266</v>
      </c>
      <c r="BZ144" s="219"/>
      <c r="CA144" s="262">
        <v>6.4</v>
      </c>
      <c r="CB144" s="218">
        <v>39729</v>
      </c>
      <c r="CC144" s="217">
        <f t="shared" si="22"/>
        <v>282</v>
      </c>
      <c r="CD144" s="219"/>
      <c r="CE144" s="217">
        <v>7</v>
      </c>
      <c r="CF144" s="220">
        <v>39336</v>
      </c>
      <c r="CG144" s="217">
        <f t="shared" si="23"/>
        <v>254</v>
      </c>
      <c r="CH144" s="211"/>
      <c r="CI144" s="262">
        <v>4</v>
      </c>
      <c r="CJ144" s="319"/>
      <c r="CK144" s="211"/>
      <c r="CL144" s="211"/>
      <c r="CM144" s="258"/>
      <c r="CN144" s="173"/>
      <c r="CO144" s="173"/>
      <c r="CP144" s="173"/>
      <c r="CQ144" s="173"/>
      <c r="CR144" s="173"/>
      <c r="CS144" s="173"/>
      <c r="CT144" s="173"/>
      <c r="CU144" s="173"/>
    </row>
    <row r="145" spans="1:99" s="4" customFormat="1">
      <c r="A145" s="16" t="s">
        <v>33</v>
      </c>
      <c r="B145" s="21">
        <v>41176</v>
      </c>
      <c r="C145" s="22" t="s">
        <v>87</v>
      </c>
      <c r="D145" s="265"/>
      <c r="E145" s="266"/>
      <c r="F145" s="266"/>
      <c r="G145" s="266"/>
      <c r="H145" s="267"/>
      <c r="I145" s="268"/>
      <c r="J145" s="269"/>
      <c r="K145" s="290">
        <v>6</v>
      </c>
      <c r="L145" s="265"/>
      <c r="M145" s="266"/>
      <c r="N145" s="266"/>
      <c r="O145" s="266"/>
      <c r="P145" s="271"/>
      <c r="Q145" s="268"/>
      <c r="R145" s="269"/>
      <c r="S145" s="290">
        <v>7</v>
      </c>
      <c r="T145" s="265"/>
      <c r="U145" s="266"/>
      <c r="V145" s="266"/>
      <c r="W145" s="266"/>
      <c r="X145" s="271"/>
      <c r="Y145" s="268"/>
      <c r="Z145" s="269"/>
      <c r="AA145" s="290">
        <v>7</v>
      </c>
      <c r="AB145" s="265"/>
      <c r="AC145" s="266"/>
      <c r="AD145" s="266"/>
      <c r="AE145" s="266"/>
      <c r="AF145" s="271"/>
      <c r="AG145" s="268"/>
      <c r="AH145" s="269"/>
      <c r="AI145" s="290">
        <v>7</v>
      </c>
      <c r="AJ145" s="265"/>
      <c r="AK145" s="266"/>
      <c r="AL145" s="266"/>
      <c r="AM145" s="266"/>
      <c r="AN145" s="271"/>
      <c r="AO145" s="268"/>
      <c r="AP145" s="269"/>
      <c r="AQ145" s="290">
        <v>7</v>
      </c>
      <c r="AR145" s="272"/>
      <c r="AS145" s="268"/>
      <c r="AT145" s="268"/>
      <c r="AU145" s="268"/>
      <c r="AV145" s="273"/>
      <c r="AW145" s="268"/>
      <c r="AX145" s="269"/>
      <c r="AY145" s="45">
        <v>7</v>
      </c>
      <c r="AZ145" s="19">
        <f t="shared" si="26"/>
        <v>49.673285714285711</v>
      </c>
      <c r="BA145" s="227">
        <f t="shared" si="27"/>
        <v>6.8</v>
      </c>
      <c r="BB145" s="173"/>
      <c r="BC145" s="173"/>
      <c r="BD145" s="173"/>
      <c r="BE145" s="173"/>
      <c r="BF145" s="173"/>
      <c r="BG145" s="173"/>
      <c r="BH145" s="173"/>
      <c r="BI145" s="173"/>
      <c r="BJ145" s="173"/>
      <c r="BK145" s="173"/>
      <c r="BL145" s="173"/>
      <c r="BM145" s="173"/>
      <c r="BN145" s="173"/>
      <c r="BO145" s="324">
        <f t="shared" si="25"/>
        <v>268</v>
      </c>
      <c r="BP145" s="319">
        <v>40784</v>
      </c>
      <c r="BQ145" s="324">
        <v>241</v>
      </c>
      <c r="BR145" s="358"/>
      <c r="BS145" s="358">
        <v>4</v>
      </c>
      <c r="BT145" s="319">
        <v>40421</v>
      </c>
      <c r="BU145" s="324">
        <v>243</v>
      </c>
      <c r="BV145" s="358">
        <v>47.302857142857142</v>
      </c>
      <c r="BW145" s="358">
        <v>4</v>
      </c>
      <c r="BX145" s="319">
        <v>40086</v>
      </c>
      <c r="BY145" s="217">
        <v>273</v>
      </c>
      <c r="BZ145" s="219"/>
      <c r="CA145" s="262">
        <v>7</v>
      </c>
      <c r="CB145" s="218">
        <v>39735</v>
      </c>
      <c r="CC145" s="217">
        <f t="shared" si="22"/>
        <v>288</v>
      </c>
      <c r="CD145" s="219"/>
      <c r="CE145" s="217">
        <v>8</v>
      </c>
      <c r="CF145" s="220">
        <v>39343</v>
      </c>
      <c r="CG145" s="217">
        <f t="shared" si="23"/>
        <v>261</v>
      </c>
      <c r="CH145" s="211"/>
      <c r="CI145" s="262">
        <v>4.4000000000000004</v>
      </c>
      <c r="CJ145" s="319"/>
      <c r="CK145" s="211"/>
      <c r="CL145" s="211"/>
      <c r="CM145" s="258"/>
      <c r="CN145" s="173"/>
      <c r="CO145" s="173"/>
      <c r="CP145" s="173"/>
      <c r="CQ145" s="173"/>
      <c r="CR145" s="173"/>
      <c r="CS145" s="173"/>
      <c r="CT145" s="173"/>
      <c r="CU145" s="173"/>
    </row>
    <row r="146" spans="1:99" s="4" customFormat="1">
      <c r="A146" s="16" t="s">
        <v>33</v>
      </c>
      <c r="B146" s="21">
        <v>41183</v>
      </c>
      <c r="C146" s="22" t="s">
        <v>87</v>
      </c>
      <c r="D146" s="265"/>
      <c r="E146" s="266"/>
      <c r="F146" s="266"/>
      <c r="G146" s="266"/>
      <c r="H146" s="267"/>
      <c r="I146" s="268"/>
      <c r="J146" s="269"/>
      <c r="K146" s="290">
        <v>7</v>
      </c>
      <c r="L146" s="265"/>
      <c r="M146" s="266"/>
      <c r="N146" s="266"/>
      <c r="O146" s="266"/>
      <c r="P146" s="271"/>
      <c r="Q146" s="268"/>
      <c r="R146" s="269"/>
      <c r="S146" s="290">
        <v>7</v>
      </c>
      <c r="T146" s="265"/>
      <c r="U146" s="266"/>
      <c r="V146" s="266"/>
      <c r="W146" s="266"/>
      <c r="X146" s="271"/>
      <c r="Y146" s="268"/>
      <c r="Z146" s="269"/>
      <c r="AA146" s="290">
        <v>7</v>
      </c>
      <c r="AB146" s="265"/>
      <c r="AC146" s="266"/>
      <c r="AD146" s="266"/>
      <c r="AE146" s="266"/>
      <c r="AF146" s="271"/>
      <c r="AG146" s="268"/>
      <c r="AH146" s="269"/>
      <c r="AI146" s="290">
        <v>7</v>
      </c>
      <c r="AJ146" s="265"/>
      <c r="AK146" s="266"/>
      <c r="AL146" s="266"/>
      <c r="AM146" s="266"/>
      <c r="AN146" s="271"/>
      <c r="AO146" s="268"/>
      <c r="AP146" s="269"/>
      <c r="AQ146" s="290">
        <v>7</v>
      </c>
      <c r="AR146" s="272"/>
      <c r="AS146" s="268"/>
      <c r="AT146" s="268"/>
      <c r="AU146" s="268"/>
      <c r="AV146" s="273"/>
      <c r="AW146" s="268"/>
      <c r="AX146" s="269"/>
      <c r="AY146" s="45">
        <v>8</v>
      </c>
      <c r="AZ146" s="19">
        <f t="shared" si="26"/>
        <v>49.673285714285711</v>
      </c>
      <c r="BA146" s="227">
        <f t="shared" si="27"/>
        <v>7</v>
      </c>
      <c r="BB146" s="173"/>
      <c r="BC146" s="173"/>
      <c r="BD146" s="173"/>
      <c r="BE146" s="173"/>
      <c r="BF146" s="173"/>
      <c r="BG146" s="173"/>
      <c r="BH146" s="173"/>
      <c r="BI146" s="173"/>
      <c r="BJ146" s="173"/>
      <c r="BK146" s="173"/>
      <c r="BL146" s="173"/>
      <c r="BM146" s="173"/>
      <c r="BN146" s="173"/>
      <c r="BO146" s="324">
        <f t="shared" si="25"/>
        <v>275</v>
      </c>
      <c r="BP146" s="319">
        <v>40791</v>
      </c>
      <c r="BQ146" s="324">
        <v>248</v>
      </c>
      <c r="BR146" s="358"/>
      <c r="BS146" s="358">
        <v>4.8</v>
      </c>
      <c r="BT146" s="319">
        <v>40427</v>
      </c>
      <c r="BU146" s="324">
        <v>249</v>
      </c>
      <c r="BV146" s="358">
        <v>47.302857142857142</v>
      </c>
      <c r="BW146" s="358">
        <v>4.4000000000000004</v>
      </c>
      <c r="BX146" s="319">
        <v>40092</v>
      </c>
      <c r="BY146" s="217">
        <v>279</v>
      </c>
      <c r="BZ146" s="219"/>
      <c r="CA146" s="262">
        <v>7</v>
      </c>
      <c r="CB146" s="218"/>
      <c r="CC146" s="217"/>
      <c r="CD146" s="219"/>
      <c r="CE146" s="217"/>
      <c r="CF146" s="220">
        <v>39349</v>
      </c>
      <c r="CG146" s="217">
        <f t="shared" si="23"/>
        <v>267</v>
      </c>
      <c r="CH146" s="211"/>
      <c r="CI146" s="262">
        <v>5.2</v>
      </c>
      <c r="CJ146" s="319"/>
      <c r="CK146" s="211"/>
      <c r="CL146" s="211"/>
      <c r="CM146" s="258"/>
      <c r="CN146" s="173"/>
      <c r="CO146" s="173"/>
      <c r="CP146" s="173"/>
      <c r="CQ146" s="173"/>
      <c r="CR146" s="173"/>
      <c r="CS146" s="173"/>
      <c r="CT146" s="173"/>
      <c r="CU146" s="173"/>
    </row>
    <row r="147" spans="1:99" s="4" customFormat="1">
      <c r="A147" s="16" t="s">
        <v>33</v>
      </c>
      <c r="B147" s="21">
        <v>41190</v>
      </c>
      <c r="C147" s="22" t="s">
        <v>87</v>
      </c>
      <c r="D147" s="265"/>
      <c r="E147" s="266"/>
      <c r="F147" s="266"/>
      <c r="G147" s="266"/>
      <c r="H147" s="267"/>
      <c r="I147" s="268"/>
      <c r="J147" s="269"/>
      <c r="K147" s="290">
        <v>8</v>
      </c>
      <c r="L147" s="265"/>
      <c r="M147" s="266"/>
      <c r="N147" s="266"/>
      <c r="O147" s="266"/>
      <c r="P147" s="271"/>
      <c r="Q147" s="268"/>
      <c r="R147" s="269"/>
      <c r="S147" s="290">
        <v>8</v>
      </c>
      <c r="T147" s="265"/>
      <c r="U147" s="266"/>
      <c r="V147" s="266"/>
      <c r="W147" s="266"/>
      <c r="X147" s="271"/>
      <c r="Y147" s="268"/>
      <c r="Z147" s="269"/>
      <c r="AA147" s="290">
        <v>7</v>
      </c>
      <c r="AB147" s="265"/>
      <c r="AC147" s="266"/>
      <c r="AD147" s="266"/>
      <c r="AE147" s="266"/>
      <c r="AF147" s="271"/>
      <c r="AG147" s="268"/>
      <c r="AH147" s="269"/>
      <c r="AI147" s="290">
        <v>8</v>
      </c>
      <c r="AJ147" s="265"/>
      <c r="AK147" s="266"/>
      <c r="AL147" s="266"/>
      <c r="AM147" s="266"/>
      <c r="AN147" s="271"/>
      <c r="AO147" s="268"/>
      <c r="AP147" s="269"/>
      <c r="AQ147" s="290">
        <v>7</v>
      </c>
      <c r="AR147" s="272"/>
      <c r="AS147" s="268"/>
      <c r="AT147" s="268"/>
      <c r="AU147" s="268"/>
      <c r="AV147" s="273"/>
      <c r="AW147" s="268"/>
      <c r="AX147" s="269"/>
      <c r="AY147" s="45">
        <v>8</v>
      </c>
      <c r="AZ147" s="19">
        <f t="shared" si="26"/>
        <v>49.673285714285711</v>
      </c>
      <c r="BA147" s="227">
        <f t="shared" si="27"/>
        <v>7.6</v>
      </c>
      <c r="BB147" s="173"/>
      <c r="BC147" s="173"/>
      <c r="BD147" s="173"/>
      <c r="BE147" s="173"/>
      <c r="BF147" s="173"/>
      <c r="BG147" s="173"/>
      <c r="BH147" s="173"/>
      <c r="BI147" s="173"/>
      <c r="BJ147" s="173"/>
      <c r="BK147" s="173"/>
      <c r="BL147" s="173"/>
      <c r="BM147" s="173"/>
      <c r="BN147" s="173"/>
      <c r="BO147" s="324">
        <f t="shared" si="25"/>
        <v>282</v>
      </c>
      <c r="BP147" s="319">
        <v>40799</v>
      </c>
      <c r="BQ147" s="324">
        <v>256</v>
      </c>
      <c r="BR147" s="358"/>
      <c r="BS147" s="358">
        <v>5</v>
      </c>
      <c r="BT147" s="319">
        <v>40434</v>
      </c>
      <c r="BU147" s="324">
        <v>256</v>
      </c>
      <c r="BV147" s="358">
        <v>47.302857142857142</v>
      </c>
      <c r="BW147" s="358">
        <v>5.2</v>
      </c>
      <c r="BX147" s="319">
        <v>40100</v>
      </c>
      <c r="BY147" s="217">
        <v>287</v>
      </c>
      <c r="BZ147" s="219"/>
      <c r="CA147" s="262">
        <v>8</v>
      </c>
      <c r="CB147" s="218"/>
      <c r="CC147" s="217"/>
      <c r="CD147" s="219"/>
      <c r="CE147" s="217"/>
      <c r="CF147" s="220">
        <v>39356</v>
      </c>
      <c r="CG147" s="217">
        <f t="shared" si="23"/>
        <v>274</v>
      </c>
      <c r="CH147" s="211"/>
      <c r="CI147" s="262">
        <v>6.4</v>
      </c>
      <c r="CJ147" s="319"/>
      <c r="CK147" s="211"/>
      <c r="CL147" s="211"/>
      <c r="CM147" s="258"/>
      <c r="CN147" s="173"/>
      <c r="CO147" s="173"/>
      <c r="CP147" s="173"/>
      <c r="CQ147" s="173"/>
      <c r="CR147" s="173"/>
      <c r="CS147" s="173"/>
      <c r="CT147" s="173"/>
      <c r="CU147" s="173"/>
    </row>
    <row r="148" spans="1:99" s="4" customFormat="1">
      <c r="A148" s="16" t="s">
        <v>33</v>
      </c>
      <c r="B148" s="21">
        <v>41197</v>
      </c>
      <c r="C148" s="22" t="s">
        <v>87</v>
      </c>
      <c r="D148" s="265"/>
      <c r="E148" s="266"/>
      <c r="F148" s="266"/>
      <c r="G148" s="266"/>
      <c r="H148" s="267"/>
      <c r="I148" s="268"/>
      <c r="J148" s="269"/>
      <c r="K148" s="290">
        <v>8</v>
      </c>
      <c r="L148" s="265"/>
      <c r="M148" s="266"/>
      <c r="N148" s="266"/>
      <c r="O148" s="266"/>
      <c r="P148" s="271"/>
      <c r="Q148" s="268"/>
      <c r="R148" s="269"/>
      <c r="S148" s="290">
        <v>8</v>
      </c>
      <c r="T148" s="265"/>
      <c r="U148" s="266"/>
      <c r="V148" s="266"/>
      <c r="W148" s="266"/>
      <c r="X148" s="271"/>
      <c r="Y148" s="268"/>
      <c r="Z148" s="269"/>
      <c r="AA148" s="290">
        <v>8</v>
      </c>
      <c r="AB148" s="265"/>
      <c r="AC148" s="266"/>
      <c r="AD148" s="266"/>
      <c r="AE148" s="266"/>
      <c r="AF148" s="271"/>
      <c r="AG148" s="268"/>
      <c r="AH148" s="269"/>
      <c r="AI148" s="290">
        <v>8</v>
      </c>
      <c r="AJ148" s="265"/>
      <c r="AK148" s="266"/>
      <c r="AL148" s="266"/>
      <c r="AM148" s="266"/>
      <c r="AN148" s="271"/>
      <c r="AO148" s="268"/>
      <c r="AP148" s="269"/>
      <c r="AQ148" s="290">
        <v>8</v>
      </c>
      <c r="AR148" s="272"/>
      <c r="AS148" s="268"/>
      <c r="AT148" s="268"/>
      <c r="AU148" s="268"/>
      <c r="AV148" s="273"/>
      <c r="AW148" s="268"/>
      <c r="AX148" s="269"/>
      <c r="AY148" s="45">
        <v>8</v>
      </c>
      <c r="AZ148" s="19">
        <f t="shared" si="26"/>
        <v>49.673285714285711</v>
      </c>
      <c r="BA148" s="227">
        <f t="shared" si="27"/>
        <v>8</v>
      </c>
      <c r="BB148" s="173"/>
      <c r="BC148" s="173"/>
      <c r="BD148" s="173"/>
      <c r="BE148" s="173"/>
      <c r="BF148" s="173"/>
      <c r="BG148" s="173"/>
      <c r="BH148" s="173"/>
      <c r="BI148" s="173"/>
      <c r="BJ148" s="173"/>
      <c r="BK148" s="173"/>
      <c r="BL148" s="173"/>
      <c r="BM148" s="173"/>
      <c r="BN148" s="173"/>
      <c r="BO148" s="324">
        <f t="shared" si="25"/>
        <v>289</v>
      </c>
      <c r="BP148" s="319">
        <v>40805</v>
      </c>
      <c r="BQ148" s="324">
        <v>262</v>
      </c>
      <c r="BR148" s="358"/>
      <c r="BS148" s="358">
        <v>5.8</v>
      </c>
      <c r="BT148" s="319">
        <v>40441</v>
      </c>
      <c r="BU148" s="324">
        <v>263</v>
      </c>
      <c r="BV148" s="358">
        <v>47.302857142857142</v>
      </c>
      <c r="BW148" s="358">
        <v>6.8</v>
      </c>
      <c r="BX148" s="319"/>
      <c r="BY148" s="217"/>
      <c r="BZ148" s="219"/>
      <c r="CA148" s="262"/>
      <c r="CB148" s="218"/>
      <c r="CC148" s="217"/>
      <c r="CD148" s="219"/>
      <c r="CE148" s="217"/>
      <c r="CF148" s="220">
        <v>39363</v>
      </c>
      <c r="CG148" s="217">
        <f t="shared" si="23"/>
        <v>281</v>
      </c>
      <c r="CH148" s="211"/>
      <c r="CI148" s="262">
        <v>7</v>
      </c>
      <c r="CJ148" s="319"/>
      <c r="CK148" s="211"/>
      <c r="CL148" s="211"/>
      <c r="CM148" s="258"/>
      <c r="CN148" s="173"/>
      <c r="CO148" s="173"/>
      <c r="CP148" s="173"/>
      <c r="CQ148" s="173"/>
      <c r="CR148" s="173"/>
      <c r="CS148" s="173"/>
      <c r="CT148" s="173"/>
      <c r="CU148" s="173"/>
    </row>
    <row r="149" spans="1:99" s="4" customFormat="1">
      <c r="A149" s="16" t="s">
        <v>33</v>
      </c>
      <c r="B149" s="21"/>
      <c r="C149" s="22"/>
      <c r="D149" s="265"/>
      <c r="E149" s="266"/>
      <c r="F149" s="266"/>
      <c r="G149" s="266"/>
      <c r="H149" s="267"/>
      <c r="I149" s="268"/>
      <c r="J149" s="269"/>
      <c r="K149" s="290"/>
      <c r="L149" s="265"/>
      <c r="M149" s="266"/>
      <c r="N149" s="266"/>
      <c r="O149" s="266"/>
      <c r="P149" s="271"/>
      <c r="Q149" s="268"/>
      <c r="R149" s="269"/>
      <c r="S149" s="290"/>
      <c r="T149" s="265"/>
      <c r="U149" s="266"/>
      <c r="V149" s="266"/>
      <c r="W149" s="266"/>
      <c r="X149" s="271"/>
      <c r="Y149" s="268"/>
      <c r="Z149" s="269"/>
      <c r="AA149" s="290"/>
      <c r="AB149" s="265"/>
      <c r="AC149" s="266"/>
      <c r="AD149" s="266"/>
      <c r="AE149" s="266"/>
      <c r="AF149" s="271"/>
      <c r="AG149" s="268"/>
      <c r="AH149" s="269"/>
      <c r="AI149" s="290"/>
      <c r="AJ149" s="265"/>
      <c r="AK149" s="266"/>
      <c r="AL149" s="266"/>
      <c r="AM149" s="266"/>
      <c r="AN149" s="271"/>
      <c r="AO149" s="268"/>
      <c r="AP149" s="269"/>
      <c r="AQ149" s="290"/>
      <c r="AR149" s="272"/>
      <c r="AS149" s="268"/>
      <c r="AT149" s="268"/>
      <c r="AU149" s="268"/>
      <c r="AV149" s="273"/>
      <c r="AW149" s="268"/>
      <c r="AX149" s="269"/>
      <c r="AY149" s="45"/>
      <c r="AZ149" s="19">
        <f t="shared" si="26"/>
        <v>49.673285714285711</v>
      </c>
      <c r="BA149" s="227">
        <f t="shared" si="27"/>
        <v>8</v>
      </c>
      <c r="BB149" s="173"/>
      <c r="BC149" s="173"/>
      <c r="BD149" s="173"/>
      <c r="BE149" s="173"/>
      <c r="BF149" s="173"/>
      <c r="BG149" s="173"/>
      <c r="BH149" s="173"/>
      <c r="BI149" s="173"/>
      <c r="BJ149" s="173"/>
      <c r="BK149" s="173"/>
      <c r="BL149" s="173"/>
      <c r="BM149" s="173"/>
      <c r="BN149" s="173"/>
      <c r="BO149" s="324">
        <f t="shared" si="25"/>
        <v>289</v>
      </c>
      <c r="BP149" s="319">
        <v>40812</v>
      </c>
      <c r="BQ149" s="324">
        <v>269</v>
      </c>
      <c r="BR149" s="358"/>
      <c r="BS149" s="358">
        <v>7</v>
      </c>
      <c r="BT149" s="319">
        <v>40448</v>
      </c>
      <c r="BU149" s="324">
        <v>270</v>
      </c>
      <c r="BV149" s="358">
        <v>47.302857142857142</v>
      </c>
      <c r="BW149" s="358">
        <v>7.2</v>
      </c>
      <c r="BX149" s="319"/>
      <c r="BY149" s="217"/>
      <c r="BZ149" s="219"/>
      <c r="CA149" s="262"/>
      <c r="CB149" s="218"/>
      <c r="CC149" s="217"/>
      <c r="CD149" s="219"/>
      <c r="CE149" s="217"/>
      <c r="CF149" s="220">
        <v>39370</v>
      </c>
      <c r="CG149" s="217">
        <f t="shared" si="23"/>
        <v>288</v>
      </c>
      <c r="CH149" s="211"/>
      <c r="CI149" s="262">
        <v>7.8</v>
      </c>
      <c r="CJ149" s="319"/>
      <c r="CK149" s="211"/>
      <c r="CL149" s="211"/>
      <c r="CM149" s="258"/>
      <c r="CN149" s="173"/>
      <c r="CO149" s="173"/>
      <c r="CP149" s="173"/>
      <c r="CQ149" s="173"/>
      <c r="CR149" s="173"/>
      <c r="CS149" s="173"/>
      <c r="CT149" s="173"/>
      <c r="CU149" s="173"/>
    </row>
    <row r="150" spans="1:99" s="4" customFormat="1">
      <c r="A150" s="16" t="s">
        <v>33</v>
      </c>
      <c r="B150" s="21"/>
      <c r="C150" s="22"/>
      <c r="D150" s="265"/>
      <c r="E150" s="266"/>
      <c r="F150" s="266"/>
      <c r="G150" s="266"/>
      <c r="H150" s="267"/>
      <c r="I150" s="268"/>
      <c r="J150" s="269"/>
      <c r="K150" s="290"/>
      <c r="L150" s="265"/>
      <c r="M150" s="266"/>
      <c r="N150" s="266"/>
      <c r="O150" s="266"/>
      <c r="P150" s="271"/>
      <c r="Q150" s="268"/>
      <c r="R150" s="269"/>
      <c r="S150" s="290"/>
      <c r="T150" s="265"/>
      <c r="U150" s="266"/>
      <c r="V150" s="266"/>
      <c r="W150" s="266"/>
      <c r="X150" s="271"/>
      <c r="Y150" s="268"/>
      <c r="Z150" s="269"/>
      <c r="AA150" s="290"/>
      <c r="AB150" s="265"/>
      <c r="AC150" s="266"/>
      <c r="AD150" s="266"/>
      <c r="AE150" s="266"/>
      <c r="AF150" s="271"/>
      <c r="AG150" s="268"/>
      <c r="AH150" s="269"/>
      <c r="AI150" s="290"/>
      <c r="AJ150" s="265"/>
      <c r="AK150" s="266"/>
      <c r="AL150" s="266"/>
      <c r="AM150" s="266"/>
      <c r="AN150" s="271"/>
      <c r="AO150" s="268"/>
      <c r="AP150" s="269"/>
      <c r="AQ150" s="290"/>
      <c r="AR150" s="272"/>
      <c r="AS150" s="268"/>
      <c r="AT150" s="268"/>
      <c r="AU150" s="268"/>
      <c r="AV150" s="273"/>
      <c r="AW150" s="268"/>
      <c r="AX150" s="269"/>
      <c r="AY150" s="45"/>
      <c r="AZ150" s="19">
        <f t="shared" si="26"/>
        <v>49.673285714285711</v>
      </c>
      <c r="BA150" s="227">
        <f t="shared" si="27"/>
        <v>8</v>
      </c>
      <c r="BB150" s="173"/>
      <c r="BC150" s="173"/>
      <c r="BD150" s="173"/>
      <c r="BE150" s="173"/>
      <c r="BF150" s="173"/>
      <c r="BG150" s="173"/>
      <c r="BH150" s="173"/>
      <c r="BI150" s="173"/>
      <c r="BJ150" s="173"/>
      <c r="BK150" s="173"/>
      <c r="BL150" s="173"/>
      <c r="BM150" s="173"/>
      <c r="BN150" s="173"/>
      <c r="BO150" s="324">
        <f t="shared" si="25"/>
        <v>289</v>
      </c>
      <c r="BP150" s="319">
        <v>40816</v>
      </c>
      <c r="BQ150" s="324">
        <v>273</v>
      </c>
      <c r="BR150" s="358"/>
      <c r="BS150" s="358">
        <v>7.4</v>
      </c>
      <c r="BT150" s="319">
        <v>40455</v>
      </c>
      <c r="BU150" s="324">
        <v>277</v>
      </c>
      <c r="BV150" s="358">
        <v>47.302857142857142</v>
      </c>
      <c r="BW150" s="358">
        <v>7.2</v>
      </c>
      <c r="BX150" s="319"/>
      <c r="BY150" s="217"/>
      <c r="BZ150" s="219"/>
      <c r="CA150" s="262"/>
      <c r="CB150" s="218"/>
      <c r="CC150" s="217"/>
      <c r="CD150" s="219"/>
      <c r="CE150" s="217"/>
      <c r="CF150" s="220">
        <v>39377</v>
      </c>
      <c r="CG150" s="217">
        <f t="shared" si="23"/>
        <v>295</v>
      </c>
      <c r="CH150" s="211"/>
      <c r="CI150" s="262">
        <v>8</v>
      </c>
      <c r="CJ150" s="319"/>
      <c r="CK150" s="211"/>
      <c r="CL150" s="211"/>
      <c r="CM150" s="258"/>
      <c r="CN150" s="173"/>
      <c r="CO150" s="173"/>
      <c r="CP150" s="173"/>
      <c r="CQ150" s="173"/>
      <c r="CR150" s="173"/>
      <c r="CS150" s="173"/>
      <c r="CT150" s="173"/>
      <c r="CU150" s="173"/>
    </row>
    <row r="151" spans="1:99" s="4" customFormat="1">
      <c r="A151" s="16" t="s">
        <v>33</v>
      </c>
      <c r="B151" s="21"/>
      <c r="C151" s="22"/>
      <c r="D151" s="265"/>
      <c r="E151" s="266"/>
      <c r="F151" s="266"/>
      <c r="G151" s="266"/>
      <c r="H151" s="267"/>
      <c r="I151" s="268"/>
      <c r="J151" s="269"/>
      <c r="K151" s="290"/>
      <c r="L151" s="265"/>
      <c r="M151" s="266"/>
      <c r="N151" s="266"/>
      <c r="O151" s="266"/>
      <c r="P151" s="271"/>
      <c r="Q151" s="268"/>
      <c r="R151" s="269"/>
      <c r="S151" s="290"/>
      <c r="T151" s="265"/>
      <c r="U151" s="266"/>
      <c r="V151" s="266"/>
      <c r="W151" s="266"/>
      <c r="X151" s="271"/>
      <c r="Y151" s="268"/>
      <c r="Z151" s="269"/>
      <c r="AA151" s="290"/>
      <c r="AB151" s="265"/>
      <c r="AC151" s="266"/>
      <c r="AD151" s="266"/>
      <c r="AE151" s="266"/>
      <c r="AF151" s="271"/>
      <c r="AG151" s="268"/>
      <c r="AH151" s="269"/>
      <c r="AI151" s="290"/>
      <c r="AJ151" s="265"/>
      <c r="AK151" s="266"/>
      <c r="AL151" s="266"/>
      <c r="AM151" s="266"/>
      <c r="AN151" s="271"/>
      <c r="AO151" s="268"/>
      <c r="AP151" s="269"/>
      <c r="AQ151" s="290"/>
      <c r="AR151" s="272"/>
      <c r="AS151" s="268"/>
      <c r="AT151" s="268"/>
      <c r="AU151" s="268"/>
      <c r="AV151" s="273"/>
      <c r="AW151" s="268"/>
      <c r="AX151" s="269"/>
      <c r="AY151" s="45"/>
      <c r="AZ151" s="19">
        <f t="shared" si="26"/>
        <v>49.673285714285711</v>
      </c>
      <c r="BA151" s="227">
        <f t="shared" si="27"/>
        <v>8</v>
      </c>
      <c r="BB151" s="173"/>
      <c r="BC151" s="173"/>
      <c r="BD151" s="173"/>
      <c r="BE151" s="173"/>
      <c r="BF151" s="173"/>
      <c r="BG151" s="173"/>
      <c r="BH151" s="173"/>
      <c r="BI151" s="173"/>
      <c r="BJ151" s="173"/>
      <c r="BK151" s="173"/>
      <c r="BL151" s="173"/>
      <c r="BM151" s="173"/>
      <c r="BN151" s="173"/>
      <c r="BO151" s="324">
        <f t="shared" si="25"/>
        <v>289</v>
      </c>
      <c r="BP151" s="319"/>
      <c r="BQ151" s="324">
        <v>273</v>
      </c>
      <c r="BR151" s="358"/>
      <c r="BS151" s="358">
        <v>7.4</v>
      </c>
      <c r="BT151" s="319">
        <v>40462</v>
      </c>
      <c r="BU151" s="324">
        <v>284</v>
      </c>
      <c r="BV151" s="358">
        <v>47.302857142857142</v>
      </c>
      <c r="BW151" s="358">
        <v>8</v>
      </c>
      <c r="BX151" s="319"/>
      <c r="BY151" s="217"/>
      <c r="BZ151" s="219"/>
      <c r="CA151" s="262"/>
      <c r="CB151" s="218"/>
      <c r="CC151" s="217"/>
      <c r="CD151" s="219"/>
      <c r="CE151" s="217"/>
      <c r="CF151" s="220"/>
      <c r="CG151" s="211"/>
      <c r="CH151" s="211"/>
      <c r="CI151" s="262"/>
      <c r="CJ151" s="319"/>
      <c r="CK151" s="211"/>
      <c r="CL151" s="211"/>
      <c r="CM151" s="258"/>
      <c r="CN151" s="173"/>
      <c r="CO151" s="173"/>
      <c r="CP151" s="173"/>
      <c r="CQ151" s="173"/>
      <c r="CR151" s="173"/>
      <c r="CS151" s="173"/>
      <c r="CT151" s="173"/>
      <c r="CU151" s="173"/>
    </row>
    <row r="152" spans="1:99" s="4" customFormat="1">
      <c r="A152" s="16" t="s">
        <v>33</v>
      </c>
      <c r="B152" s="21"/>
      <c r="C152" s="22"/>
      <c r="D152" s="265"/>
      <c r="E152" s="266"/>
      <c r="F152" s="266"/>
      <c r="G152" s="266"/>
      <c r="H152" s="267"/>
      <c r="I152" s="268"/>
      <c r="J152" s="269"/>
      <c r="K152" s="290"/>
      <c r="L152" s="265"/>
      <c r="M152" s="266"/>
      <c r="N152" s="266"/>
      <c r="O152" s="266"/>
      <c r="P152" s="271"/>
      <c r="Q152" s="268"/>
      <c r="R152" s="269"/>
      <c r="S152" s="290"/>
      <c r="T152" s="265"/>
      <c r="U152" s="266"/>
      <c r="V152" s="266"/>
      <c r="W152" s="266"/>
      <c r="X152" s="271"/>
      <c r="Y152" s="268"/>
      <c r="Z152" s="269"/>
      <c r="AA152" s="290"/>
      <c r="AB152" s="265"/>
      <c r="AC152" s="266"/>
      <c r="AD152" s="266"/>
      <c r="AE152" s="266"/>
      <c r="AF152" s="271"/>
      <c r="AG152" s="268"/>
      <c r="AH152" s="269"/>
      <c r="AI152" s="290"/>
      <c r="AJ152" s="265"/>
      <c r="AK152" s="266"/>
      <c r="AL152" s="266"/>
      <c r="AM152" s="266"/>
      <c r="AN152" s="271"/>
      <c r="AO152" s="268"/>
      <c r="AP152" s="269"/>
      <c r="AQ152" s="290"/>
      <c r="AR152" s="272"/>
      <c r="AS152" s="268"/>
      <c r="AT152" s="268"/>
      <c r="AU152" s="268"/>
      <c r="AV152" s="273"/>
      <c r="AW152" s="268"/>
      <c r="AX152" s="269"/>
      <c r="AY152" s="45"/>
      <c r="AZ152" s="19">
        <f t="shared" si="26"/>
        <v>49.673285714285711</v>
      </c>
      <c r="BA152" s="227">
        <f t="shared" si="27"/>
        <v>8</v>
      </c>
      <c r="BB152" s="173"/>
      <c r="BC152" s="173"/>
      <c r="BD152" s="173"/>
      <c r="BE152" s="173"/>
      <c r="BF152" s="173"/>
      <c r="BG152" s="173"/>
      <c r="BH152" s="173"/>
      <c r="BI152" s="173"/>
      <c r="BJ152" s="173"/>
      <c r="BK152" s="173"/>
      <c r="BL152" s="173"/>
      <c r="BM152" s="173"/>
      <c r="BN152" s="173"/>
      <c r="BO152" s="324">
        <f t="shared" si="25"/>
        <v>289</v>
      </c>
      <c r="BP152" s="319"/>
      <c r="BQ152" s="324">
        <v>273</v>
      </c>
      <c r="BR152" s="358"/>
      <c r="BS152" s="358">
        <v>7.4</v>
      </c>
      <c r="BT152" s="319"/>
      <c r="BU152" s="324">
        <v>284</v>
      </c>
      <c r="BV152" s="358">
        <v>47.302857142857142</v>
      </c>
      <c r="BW152" s="358">
        <v>8</v>
      </c>
      <c r="BX152" s="319"/>
      <c r="BY152" s="217"/>
      <c r="BZ152" s="219"/>
      <c r="CA152" s="262"/>
      <c r="CB152" s="218"/>
      <c r="CC152" s="217"/>
      <c r="CD152" s="219"/>
      <c r="CE152" s="217"/>
      <c r="CF152" s="220"/>
      <c r="CG152" s="211"/>
      <c r="CH152" s="211"/>
      <c r="CI152" s="262"/>
      <c r="CJ152" s="319"/>
      <c r="CK152" s="211"/>
      <c r="CL152" s="211"/>
      <c r="CM152" s="258"/>
      <c r="CN152" s="173"/>
      <c r="CO152" s="173"/>
      <c r="CP152" s="173"/>
      <c r="CQ152" s="173"/>
      <c r="CR152" s="173"/>
      <c r="CS152" s="173"/>
      <c r="CT152" s="173"/>
      <c r="CU152" s="173"/>
    </row>
    <row r="153" spans="1:99" s="4" customFormat="1">
      <c r="A153" s="16" t="s">
        <v>33</v>
      </c>
      <c r="B153" s="21"/>
      <c r="C153" s="22"/>
      <c r="D153" s="265"/>
      <c r="E153" s="266"/>
      <c r="F153" s="266"/>
      <c r="G153" s="266"/>
      <c r="H153" s="267"/>
      <c r="I153" s="268"/>
      <c r="J153" s="269"/>
      <c r="K153" s="290"/>
      <c r="L153" s="265"/>
      <c r="M153" s="266"/>
      <c r="N153" s="266"/>
      <c r="O153" s="266"/>
      <c r="P153" s="271"/>
      <c r="Q153" s="268"/>
      <c r="R153" s="269"/>
      <c r="S153" s="290"/>
      <c r="T153" s="265"/>
      <c r="U153" s="266"/>
      <c r="V153" s="266"/>
      <c r="W153" s="266"/>
      <c r="X153" s="271"/>
      <c r="Y153" s="268"/>
      <c r="Z153" s="269"/>
      <c r="AA153" s="290"/>
      <c r="AB153" s="265"/>
      <c r="AC153" s="266"/>
      <c r="AD153" s="266"/>
      <c r="AE153" s="266"/>
      <c r="AF153" s="271"/>
      <c r="AG153" s="268"/>
      <c r="AH153" s="269"/>
      <c r="AI153" s="290"/>
      <c r="AJ153" s="265"/>
      <c r="AK153" s="266"/>
      <c r="AL153" s="266"/>
      <c r="AM153" s="266"/>
      <c r="AN153" s="271"/>
      <c r="AO153" s="268"/>
      <c r="AP153" s="269"/>
      <c r="AQ153" s="290"/>
      <c r="AR153" s="272"/>
      <c r="AS153" s="268"/>
      <c r="AT153" s="268"/>
      <c r="AU153" s="268"/>
      <c r="AV153" s="273"/>
      <c r="AW153" s="268"/>
      <c r="AX153" s="269"/>
      <c r="AY153" s="45"/>
      <c r="AZ153" s="19">
        <f t="shared" si="26"/>
        <v>49.673285714285711</v>
      </c>
      <c r="BA153" s="227">
        <f t="shared" si="27"/>
        <v>8</v>
      </c>
      <c r="BB153" s="173"/>
      <c r="BC153" s="173"/>
      <c r="BD153" s="173"/>
      <c r="BE153" s="173"/>
      <c r="BF153" s="173"/>
      <c r="BG153" s="173"/>
      <c r="BH153" s="173"/>
      <c r="BI153" s="173"/>
      <c r="BJ153" s="173"/>
      <c r="BK153" s="173"/>
      <c r="BL153" s="173"/>
      <c r="BM153" s="173"/>
      <c r="BN153" s="173"/>
      <c r="BO153" s="324">
        <f t="shared" si="25"/>
        <v>289</v>
      </c>
      <c r="BP153" s="319"/>
      <c r="BQ153" s="324">
        <v>273</v>
      </c>
      <c r="BR153" s="358"/>
      <c r="BS153" s="358">
        <v>7.4</v>
      </c>
      <c r="BT153" s="319"/>
      <c r="BU153" s="324">
        <v>284</v>
      </c>
      <c r="BV153" s="358">
        <v>47.302857142857142</v>
      </c>
      <c r="BW153" s="358">
        <v>8</v>
      </c>
      <c r="BX153" s="319"/>
      <c r="BY153" s="217"/>
      <c r="BZ153" s="219"/>
      <c r="CA153" s="262"/>
      <c r="CB153" s="218"/>
      <c r="CC153" s="217"/>
      <c r="CD153" s="219"/>
      <c r="CE153" s="217"/>
      <c r="CF153" s="220"/>
      <c r="CG153" s="211"/>
      <c r="CH153" s="211"/>
      <c r="CI153" s="262"/>
      <c r="CJ153" s="319"/>
      <c r="CK153" s="211"/>
      <c r="CL153" s="211"/>
      <c r="CM153" s="258"/>
      <c r="CN153" s="173"/>
      <c r="CO153" s="173"/>
      <c r="CP153" s="173"/>
      <c r="CQ153" s="173"/>
      <c r="CR153" s="173"/>
      <c r="CS153" s="173"/>
      <c r="CT153" s="173"/>
      <c r="CU153" s="173"/>
    </row>
    <row r="154" spans="1:99" s="4" customFormat="1">
      <c r="A154" s="16" t="s">
        <v>33</v>
      </c>
      <c r="B154" s="21"/>
      <c r="C154" s="22"/>
      <c r="D154" s="265"/>
      <c r="E154" s="266"/>
      <c r="F154" s="266"/>
      <c r="G154" s="266"/>
      <c r="H154" s="267"/>
      <c r="I154" s="268"/>
      <c r="J154" s="269"/>
      <c r="K154" s="290"/>
      <c r="L154" s="265"/>
      <c r="M154" s="266"/>
      <c r="N154" s="266"/>
      <c r="O154" s="266"/>
      <c r="P154" s="271"/>
      <c r="Q154" s="268"/>
      <c r="R154" s="269"/>
      <c r="S154" s="290"/>
      <c r="T154" s="265"/>
      <c r="U154" s="266"/>
      <c r="V154" s="266"/>
      <c r="W154" s="266"/>
      <c r="X154" s="271"/>
      <c r="Y154" s="268"/>
      <c r="Z154" s="269"/>
      <c r="AA154" s="290"/>
      <c r="AB154" s="265"/>
      <c r="AC154" s="266"/>
      <c r="AD154" s="266"/>
      <c r="AE154" s="266"/>
      <c r="AF154" s="271"/>
      <c r="AG154" s="268"/>
      <c r="AH154" s="269"/>
      <c r="AI154" s="290"/>
      <c r="AJ154" s="265"/>
      <c r="AK154" s="266"/>
      <c r="AL154" s="266"/>
      <c r="AM154" s="266"/>
      <c r="AN154" s="271"/>
      <c r="AO154" s="268"/>
      <c r="AP154" s="269"/>
      <c r="AQ154" s="290"/>
      <c r="AR154" s="272"/>
      <c r="AS154" s="268"/>
      <c r="AT154" s="268"/>
      <c r="AU154" s="268"/>
      <c r="AV154" s="273"/>
      <c r="AW154" s="268"/>
      <c r="AX154" s="269"/>
      <c r="AY154" s="45"/>
      <c r="AZ154" s="19">
        <f t="shared" si="26"/>
        <v>49.673285714285711</v>
      </c>
      <c r="BA154" s="227">
        <f t="shared" si="27"/>
        <v>8</v>
      </c>
      <c r="BB154" s="173"/>
      <c r="BC154" s="173"/>
      <c r="BD154" s="173"/>
      <c r="BE154" s="173"/>
      <c r="BF154" s="173"/>
      <c r="BG154" s="173"/>
      <c r="BH154" s="173"/>
      <c r="BI154" s="173"/>
      <c r="BJ154" s="173"/>
      <c r="BK154" s="173"/>
      <c r="BL154" s="173"/>
      <c r="BM154" s="173"/>
      <c r="BN154" s="173"/>
      <c r="BO154" s="324">
        <f t="shared" si="25"/>
        <v>289</v>
      </c>
      <c r="BP154" s="319"/>
      <c r="BQ154" s="324">
        <v>273</v>
      </c>
      <c r="BR154" s="358"/>
      <c r="BS154" s="358">
        <v>7.4</v>
      </c>
      <c r="BT154" s="319"/>
      <c r="BU154" s="324">
        <v>284</v>
      </c>
      <c r="BV154" s="358">
        <v>47.302857142857142</v>
      </c>
      <c r="BW154" s="358">
        <v>8</v>
      </c>
      <c r="BX154" s="319"/>
      <c r="BY154" s="217"/>
      <c r="BZ154" s="219"/>
      <c r="CA154" s="262"/>
      <c r="CB154" s="218"/>
      <c r="CC154" s="217"/>
      <c r="CD154" s="219"/>
      <c r="CE154" s="217"/>
      <c r="CF154" s="220"/>
      <c r="CG154" s="211"/>
      <c r="CH154" s="211"/>
      <c r="CI154" s="262"/>
      <c r="CJ154" s="319"/>
      <c r="CK154" s="211"/>
      <c r="CL154" s="211"/>
      <c r="CM154" s="258"/>
      <c r="CN154" s="173"/>
      <c r="CO154" s="173"/>
      <c r="CP154" s="173"/>
      <c r="CQ154" s="173"/>
      <c r="CR154" s="173"/>
      <c r="CS154" s="173"/>
      <c r="CT154" s="173"/>
      <c r="CU154" s="173"/>
    </row>
    <row r="155" spans="1:99" s="13" customFormat="1" ht="13" thickBot="1">
      <c r="A155" s="17" t="s">
        <v>33</v>
      </c>
      <c r="B155" s="29"/>
      <c r="C155" s="30"/>
      <c r="D155" s="274"/>
      <c r="E155" s="275"/>
      <c r="F155" s="275"/>
      <c r="G155" s="275"/>
      <c r="H155" s="276"/>
      <c r="I155" s="277"/>
      <c r="J155" s="278"/>
      <c r="K155" s="291"/>
      <c r="L155" s="274"/>
      <c r="M155" s="275"/>
      <c r="N155" s="275"/>
      <c r="O155" s="275"/>
      <c r="P155" s="279"/>
      <c r="Q155" s="277"/>
      <c r="R155" s="278"/>
      <c r="S155" s="291"/>
      <c r="T155" s="274"/>
      <c r="U155" s="275"/>
      <c r="V155" s="275"/>
      <c r="W155" s="275"/>
      <c r="X155" s="279"/>
      <c r="Y155" s="277"/>
      <c r="Z155" s="278"/>
      <c r="AA155" s="291"/>
      <c r="AB155" s="274"/>
      <c r="AC155" s="275"/>
      <c r="AD155" s="275"/>
      <c r="AE155" s="275"/>
      <c r="AF155" s="279"/>
      <c r="AG155" s="277"/>
      <c r="AH155" s="278"/>
      <c r="AI155" s="291"/>
      <c r="AJ155" s="274"/>
      <c r="AK155" s="275"/>
      <c r="AL155" s="275"/>
      <c r="AM155" s="275"/>
      <c r="AN155" s="279"/>
      <c r="AO155" s="277"/>
      <c r="AP155" s="278"/>
      <c r="AQ155" s="291"/>
      <c r="AR155" s="280"/>
      <c r="AS155" s="277"/>
      <c r="AT155" s="277"/>
      <c r="AU155" s="277"/>
      <c r="AV155" s="281"/>
      <c r="AW155" s="277"/>
      <c r="AX155" s="278"/>
      <c r="AY155" s="46"/>
      <c r="AZ155" s="20">
        <f t="shared" si="26"/>
        <v>49.673285714285711</v>
      </c>
      <c r="BA155" s="208">
        <f t="shared" si="27"/>
        <v>8</v>
      </c>
      <c r="BB155" s="176"/>
      <c r="BC155" s="176"/>
      <c r="BD155" s="176"/>
      <c r="BE155" s="176"/>
      <c r="BF155" s="176"/>
      <c r="BG155" s="176"/>
      <c r="BH155" s="176"/>
      <c r="BI155" s="176"/>
      <c r="BJ155" s="176"/>
      <c r="BK155" s="176"/>
      <c r="BL155" s="176"/>
      <c r="BM155" s="176"/>
      <c r="BN155" s="176"/>
      <c r="BO155" s="325">
        <f t="shared" si="25"/>
        <v>289</v>
      </c>
      <c r="BP155" s="238"/>
      <c r="BQ155" s="325">
        <v>273</v>
      </c>
      <c r="BR155" s="359"/>
      <c r="BS155" s="359">
        <v>7.4</v>
      </c>
      <c r="BT155" s="238"/>
      <c r="BU155" s="325">
        <v>284</v>
      </c>
      <c r="BV155" s="359">
        <v>47.302857142857142</v>
      </c>
      <c r="BW155" s="359">
        <v>8</v>
      </c>
      <c r="BX155" s="238"/>
      <c r="BY155" s="255"/>
      <c r="BZ155" s="244"/>
      <c r="CA155" s="264"/>
      <c r="CB155" s="254"/>
      <c r="CC155" s="255"/>
      <c r="CD155" s="244"/>
      <c r="CE155" s="255"/>
      <c r="CF155" s="263"/>
      <c r="CG155" s="239"/>
      <c r="CH155" s="239"/>
      <c r="CI155" s="264"/>
      <c r="CJ155" s="238"/>
      <c r="CK155" s="239"/>
      <c r="CL155" s="239"/>
      <c r="CM155" s="240"/>
      <c r="CN155" s="176"/>
      <c r="CO155" s="176"/>
      <c r="CP155" s="176"/>
      <c r="CQ155" s="176"/>
      <c r="CR155" s="176"/>
      <c r="CS155" s="176"/>
      <c r="CT155" s="176"/>
      <c r="CU155" s="176"/>
    </row>
    <row r="156" spans="1:99" s="4" customFormat="1">
      <c r="A156" s="173"/>
      <c r="B156" s="174"/>
      <c r="C156" s="177"/>
      <c r="D156" s="173"/>
      <c r="E156" s="173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  <c r="AD156" s="173"/>
      <c r="AE156" s="173"/>
      <c r="AF156" s="173"/>
      <c r="AG156" s="173"/>
      <c r="AH156" s="173"/>
      <c r="AI156" s="173"/>
      <c r="AJ156" s="173"/>
      <c r="AK156" s="173"/>
      <c r="AL156" s="173"/>
      <c r="AM156" s="173"/>
      <c r="AN156" s="173"/>
      <c r="AO156" s="173"/>
      <c r="AP156" s="173"/>
      <c r="AQ156" s="173"/>
      <c r="AR156" s="173"/>
      <c r="AS156" s="173"/>
      <c r="AT156" s="173"/>
      <c r="AU156" s="173"/>
      <c r="AV156" s="173"/>
      <c r="AW156" s="173"/>
      <c r="AX156" s="173"/>
      <c r="AY156" s="173"/>
      <c r="AZ156" s="173"/>
      <c r="BA156" s="173"/>
      <c r="BB156" s="173"/>
      <c r="BC156" s="173"/>
      <c r="BD156" s="173"/>
      <c r="BE156" s="173"/>
      <c r="BF156" s="173"/>
      <c r="BG156" s="173"/>
      <c r="BH156" s="173"/>
      <c r="BI156" s="173"/>
      <c r="BJ156" s="173"/>
      <c r="BK156" s="173"/>
      <c r="BL156" s="173"/>
      <c r="BM156" s="173"/>
      <c r="BN156" s="173"/>
      <c r="BO156" s="217"/>
      <c r="BP156" s="217"/>
      <c r="BQ156" s="217"/>
      <c r="BR156" s="217"/>
      <c r="BS156" s="217"/>
      <c r="BT156" s="217"/>
      <c r="BU156" s="217"/>
      <c r="BV156" s="217"/>
      <c r="BW156" s="217"/>
      <c r="BX156" s="217"/>
      <c r="BY156" s="217"/>
      <c r="BZ156" s="217"/>
      <c r="CA156" s="217"/>
      <c r="CB156" s="217"/>
      <c r="CC156" s="217"/>
      <c r="CD156" s="219"/>
      <c r="CE156" s="217"/>
      <c r="CF156" s="211"/>
      <c r="CG156" s="211"/>
      <c r="CH156" s="211"/>
      <c r="CI156" s="211"/>
      <c r="CJ156" s="218"/>
      <c r="CK156" s="211"/>
      <c r="CL156" s="211"/>
      <c r="CM156" s="211"/>
      <c r="CN156" s="173"/>
      <c r="CO156" s="173"/>
      <c r="CP156" s="173"/>
      <c r="CQ156" s="173"/>
      <c r="CR156" s="173"/>
      <c r="CS156" s="173"/>
      <c r="CT156" s="173"/>
      <c r="CU156" s="173"/>
    </row>
    <row r="157" spans="1:99" s="4" customFormat="1">
      <c r="A157" s="173"/>
      <c r="B157" s="174"/>
      <c r="C157" s="177"/>
      <c r="D157" s="173"/>
      <c r="E157" s="173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  <c r="AD157" s="173"/>
      <c r="AE157" s="173"/>
      <c r="AF157" s="173"/>
      <c r="AG157" s="173"/>
      <c r="AH157" s="173"/>
      <c r="AI157" s="173"/>
      <c r="AJ157" s="173"/>
      <c r="AK157" s="173"/>
      <c r="AL157" s="173"/>
      <c r="AM157" s="173"/>
      <c r="AN157" s="173"/>
      <c r="AO157" s="173"/>
      <c r="AP157" s="173"/>
      <c r="AQ157" s="173"/>
      <c r="AR157" s="173"/>
      <c r="AS157" s="173"/>
      <c r="AT157" s="173"/>
      <c r="AU157" s="173"/>
      <c r="AV157" s="173"/>
      <c r="AW157" s="173"/>
      <c r="AX157" s="173"/>
      <c r="AY157" s="173"/>
      <c r="AZ157" s="173"/>
      <c r="BA157" s="173"/>
      <c r="BB157" s="173"/>
      <c r="BC157" s="173"/>
      <c r="BD157" s="173"/>
      <c r="BE157" s="173"/>
      <c r="BF157" s="173"/>
      <c r="BG157" s="173"/>
      <c r="BH157" s="173"/>
      <c r="BI157" s="173"/>
      <c r="BJ157" s="173"/>
      <c r="BK157" s="173"/>
      <c r="BL157" s="173"/>
      <c r="BM157" s="173"/>
      <c r="BN157" s="173"/>
      <c r="BO157" s="217"/>
      <c r="BP157" s="217"/>
      <c r="BQ157" s="217"/>
      <c r="BR157" s="217"/>
      <c r="BS157" s="217"/>
      <c r="BT157" s="217"/>
      <c r="BU157" s="217"/>
      <c r="BV157" s="217"/>
      <c r="BW157" s="217"/>
      <c r="BX157" s="217"/>
      <c r="BY157" s="217"/>
      <c r="BZ157" s="217"/>
      <c r="CA157" s="217"/>
      <c r="CB157" s="217"/>
      <c r="CC157" s="217"/>
      <c r="CD157" s="219"/>
      <c r="CE157" s="217"/>
      <c r="CF157" s="211"/>
      <c r="CG157" s="211"/>
      <c r="CH157" s="211"/>
      <c r="CI157" s="211"/>
      <c r="CJ157" s="218"/>
      <c r="CK157" s="211"/>
      <c r="CL157" s="211"/>
      <c r="CM157" s="211"/>
      <c r="CN157" s="173"/>
      <c r="CO157" s="173"/>
      <c r="CP157" s="173"/>
      <c r="CQ157" s="173"/>
      <c r="CR157" s="173"/>
      <c r="CS157" s="173"/>
      <c r="CT157" s="173"/>
      <c r="CU157" s="173"/>
    </row>
    <row r="158" spans="1:99" s="4" customFormat="1">
      <c r="A158" s="173"/>
      <c r="B158" s="174"/>
      <c r="C158" s="177"/>
      <c r="D158" s="173"/>
      <c r="E158" s="173"/>
      <c r="F158" s="173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73"/>
      <c r="AB158" s="173"/>
      <c r="AC158" s="173"/>
      <c r="AD158" s="173"/>
      <c r="AE158" s="173"/>
      <c r="AF158" s="173"/>
      <c r="AG158" s="173"/>
      <c r="AH158" s="173"/>
      <c r="AI158" s="173"/>
      <c r="AJ158" s="173"/>
      <c r="AK158" s="173"/>
      <c r="AL158" s="173"/>
      <c r="AM158" s="173"/>
      <c r="AN158" s="173"/>
      <c r="AO158" s="173"/>
      <c r="AP158" s="173"/>
      <c r="AQ158" s="173"/>
      <c r="AR158" s="173"/>
      <c r="AS158" s="173"/>
      <c r="AT158" s="173"/>
      <c r="AU158" s="173"/>
      <c r="AV158" s="173"/>
      <c r="AW158" s="173"/>
      <c r="AX158" s="173"/>
      <c r="AY158" s="173"/>
      <c r="AZ158" s="173"/>
      <c r="BA158" s="173"/>
      <c r="BB158" s="173"/>
      <c r="BC158" s="173"/>
      <c r="BD158" s="173"/>
      <c r="BE158" s="173"/>
      <c r="BF158" s="173"/>
      <c r="BG158" s="173"/>
      <c r="BH158" s="173"/>
      <c r="BI158" s="173"/>
      <c r="BJ158" s="173"/>
      <c r="BK158" s="173"/>
      <c r="BL158" s="173"/>
      <c r="BM158" s="173"/>
      <c r="BN158" s="173"/>
      <c r="BO158" s="217"/>
      <c r="BP158" s="217"/>
      <c r="BQ158" s="217"/>
      <c r="BR158" s="217"/>
      <c r="BS158" s="217"/>
      <c r="BT158" s="217"/>
      <c r="BU158" s="217"/>
      <c r="BV158" s="217"/>
      <c r="BW158" s="217"/>
      <c r="BX158" s="217"/>
      <c r="BY158" s="217"/>
      <c r="BZ158" s="217"/>
      <c r="CA158" s="217"/>
      <c r="CB158" s="217"/>
      <c r="CC158" s="217"/>
      <c r="CD158" s="219"/>
      <c r="CE158" s="217"/>
      <c r="CF158" s="211"/>
      <c r="CG158" s="211"/>
      <c r="CH158" s="211"/>
      <c r="CI158" s="211"/>
      <c r="CJ158" s="218"/>
      <c r="CK158" s="211"/>
      <c r="CL158" s="211"/>
      <c r="CM158" s="211"/>
      <c r="CN158" s="173"/>
      <c r="CO158" s="173"/>
      <c r="CP158" s="173"/>
      <c r="CQ158" s="173"/>
      <c r="CR158" s="173"/>
      <c r="CS158" s="173"/>
      <c r="CT158" s="173"/>
      <c r="CU158" s="173"/>
    </row>
    <row r="159" spans="1:99" s="4" customFormat="1">
      <c r="A159" s="173"/>
      <c r="B159" s="174"/>
      <c r="C159" s="177"/>
      <c r="D159" s="173"/>
      <c r="E159" s="173"/>
      <c r="F159" s="173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73"/>
      <c r="AD159" s="173"/>
      <c r="AE159" s="173"/>
      <c r="AF159" s="173"/>
      <c r="AG159" s="173"/>
      <c r="AH159" s="173"/>
      <c r="AI159" s="173"/>
      <c r="AJ159" s="173"/>
      <c r="AK159" s="173"/>
      <c r="AL159" s="173"/>
      <c r="AM159" s="173"/>
      <c r="AN159" s="173"/>
      <c r="AO159" s="173"/>
      <c r="AP159" s="173"/>
      <c r="AQ159" s="173"/>
      <c r="AR159" s="173"/>
      <c r="AS159" s="173"/>
      <c r="AT159" s="173"/>
      <c r="AU159" s="173"/>
      <c r="AV159" s="173"/>
      <c r="AW159" s="173"/>
      <c r="AX159" s="173"/>
      <c r="AY159" s="173"/>
      <c r="AZ159" s="173"/>
      <c r="BA159" s="173"/>
      <c r="BB159" s="173"/>
      <c r="BC159" s="173"/>
      <c r="BD159" s="173"/>
      <c r="BE159" s="173"/>
      <c r="BF159" s="173"/>
      <c r="BG159" s="173"/>
      <c r="BH159" s="173"/>
      <c r="BI159" s="173"/>
      <c r="BJ159" s="173"/>
      <c r="BK159" s="173"/>
      <c r="BL159" s="173"/>
      <c r="BM159" s="173"/>
      <c r="BN159" s="173"/>
      <c r="BO159" s="217"/>
      <c r="BP159" s="217"/>
      <c r="BQ159" s="217"/>
      <c r="BR159" s="217"/>
      <c r="BS159" s="217"/>
      <c r="BT159" s="217"/>
      <c r="BU159" s="217"/>
      <c r="BV159" s="217"/>
      <c r="BW159" s="217"/>
      <c r="BX159" s="217"/>
      <c r="BY159" s="217"/>
      <c r="BZ159" s="217"/>
      <c r="CA159" s="217"/>
      <c r="CB159" s="217"/>
      <c r="CC159" s="217"/>
      <c r="CD159" s="219"/>
      <c r="CE159" s="217"/>
      <c r="CF159" s="211"/>
      <c r="CG159" s="211"/>
      <c r="CH159" s="211"/>
      <c r="CI159" s="211"/>
      <c r="CJ159" s="218"/>
      <c r="CK159" s="211"/>
      <c r="CL159" s="211"/>
      <c r="CM159" s="211"/>
      <c r="CN159" s="173"/>
      <c r="CO159" s="173"/>
      <c r="CP159" s="173"/>
      <c r="CQ159" s="173"/>
      <c r="CR159" s="173"/>
      <c r="CS159" s="173"/>
      <c r="CT159" s="173"/>
      <c r="CU159" s="173"/>
    </row>
    <row r="160" spans="1:99" s="4" customFormat="1">
      <c r="A160" s="173"/>
      <c r="B160" s="174"/>
      <c r="C160" s="177"/>
      <c r="D160" s="173"/>
      <c r="E160" s="173"/>
      <c r="F160" s="173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73"/>
      <c r="AB160" s="173"/>
      <c r="AC160" s="173"/>
      <c r="AD160" s="173"/>
      <c r="AE160" s="173"/>
      <c r="AF160" s="173"/>
      <c r="AG160" s="173"/>
      <c r="AH160" s="173"/>
      <c r="AI160" s="173"/>
      <c r="AJ160" s="173"/>
      <c r="AK160" s="173"/>
      <c r="AL160" s="173"/>
      <c r="AM160" s="173"/>
      <c r="AN160" s="173"/>
      <c r="AO160" s="173"/>
      <c r="AP160" s="173"/>
      <c r="AQ160" s="173"/>
      <c r="AR160" s="173"/>
      <c r="AS160" s="173"/>
      <c r="AT160" s="173"/>
      <c r="AU160" s="173"/>
      <c r="AV160" s="173"/>
      <c r="AW160" s="173"/>
      <c r="AX160" s="173"/>
      <c r="AY160" s="173"/>
      <c r="AZ160" s="173"/>
      <c r="BA160" s="173"/>
      <c r="BB160" s="173"/>
      <c r="BC160" s="173"/>
      <c r="BD160" s="173"/>
      <c r="BE160" s="173"/>
      <c r="BF160" s="173"/>
      <c r="BG160" s="173"/>
      <c r="BH160" s="173"/>
      <c r="BI160" s="173"/>
      <c r="BJ160" s="173"/>
      <c r="BK160" s="173"/>
      <c r="BL160" s="173"/>
      <c r="BM160" s="173"/>
      <c r="BN160" s="173"/>
      <c r="BO160" s="217"/>
      <c r="BP160" s="217"/>
      <c r="BQ160" s="217"/>
      <c r="BR160" s="217"/>
      <c r="BS160" s="217"/>
      <c r="BT160" s="217"/>
      <c r="BU160" s="217"/>
      <c r="BV160" s="217"/>
      <c r="BW160" s="217"/>
      <c r="BX160" s="217"/>
      <c r="BY160" s="217"/>
      <c r="BZ160" s="217"/>
      <c r="CA160" s="217"/>
      <c r="CB160" s="217"/>
      <c r="CC160" s="217"/>
      <c r="CD160" s="219"/>
      <c r="CE160" s="217"/>
      <c r="CF160" s="211"/>
      <c r="CG160" s="211"/>
      <c r="CH160" s="211"/>
      <c r="CI160" s="211"/>
      <c r="CJ160" s="218"/>
      <c r="CK160" s="211"/>
      <c r="CL160" s="211"/>
      <c r="CM160" s="211"/>
      <c r="CN160" s="173"/>
      <c r="CO160" s="173"/>
      <c r="CP160" s="173"/>
      <c r="CQ160" s="173"/>
      <c r="CR160" s="173"/>
      <c r="CS160" s="173"/>
      <c r="CT160" s="173"/>
      <c r="CU160" s="173"/>
    </row>
    <row r="161" spans="1:99" s="4" customFormat="1">
      <c r="A161" s="173"/>
      <c r="B161" s="174"/>
      <c r="C161" s="177"/>
      <c r="D161" s="173"/>
      <c r="E161" s="173"/>
      <c r="F161" s="173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73"/>
      <c r="AD161" s="173"/>
      <c r="AE161" s="173"/>
      <c r="AF161" s="173"/>
      <c r="AG161" s="173"/>
      <c r="AH161" s="173"/>
      <c r="AI161" s="173"/>
      <c r="AJ161" s="173"/>
      <c r="AK161" s="173"/>
      <c r="AL161" s="173"/>
      <c r="AM161" s="173"/>
      <c r="AN161" s="173"/>
      <c r="AO161" s="173"/>
      <c r="AP161" s="173"/>
      <c r="AQ161" s="173"/>
      <c r="AR161" s="173"/>
      <c r="AS161" s="173"/>
      <c r="AT161" s="173"/>
      <c r="AU161" s="173"/>
      <c r="AV161" s="173"/>
      <c r="AW161" s="173"/>
      <c r="AX161" s="173"/>
      <c r="AY161" s="173"/>
      <c r="AZ161" s="173"/>
      <c r="BA161" s="173"/>
      <c r="BB161" s="173"/>
      <c r="BC161" s="173"/>
      <c r="BD161" s="173"/>
      <c r="BE161" s="173"/>
      <c r="BF161" s="173"/>
      <c r="BG161" s="173"/>
      <c r="BH161" s="173"/>
      <c r="BI161" s="173"/>
      <c r="BJ161" s="173"/>
      <c r="BK161" s="173"/>
      <c r="BL161" s="173"/>
      <c r="BM161" s="173"/>
      <c r="BN161" s="173"/>
      <c r="BO161" s="217"/>
      <c r="BP161" s="217"/>
      <c r="BQ161" s="217"/>
      <c r="BR161" s="217"/>
      <c r="BS161" s="217"/>
      <c r="BT161" s="217"/>
      <c r="BU161" s="217"/>
      <c r="BV161" s="217"/>
      <c r="BW161" s="217"/>
      <c r="BX161" s="217"/>
      <c r="BY161" s="217"/>
      <c r="BZ161" s="217"/>
      <c r="CA161" s="217"/>
      <c r="CB161" s="217"/>
      <c r="CC161" s="217"/>
      <c r="CD161" s="219"/>
      <c r="CE161" s="217"/>
      <c r="CF161" s="211"/>
      <c r="CG161" s="211"/>
      <c r="CH161" s="211"/>
      <c r="CI161" s="211"/>
      <c r="CJ161" s="218"/>
      <c r="CK161" s="211"/>
      <c r="CL161" s="211"/>
      <c r="CM161" s="211"/>
      <c r="CN161" s="173"/>
      <c r="CO161" s="173"/>
      <c r="CP161" s="173"/>
      <c r="CQ161" s="173"/>
      <c r="CR161" s="173"/>
      <c r="CS161" s="173"/>
      <c r="CT161" s="173"/>
      <c r="CU161" s="173"/>
    </row>
    <row r="162" spans="1:99" s="4" customFormat="1">
      <c r="A162" s="173"/>
      <c r="B162" s="174"/>
      <c r="C162" s="177"/>
      <c r="D162" s="173"/>
      <c r="E162" s="173"/>
      <c r="F162" s="173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73"/>
      <c r="AD162" s="173"/>
      <c r="AE162" s="173"/>
      <c r="AF162" s="173"/>
      <c r="AG162" s="173"/>
      <c r="AH162" s="173"/>
      <c r="AI162" s="173"/>
      <c r="AJ162" s="173"/>
      <c r="AK162" s="173"/>
      <c r="AL162" s="173"/>
      <c r="AM162" s="173"/>
      <c r="AN162" s="173"/>
      <c r="AO162" s="173"/>
      <c r="AP162" s="173"/>
      <c r="AQ162" s="173"/>
      <c r="AR162" s="173"/>
      <c r="AS162" s="173"/>
      <c r="AT162" s="173"/>
      <c r="AU162" s="173"/>
      <c r="AV162" s="173"/>
      <c r="AW162" s="173"/>
      <c r="AX162" s="173"/>
      <c r="AY162" s="173"/>
      <c r="AZ162" s="173"/>
      <c r="BA162" s="173"/>
      <c r="BB162" s="173"/>
      <c r="BC162" s="173"/>
      <c r="BD162" s="173"/>
      <c r="BE162" s="173"/>
      <c r="BF162" s="173"/>
      <c r="BG162" s="173"/>
      <c r="BH162" s="173"/>
      <c r="BI162" s="173"/>
      <c r="BJ162" s="173"/>
      <c r="BK162" s="173"/>
      <c r="BL162" s="173"/>
      <c r="BM162" s="173"/>
      <c r="BN162" s="173"/>
      <c r="BO162" s="217"/>
      <c r="BP162" s="217"/>
      <c r="BQ162" s="217"/>
      <c r="BR162" s="217"/>
      <c r="BS162" s="217"/>
      <c r="BT162" s="217"/>
      <c r="BU162" s="217"/>
      <c r="BV162" s="217"/>
      <c r="BW162" s="217"/>
      <c r="BX162" s="217"/>
      <c r="BY162" s="217"/>
      <c r="BZ162" s="217"/>
      <c r="CA162" s="217"/>
      <c r="CB162" s="217"/>
      <c r="CC162" s="217"/>
      <c r="CD162" s="219"/>
      <c r="CE162" s="217"/>
      <c r="CF162" s="211"/>
      <c r="CG162" s="211"/>
      <c r="CH162" s="211"/>
      <c r="CI162" s="211"/>
      <c r="CJ162" s="218"/>
      <c r="CK162" s="211"/>
      <c r="CL162" s="211"/>
      <c r="CM162" s="211"/>
      <c r="CN162" s="173"/>
      <c r="CO162" s="173"/>
      <c r="CP162" s="173"/>
      <c r="CQ162" s="173"/>
      <c r="CR162" s="173"/>
      <c r="CS162" s="173"/>
      <c r="CT162" s="173"/>
      <c r="CU162" s="173"/>
    </row>
    <row r="163" spans="1:99" s="4" customFormat="1">
      <c r="A163" s="173"/>
      <c r="B163" s="174"/>
      <c r="C163" s="177"/>
      <c r="D163" s="173"/>
      <c r="E163" s="173"/>
      <c r="F163" s="173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73"/>
      <c r="AD163" s="173"/>
      <c r="AE163" s="173"/>
      <c r="AF163" s="173"/>
      <c r="AG163" s="173"/>
      <c r="AH163" s="173"/>
      <c r="AI163" s="173"/>
      <c r="AJ163" s="173"/>
      <c r="AK163" s="173"/>
      <c r="AL163" s="173"/>
      <c r="AM163" s="173"/>
      <c r="AN163" s="173"/>
      <c r="AO163" s="173"/>
      <c r="AP163" s="173"/>
      <c r="AQ163" s="173"/>
      <c r="AR163" s="173"/>
      <c r="AS163" s="173"/>
      <c r="AT163" s="173"/>
      <c r="AU163" s="173"/>
      <c r="AV163" s="173"/>
      <c r="AW163" s="173"/>
      <c r="AX163" s="173"/>
      <c r="AY163" s="173"/>
      <c r="AZ163" s="173"/>
      <c r="BA163" s="173"/>
      <c r="BB163" s="173"/>
      <c r="BC163" s="173"/>
      <c r="BD163" s="173"/>
      <c r="BE163" s="173"/>
      <c r="BF163" s="173"/>
      <c r="BG163" s="173"/>
      <c r="BH163" s="173"/>
      <c r="BI163" s="173"/>
      <c r="BJ163" s="173"/>
      <c r="BK163" s="173"/>
      <c r="BL163" s="173"/>
      <c r="BM163" s="173"/>
      <c r="BN163" s="173"/>
      <c r="BO163" s="217"/>
      <c r="BP163" s="217"/>
      <c r="BQ163" s="217"/>
      <c r="BR163" s="217"/>
      <c r="BS163" s="217"/>
      <c r="BT163" s="217"/>
      <c r="BU163" s="217"/>
      <c r="BV163" s="217"/>
      <c r="BW163" s="217"/>
      <c r="BX163" s="217"/>
      <c r="BY163" s="217"/>
      <c r="BZ163" s="217"/>
      <c r="CA163" s="217"/>
      <c r="CB163" s="217"/>
      <c r="CC163" s="217"/>
      <c r="CD163" s="219"/>
      <c r="CE163" s="217"/>
      <c r="CF163" s="211"/>
      <c r="CG163" s="211"/>
      <c r="CH163" s="211"/>
      <c r="CI163" s="211"/>
      <c r="CJ163" s="218"/>
      <c r="CK163" s="211"/>
      <c r="CL163" s="211"/>
      <c r="CM163" s="211"/>
      <c r="CN163" s="173"/>
      <c r="CO163" s="173"/>
      <c r="CP163" s="173"/>
      <c r="CQ163" s="173"/>
      <c r="CR163" s="173"/>
      <c r="CS163" s="173"/>
      <c r="CT163" s="173"/>
      <c r="CU163" s="173"/>
    </row>
    <row r="164" spans="1:99" s="4" customFormat="1">
      <c r="A164" s="173"/>
      <c r="B164" s="174"/>
      <c r="C164" s="177"/>
      <c r="D164" s="173"/>
      <c r="E164" s="173"/>
      <c r="F164" s="173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73"/>
      <c r="AD164" s="173"/>
      <c r="AE164" s="173"/>
      <c r="AF164" s="173"/>
      <c r="AG164" s="173"/>
      <c r="AH164" s="173"/>
      <c r="AI164" s="173"/>
      <c r="AJ164" s="173"/>
      <c r="AK164" s="173"/>
      <c r="AL164" s="173"/>
      <c r="AM164" s="173"/>
      <c r="AN164" s="173"/>
      <c r="AO164" s="173"/>
      <c r="AP164" s="173"/>
      <c r="AQ164" s="173"/>
      <c r="AR164" s="173"/>
      <c r="AS164" s="173"/>
      <c r="AT164" s="173"/>
      <c r="AU164" s="173"/>
      <c r="AV164" s="173"/>
      <c r="AW164" s="173"/>
      <c r="AX164" s="173"/>
      <c r="AY164" s="173"/>
      <c r="AZ164" s="173"/>
      <c r="BA164" s="173"/>
      <c r="BB164" s="173"/>
      <c r="BC164" s="173"/>
      <c r="BD164" s="173"/>
      <c r="BE164" s="173"/>
      <c r="BF164" s="173"/>
      <c r="BG164" s="173"/>
      <c r="BH164" s="173"/>
      <c r="BI164" s="173"/>
      <c r="BJ164" s="173"/>
      <c r="BK164" s="173"/>
      <c r="BL164" s="173"/>
      <c r="BM164" s="173"/>
      <c r="BN164" s="173"/>
      <c r="BO164" s="217"/>
      <c r="BP164" s="217"/>
      <c r="BQ164" s="217"/>
      <c r="BR164" s="217"/>
      <c r="BS164" s="217"/>
      <c r="BT164" s="217"/>
      <c r="BU164" s="217"/>
      <c r="BV164" s="217"/>
      <c r="BW164" s="217"/>
      <c r="BX164" s="217"/>
      <c r="BY164" s="217"/>
      <c r="BZ164" s="217"/>
      <c r="CA164" s="217"/>
      <c r="CB164" s="217"/>
      <c r="CC164" s="217"/>
      <c r="CD164" s="219"/>
      <c r="CE164" s="217"/>
      <c r="CF164" s="211"/>
      <c r="CG164" s="211"/>
      <c r="CH164" s="211"/>
      <c r="CI164" s="211"/>
      <c r="CJ164" s="218"/>
      <c r="CK164" s="211"/>
      <c r="CL164" s="211"/>
      <c r="CM164" s="211"/>
      <c r="CN164" s="173"/>
      <c r="CO164" s="173"/>
      <c r="CP164" s="173"/>
      <c r="CQ164" s="173"/>
      <c r="CR164" s="173"/>
      <c r="CS164" s="173"/>
      <c r="CT164" s="173"/>
      <c r="CU164" s="173"/>
    </row>
    <row r="165" spans="1:99" s="4" customFormat="1">
      <c r="A165" s="173"/>
      <c r="B165" s="174"/>
      <c r="C165" s="177"/>
      <c r="D165" s="173"/>
      <c r="E165" s="173"/>
      <c r="F165" s="173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73"/>
      <c r="AD165" s="173"/>
      <c r="AE165" s="173"/>
      <c r="AF165" s="173"/>
      <c r="AG165" s="173"/>
      <c r="AH165" s="173"/>
      <c r="AI165" s="173"/>
      <c r="AJ165" s="173"/>
      <c r="AK165" s="173"/>
      <c r="AL165" s="173"/>
      <c r="AM165" s="173"/>
      <c r="AN165" s="173"/>
      <c r="AO165" s="173"/>
      <c r="AP165" s="173"/>
      <c r="AQ165" s="173"/>
      <c r="AR165" s="173"/>
      <c r="AS165" s="173"/>
      <c r="AT165" s="173"/>
      <c r="AU165" s="173"/>
      <c r="AV165" s="173"/>
      <c r="AW165" s="173"/>
      <c r="AX165" s="173"/>
      <c r="AY165" s="173"/>
      <c r="AZ165" s="173"/>
      <c r="BA165" s="173"/>
      <c r="BB165" s="173"/>
      <c r="BC165" s="173"/>
      <c r="BD165" s="173"/>
      <c r="BE165" s="173"/>
      <c r="BF165" s="173"/>
      <c r="BG165" s="173"/>
      <c r="BH165" s="173"/>
      <c r="BI165" s="173"/>
      <c r="BJ165" s="173"/>
      <c r="BK165" s="173"/>
      <c r="BL165" s="173"/>
      <c r="BM165" s="173"/>
      <c r="BN165" s="173"/>
      <c r="BO165" s="217"/>
      <c r="BP165" s="217"/>
      <c r="BQ165" s="217"/>
      <c r="BR165" s="217"/>
      <c r="BS165" s="217"/>
      <c r="BT165" s="217"/>
      <c r="BU165" s="217"/>
      <c r="BV165" s="217"/>
      <c r="BW165" s="217"/>
      <c r="BX165" s="217"/>
      <c r="BY165" s="217"/>
      <c r="BZ165" s="217"/>
      <c r="CA165" s="217"/>
      <c r="CB165" s="217"/>
      <c r="CC165" s="217"/>
      <c r="CD165" s="219"/>
      <c r="CE165" s="217"/>
      <c r="CF165" s="211"/>
      <c r="CG165" s="211"/>
      <c r="CH165" s="211"/>
      <c r="CI165" s="211"/>
      <c r="CJ165" s="218"/>
      <c r="CK165" s="211"/>
      <c r="CL165" s="211"/>
      <c r="CM165" s="211"/>
      <c r="CN165" s="173"/>
      <c r="CO165" s="173"/>
      <c r="CP165" s="173"/>
      <c r="CQ165" s="173"/>
      <c r="CR165" s="173"/>
      <c r="CS165" s="173"/>
      <c r="CT165" s="173"/>
      <c r="CU165" s="173"/>
    </row>
    <row r="166" spans="1:99" s="4" customFormat="1">
      <c r="A166" s="173"/>
      <c r="B166" s="174"/>
      <c r="C166" s="177"/>
      <c r="D166" s="173"/>
      <c r="E166" s="173"/>
      <c r="F166" s="173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73"/>
      <c r="AD166" s="173"/>
      <c r="AE166" s="173"/>
      <c r="AF166" s="173"/>
      <c r="AG166" s="173"/>
      <c r="AH166" s="173"/>
      <c r="AI166" s="173"/>
      <c r="AJ166" s="173"/>
      <c r="AK166" s="173"/>
      <c r="AL166" s="173"/>
      <c r="AM166" s="173"/>
      <c r="AN166" s="173"/>
      <c r="AO166" s="173"/>
      <c r="AP166" s="173"/>
      <c r="AQ166" s="173"/>
      <c r="AR166" s="173"/>
      <c r="AS166" s="173"/>
      <c r="AT166" s="173"/>
      <c r="AU166" s="173"/>
      <c r="AV166" s="173"/>
      <c r="AW166" s="173"/>
      <c r="AX166" s="173"/>
      <c r="AY166" s="173"/>
      <c r="AZ166" s="173"/>
      <c r="BA166" s="173"/>
      <c r="BB166" s="173"/>
      <c r="BC166" s="173"/>
      <c r="BD166" s="173"/>
      <c r="BE166" s="173"/>
      <c r="BF166" s="173"/>
      <c r="BG166" s="173"/>
      <c r="BH166" s="173"/>
      <c r="BI166" s="173"/>
      <c r="BJ166" s="173"/>
      <c r="BK166" s="173"/>
      <c r="BL166" s="173"/>
      <c r="BM166" s="173"/>
      <c r="BN166" s="173"/>
      <c r="BO166" s="217"/>
      <c r="BP166" s="217"/>
      <c r="BQ166" s="217"/>
      <c r="BR166" s="217"/>
      <c r="BS166" s="217"/>
      <c r="BT166" s="217"/>
      <c r="BU166" s="217"/>
      <c r="BV166" s="217"/>
      <c r="BW166" s="217"/>
      <c r="BX166" s="217"/>
      <c r="BY166" s="217"/>
      <c r="BZ166" s="217"/>
      <c r="CA166" s="217"/>
      <c r="CB166" s="217"/>
      <c r="CC166" s="217"/>
      <c r="CD166" s="219"/>
      <c r="CE166" s="217"/>
      <c r="CF166" s="211"/>
      <c r="CG166" s="211"/>
      <c r="CH166" s="211"/>
      <c r="CI166" s="211"/>
      <c r="CJ166" s="218"/>
      <c r="CK166" s="211"/>
      <c r="CL166" s="211"/>
      <c r="CM166" s="211"/>
      <c r="CN166" s="173"/>
      <c r="CO166" s="173"/>
      <c r="CP166" s="173"/>
      <c r="CQ166" s="173"/>
      <c r="CR166" s="173"/>
      <c r="CS166" s="173"/>
      <c r="CT166" s="173"/>
      <c r="CU166" s="173"/>
    </row>
    <row r="167" spans="1:99" s="4" customFormat="1">
      <c r="A167" s="173"/>
      <c r="B167" s="174"/>
      <c r="C167" s="177"/>
      <c r="D167" s="173"/>
      <c r="E167" s="173"/>
      <c r="F167" s="173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73"/>
      <c r="AD167" s="173"/>
      <c r="AE167" s="173"/>
      <c r="AF167" s="173"/>
      <c r="AG167" s="173"/>
      <c r="AH167" s="173"/>
      <c r="AI167" s="173"/>
      <c r="AJ167" s="173"/>
      <c r="AK167" s="173"/>
      <c r="AL167" s="173"/>
      <c r="AM167" s="173"/>
      <c r="AN167" s="173"/>
      <c r="AO167" s="173"/>
      <c r="AP167" s="173"/>
      <c r="AQ167" s="173"/>
      <c r="AR167" s="173"/>
      <c r="AS167" s="173"/>
      <c r="AT167" s="173"/>
      <c r="AU167" s="173"/>
      <c r="AV167" s="173"/>
      <c r="AW167" s="173"/>
      <c r="AX167" s="173"/>
      <c r="AY167" s="173"/>
      <c r="AZ167" s="173"/>
      <c r="BA167" s="173"/>
      <c r="BB167" s="173"/>
      <c r="BC167" s="173"/>
      <c r="BD167" s="173"/>
      <c r="BE167" s="173"/>
      <c r="BF167" s="173"/>
      <c r="BG167" s="173"/>
      <c r="BH167" s="173"/>
      <c r="BI167" s="173"/>
      <c r="BJ167" s="173"/>
      <c r="BK167" s="173"/>
      <c r="BL167" s="173"/>
      <c r="BM167" s="173"/>
      <c r="BN167" s="173"/>
      <c r="BO167" s="217"/>
      <c r="BP167" s="217"/>
      <c r="BQ167" s="217"/>
      <c r="BR167" s="217"/>
      <c r="BS167" s="217"/>
      <c r="BT167" s="217"/>
      <c r="BU167" s="217"/>
      <c r="BV167" s="217"/>
      <c r="BW167" s="217"/>
      <c r="BX167" s="217"/>
      <c r="BY167" s="217"/>
      <c r="BZ167" s="217"/>
      <c r="CA167" s="217"/>
      <c r="CB167" s="217"/>
      <c r="CC167" s="217"/>
      <c r="CD167" s="219"/>
      <c r="CE167" s="217"/>
      <c r="CF167" s="211"/>
      <c r="CG167" s="211"/>
      <c r="CH167" s="211"/>
      <c r="CI167" s="211"/>
      <c r="CJ167" s="218"/>
      <c r="CK167" s="211"/>
      <c r="CL167" s="211"/>
      <c r="CM167" s="211"/>
      <c r="CN167" s="173"/>
      <c r="CO167" s="173"/>
      <c r="CP167" s="173"/>
      <c r="CQ167" s="173"/>
      <c r="CR167" s="173"/>
      <c r="CS167" s="173"/>
      <c r="CT167" s="173"/>
      <c r="CU167" s="173"/>
    </row>
    <row r="168" spans="1:99" s="4" customFormat="1">
      <c r="A168" s="173"/>
      <c r="B168" s="174"/>
      <c r="C168" s="177"/>
      <c r="D168" s="173"/>
      <c r="E168" s="173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73"/>
      <c r="AD168" s="173"/>
      <c r="AE168" s="173"/>
      <c r="AF168" s="173"/>
      <c r="AG168" s="173"/>
      <c r="AH168" s="173"/>
      <c r="AI168" s="173"/>
      <c r="AJ168" s="173"/>
      <c r="AK168" s="173"/>
      <c r="AL168" s="173"/>
      <c r="AM168" s="173"/>
      <c r="AN168" s="173"/>
      <c r="AO168" s="173"/>
      <c r="AP168" s="173"/>
      <c r="AQ168" s="173"/>
      <c r="AR168" s="173"/>
      <c r="AS168" s="173"/>
      <c r="AT168" s="173"/>
      <c r="AU168" s="173"/>
      <c r="AV168" s="173"/>
      <c r="AW168" s="173"/>
      <c r="AX168" s="173"/>
      <c r="AY168" s="173"/>
      <c r="AZ168" s="173"/>
      <c r="BA168" s="173"/>
      <c r="BB168" s="173"/>
      <c r="BC168" s="173"/>
      <c r="BD168" s="173"/>
      <c r="BE168" s="173"/>
      <c r="BF168" s="173"/>
      <c r="BG168" s="173"/>
      <c r="BH168" s="173"/>
      <c r="BI168" s="173"/>
      <c r="BJ168" s="173"/>
      <c r="BK168" s="173"/>
      <c r="BL168" s="173"/>
      <c r="BM168" s="173"/>
      <c r="BN168" s="173"/>
      <c r="BO168" s="217"/>
      <c r="BP168" s="217"/>
      <c r="BQ168" s="217"/>
      <c r="BR168" s="217"/>
      <c r="BS168" s="217"/>
      <c r="BT168" s="217"/>
      <c r="BU168" s="217"/>
      <c r="BV168" s="217"/>
      <c r="BW168" s="217"/>
      <c r="BX168" s="217"/>
      <c r="BY168" s="217"/>
      <c r="BZ168" s="217"/>
      <c r="CA168" s="217"/>
      <c r="CB168" s="217"/>
      <c r="CC168" s="217"/>
      <c r="CD168" s="219"/>
      <c r="CE168" s="217"/>
      <c r="CF168" s="211"/>
      <c r="CG168" s="211"/>
      <c r="CH168" s="211"/>
      <c r="CI168" s="211"/>
      <c r="CJ168" s="218"/>
      <c r="CK168" s="211"/>
      <c r="CL168" s="211"/>
      <c r="CM168" s="211"/>
      <c r="CN168" s="173"/>
      <c r="CO168" s="173"/>
      <c r="CP168" s="173"/>
      <c r="CQ168" s="173"/>
      <c r="CR168" s="173"/>
      <c r="CS168" s="173"/>
      <c r="CT168" s="173"/>
      <c r="CU168" s="173"/>
    </row>
    <row r="169" spans="1:99" s="4" customFormat="1">
      <c r="A169" s="173"/>
      <c r="B169" s="174"/>
      <c r="C169" s="177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3"/>
      <c r="AH169" s="173"/>
      <c r="AI169" s="173"/>
      <c r="AJ169" s="173"/>
      <c r="AK169" s="173"/>
      <c r="AL169" s="173"/>
      <c r="AM169" s="173"/>
      <c r="AN169" s="173"/>
      <c r="AO169" s="173"/>
      <c r="AP169" s="173"/>
      <c r="AQ169" s="173"/>
      <c r="AR169" s="173"/>
      <c r="AS169" s="173"/>
      <c r="AT169" s="173"/>
      <c r="AU169" s="173"/>
      <c r="AV169" s="173"/>
      <c r="AW169" s="173"/>
      <c r="AX169" s="173"/>
      <c r="AY169" s="173"/>
      <c r="AZ169" s="173"/>
      <c r="BA169" s="173"/>
      <c r="BB169" s="173"/>
      <c r="BC169" s="173"/>
      <c r="BD169" s="173"/>
      <c r="BE169" s="173"/>
      <c r="BF169" s="173"/>
      <c r="BG169" s="173"/>
      <c r="BH169" s="173"/>
      <c r="BI169" s="173"/>
      <c r="BJ169" s="173"/>
      <c r="BK169" s="173"/>
      <c r="BL169" s="173"/>
      <c r="BM169" s="173"/>
      <c r="BN169" s="173"/>
      <c r="BO169" s="217"/>
      <c r="BP169" s="217"/>
      <c r="BQ169" s="217"/>
      <c r="BR169" s="217"/>
      <c r="BS169" s="217"/>
      <c r="BT169" s="217"/>
      <c r="BU169" s="217"/>
      <c r="BV169" s="217"/>
      <c r="BW169" s="217"/>
      <c r="BX169" s="217"/>
      <c r="BY169" s="217"/>
      <c r="BZ169" s="217"/>
      <c r="CA169" s="217"/>
      <c r="CB169" s="217"/>
      <c r="CC169" s="217"/>
      <c r="CD169" s="219"/>
      <c r="CE169" s="217"/>
      <c r="CF169" s="211"/>
      <c r="CG169" s="211"/>
      <c r="CH169" s="211"/>
      <c r="CI169" s="211"/>
      <c r="CJ169" s="218"/>
      <c r="CK169" s="211"/>
      <c r="CL169" s="211"/>
      <c r="CM169" s="211"/>
      <c r="CN169" s="173"/>
      <c r="CO169" s="173"/>
      <c r="CP169" s="173"/>
      <c r="CQ169" s="173"/>
      <c r="CR169" s="173"/>
      <c r="CS169" s="173"/>
      <c r="CT169" s="173"/>
      <c r="CU169" s="173"/>
    </row>
    <row r="170" spans="1:99" s="4" customFormat="1">
      <c r="A170" s="173"/>
      <c r="B170" s="174"/>
      <c r="C170" s="177"/>
      <c r="D170" s="173"/>
      <c r="E170" s="173"/>
      <c r="F170" s="173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73"/>
      <c r="AB170" s="173"/>
      <c r="AC170" s="173"/>
      <c r="AD170" s="173"/>
      <c r="AE170" s="173"/>
      <c r="AF170" s="173"/>
      <c r="AG170" s="173"/>
      <c r="AH170" s="173"/>
      <c r="AI170" s="173"/>
      <c r="AJ170" s="173"/>
      <c r="AK170" s="173"/>
      <c r="AL170" s="173"/>
      <c r="AM170" s="173"/>
      <c r="AN170" s="173"/>
      <c r="AO170" s="173"/>
      <c r="AP170" s="173"/>
      <c r="AQ170" s="173"/>
      <c r="AR170" s="173"/>
      <c r="AS170" s="173"/>
      <c r="AT170" s="173"/>
      <c r="AU170" s="173"/>
      <c r="AV170" s="173"/>
      <c r="AW170" s="173"/>
      <c r="AX170" s="173"/>
      <c r="AY170" s="173"/>
      <c r="AZ170" s="173"/>
      <c r="BA170" s="173"/>
      <c r="BB170" s="173"/>
      <c r="BC170" s="173"/>
      <c r="BD170" s="173"/>
      <c r="BE170" s="173"/>
      <c r="BF170" s="173"/>
      <c r="BG170" s="173"/>
      <c r="BH170" s="173"/>
      <c r="BI170" s="173"/>
      <c r="BJ170" s="173"/>
      <c r="BK170" s="173"/>
      <c r="BL170" s="173"/>
      <c r="BM170" s="173"/>
      <c r="BN170" s="173"/>
      <c r="BO170" s="217"/>
      <c r="BP170" s="217"/>
      <c r="BQ170" s="217"/>
      <c r="BR170" s="217"/>
      <c r="BS170" s="217"/>
      <c r="BT170" s="217"/>
      <c r="BU170" s="217"/>
      <c r="BV170" s="217"/>
      <c r="BW170" s="217"/>
      <c r="BX170" s="217"/>
      <c r="BY170" s="217"/>
      <c r="BZ170" s="217"/>
      <c r="CA170" s="217"/>
      <c r="CB170" s="217"/>
      <c r="CC170" s="217"/>
      <c r="CD170" s="219"/>
      <c r="CE170" s="217"/>
      <c r="CF170" s="211"/>
      <c r="CG170" s="211"/>
      <c r="CH170" s="211"/>
      <c r="CI170" s="211"/>
      <c r="CJ170" s="218"/>
      <c r="CK170" s="211"/>
      <c r="CL170" s="211"/>
      <c r="CM170" s="211"/>
      <c r="CN170" s="173"/>
      <c r="CO170" s="173"/>
      <c r="CP170" s="173"/>
      <c r="CQ170" s="173"/>
      <c r="CR170" s="173"/>
      <c r="CS170" s="173"/>
      <c r="CT170" s="173"/>
      <c r="CU170" s="173"/>
    </row>
    <row r="171" spans="1:99" s="4" customFormat="1">
      <c r="A171" s="173"/>
      <c r="B171" s="174"/>
      <c r="C171" s="177"/>
      <c r="D171" s="173"/>
      <c r="E171" s="173"/>
      <c r="F171" s="173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  <c r="AA171" s="173"/>
      <c r="AB171" s="173"/>
      <c r="AC171" s="173"/>
      <c r="AD171" s="173"/>
      <c r="AE171" s="173"/>
      <c r="AF171" s="173"/>
      <c r="AG171" s="173"/>
      <c r="AH171" s="173"/>
      <c r="AI171" s="173"/>
      <c r="AJ171" s="173"/>
      <c r="AK171" s="173"/>
      <c r="AL171" s="173"/>
      <c r="AM171" s="173"/>
      <c r="AN171" s="173"/>
      <c r="AO171" s="173"/>
      <c r="AP171" s="173"/>
      <c r="AQ171" s="173"/>
      <c r="AR171" s="173"/>
      <c r="AS171" s="173"/>
      <c r="AT171" s="173"/>
      <c r="AU171" s="173"/>
      <c r="AV171" s="173"/>
      <c r="AW171" s="173"/>
      <c r="AX171" s="173"/>
      <c r="AY171" s="173"/>
      <c r="AZ171" s="173"/>
      <c r="BA171" s="173"/>
      <c r="BB171" s="173"/>
      <c r="BC171" s="173"/>
      <c r="BD171" s="173"/>
      <c r="BE171" s="173"/>
      <c r="BF171" s="173"/>
      <c r="BG171" s="173"/>
      <c r="BH171" s="173"/>
      <c r="BI171" s="173"/>
      <c r="BJ171" s="173"/>
      <c r="BK171" s="173"/>
      <c r="BL171" s="173"/>
      <c r="BM171" s="173"/>
      <c r="BN171" s="173"/>
      <c r="BO171" s="217"/>
      <c r="BP171" s="217"/>
      <c r="BQ171" s="217"/>
      <c r="BR171" s="217"/>
      <c r="BS171" s="217"/>
      <c r="BT171" s="217"/>
      <c r="BU171" s="217"/>
      <c r="BV171" s="217"/>
      <c r="BW171" s="217"/>
      <c r="BX171" s="217"/>
      <c r="BY171" s="217"/>
      <c r="BZ171" s="217"/>
      <c r="CA171" s="217"/>
      <c r="CB171" s="217"/>
      <c r="CC171" s="217"/>
      <c r="CD171" s="219"/>
      <c r="CE171" s="217"/>
      <c r="CF171" s="211"/>
      <c r="CG171" s="211"/>
      <c r="CH171" s="211"/>
      <c r="CI171" s="211"/>
      <c r="CJ171" s="218"/>
      <c r="CK171" s="211"/>
      <c r="CL171" s="211"/>
      <c r="CM171" s="211"/>
      <c r="CN171" s="173"/>
      <c r="CO171" s="173"/>
      <c r="CP171" s="173"/>
      <c r="CQ171" s="173"/>
      <c r="CR171" s="173"/>
      <c r="CS171" s="173"/>
      <c r="CT171" s="173"/>
      <c r="CU171" s="173"/>
    </row>
    <row r="172" spans="1:99" s="4" customFormat="1">
      <c r="A172" s="173"/>
      <c r="B172" s="174"/>
      <c r="C172" s="177"/>
      <c r="D172" s="173"/>
      <c r="E172" s="173"/>
      <c r="F172" s="173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  <c r="AA172" s="173"/>
      <c r="AB172" s="173"/>
      <c r="AC172" s="173"/>
      <c r="AD172" s="173"/>
      <c r="AE172" s="173"/>
      <c r="AF172" s="173"/>
      <c r="AG172" s="173"/>
      <c r="AH172" s="173"/>
      <c r="AI172" s="173"/>
      <c r="AJ172" s="173"/>
      <c r="AK172" s="173"/>
      <c r="AL172" s="173"/>
      <c r="AM172" s="173"/>
      <c r="AN172" s="173"/>
      <c r="AO172" s="173"/>
      <c r="AP172" s="173"/>
      <c r="AQ172" s="173"/>
      <c r="AR172" s="173"/>
      <c r="AS172" s="173"/>
      <c r="AT172" s="173"/>
      <c r="AU172" s="173"/>
      <c r="AV172" s="173"/>
      <c r="AW172" s="173"/>
      <c r="AX172" s="173"/>
      <c r="AY172" s="173"/>
      <c r="AZ172" s="173"/>
      <c r="BA172" s="173"/>
      <c r="BB172" s="173"/>
      <c r="BC172" s="173"/>
      <c r="BD172" s="173"/>
      <c r="BE172" s="173"/>
      <c r="BF172" s="173"/>
      <c r="BG172" s="173"/>
      <c r="BH172" s="173"/>
      <c r="BI172" s="173"/>
      <c r="BJ172" s="173"/>
      <c r="BK172" s="173"/>
      <c r="BL172" s="173"/>
      <c r="BM172" s="173"/>
      <c r="BN172" s="173"/>
      <c r="BO172" s="217"/>
      <c r="BP172" s="217"/>
      <c r="BQ172" s="217"/>
      <c r="BR172" s="217"/>
      <c r="BS172" s="217"/>
      <c r="BT172" s="217"/>
      <c r="BU172" s="217"/>
      <c r="BV172" s="217"/>
      <c r="BW172" s="217"/>
      <c r="BX172" s="217"/>
      <c r="BY172" s="217"/>
      <c r="BZ172" s="217"/>
      <c r="CA172" s="217"/>
      <c r="CB172" s="217"/>
      <c r="CC172" s="217"/>
      <c r="CD172" s="219"/>
      <c r="CE172" s="217"/>
      <c r="CF172" s="211"/>
      <c r="CG172" s="211"/>
      <c r="CH172" s="211"/>
      <c r="CI172" s="211"/>
      <c r="CJ172" s="218"/>
      <c r="CK172" s="211"/>
      <c r="CL172" s="211"/>
      <c r="CM172" s="211"/>
      <c r="CN172" s="173"/>
      <c r="CO172" s="173"/>
      <c r="CP172" s="173"/>
      <c r="CQ172" s="173"/>
      <c r="CR172" s="173"/>
      <c r="CS172" s="173"/>
      <c r="CT172" s="173"/>
      <c r="CU172" s="173"/>
    </row>
    <row r="173" spans="1:99" s="4" customFormat="1">
      <c r="A173" s="173"/>
      <c r="B173" s="174"/>
      <c r="C173" s="177"/>
      <c r="D173" s="173"/>
      <c r="E173" s="173"/>
      <c r="F173" s="173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  <c r="AA173" s="173"/>
      <c r="AB173" s="173"/>
      <c r="AC173" s="173"/>
      <c r="AD173" s="173"/>
      <c r="AE173" s="173"/>
      <c r="AF173" s="173"/>
      <c r="AG173" s="173"/>
      <c r="AH173" s="173"/>
      <c r="AI173" s="173"/>
      <c r="AJ173" s="173"/>
      <c r="AK173" s="173"/>
      <c r="AL173" s="173"/>
      <c r="AM173" s="173"/>
      <c r="AN173" s="173"/>
      <c r="AO173" s="173"/>
      <c r="AP173" s="173"/>
      <c r="AQ173" s="173"/>
      <c r="AR173" s="173"/>
      <c r="AS173" s="173"/>
      <c r="AT173" s="173"/>
      <c r="AU173" s="173"/>
      <c r="AV173" s="173"/>
      <c r="AW173" s="173"/>
      <c r="AX173" s="173"/>
      <c r="AY173" s="173"/>
      <c r="AZ173" s="173"/>
      <c r="BA173" s="173"/>
      <c r="BB173" s="173"/>
      <c r="BC173" s="173"/>
      <c r="BD173" s="173"/>
      <c r="BE173" s="173"/>
      <c r="BF173" s="173"/>
      <c r="BG173" s="173"/>
      <c r="BH173" s="173"/>
      <c r="BI173" s="173"/>
      <c r="BJ173" s="173"/>
      <c r="BK173" s="173"/>
      <c r="BL173" s="173"/>
      <c r="BM173" s="173"/>
      <c r="BN173" s="173"/>
      <c r="BO173" s="217"/>
      <c r="BP173" s="217"/>
      <c r="BQ173" s="217"/>
      <c r="BR173" s="217"/>
      <c r="BS173" s="217"/>
      <c r="BT173" s="217"/>
      <c r="BU173" s="217"/>
      <c r="BV173" s="217"/>
      <c r="BW173" s="217"/>
      <c r="BX173" s="217"/>
      <c r="BY173" s="217"/>
      <c r="BZ173" s="217"/>
      <c r="CA173" s="217"/>
      <c r="CB173" s="217"/>
      <c r="CC173" s="217"/>
      <c r="CD173" s="219"/>
      <c r="CE173" s="217"/>
      <c r="CF173" s="211"/>
      <c r="CG173" s="211"/>
      <c r="CH173" s="211"/>
      <c r="CI173" s="211"/>
      <c r="CJ173" s="218"/>
      <c r="CK173" s="211"/>
      <c r="CL173" s="211"/>
      <c r="CM173" s="211"/>
      <c r="CN173" s="173"/>
      <c r="CO173" s="173"/>
      <c r="CP173" s="173"/>
      <c r="CQ173" s="173"/>
      <c r="CR173" s="173"/>
      <c r="CS173" s="173"/>
      <c r="CT173" s="173"/>
      <c r="CU173" s="173"/>
    </row>
    <row r="174" spans="1:99" s="4" customFormat="1">
      <c r="A174" s="173"/>
      <c r="B174" s="174"/>
      <c r="C174" s="177"/>
      <c r="D174" s="173"/>
      <c r="E174" s="173"/>
      <c r="F174" s="173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  <c r="AA174" s="173"/>
      <c r="AB174" s="173"/>
      <c r="AC174" s="173"/>
      <c r="AD174" s="173"/>
      <c r="AE174" s="173"/>
      <c r="AF174" s="173"/>
      <c r="AG174" s="173"/>
      <c r="AH174" s="173"/>
      <c r="AI174" s="173"/>
      <c r="AJ174" s="173"/>
      <c r="AK174" s="173"/>
      <c r="AL174" s="173"/>
      <c r="AM174" s="173"/>
      <c r="AN174" s="173"/>
      <c r="AO174" s="173"/>
      <c r="AP174" s="173"/>
      <c r="AQ174" s="173"/>
      <c r="AR174" s="173"/>
      <c r="AS174" s="173"/>
      <c r="AT174" s="173"/>
      <c r="AU174" s="173"/>
      <c r="AV174" s="173"/>
      <c r="AW174" s="173"/>
      <c r="AX174" s="173"/>
      <c r="AY174" s="173"/>
      <c r="AZ174" s="173"/>
      <c r="BA174" s="173"/>
      <c r="BB174" s="173"/>
      <c r="BC174" s="173"/>
      <c r="BD174" s="173"/>
      <c r="BE174" s="173"/>
      <c r="BF174" s="173"/>
      <c r="BG174" s="173"/>
      <c r="BH174" s="173"/>
      <c r="BI174" s="173"/>
      <c r="BJ174" s="173"/>
      <c r="BK174" s="173"/>
      <c r="BL174" s="173"/>
      <c r="BM174" s="173"/>
      <c r="BN174" s="173"/>
      <c r="BO174" s="217"/>
      <c r="BP174" s="217"/>
      <c r="BQ174" s="217"/>
      <c r="BR174" s="217"/>
      <c r="BS174" s="217"/>
      <c r="BT174" s="217"/>
      <c r="BU174" s="217"/>
      <c r="BV174" s="217"/>
      <c r="BW174" s="217"/>
      <c r="BX174" s="217"/>
      <c r="BY174" s="217"/>
      <c r="BZ174" s="217"/>
      <c r="CA174" s="217"/>
      <c r="CB174" s="217"/>
      <c r="CC174" s="217"/>
      <c r="CD174" s="219"/>
      <c r="CE174" s="217"/>
      <c r="CF174" s="211"/>
      <c r="CG174" s="211"/>
      <c r="CH174" s="211"/>
      <c r="CI174" s="211"/>
      <c r="CJ174" s="218"/>
      <c r="CK174" s="211"/>
      <c r="CL174" s="211"/>
      <c r="CM174" s="211"/>
      <c r="CN174" s="173"/>
      <c r="CO174" s="173"/>
      <c r="CP174" s="173"/>
      <c r="CQ174" s="173"/>
      <c r="CR174" s="173"/>
      <c r="CS174" s="173"/>
      <c r="CT174" s="173"/>
      <c r="CU174" s="173"/>
    </row>
    <row r="175" spans="1:99" s="4" customFormat="1">
      <c r="A175" s="173"/>
      <c r="B175" s="174"/>
      <c r="C175" s="177"/>
      <c r="D175" s="173"/>
      <c r="E175" s="173"/>
      <c r="F175" s="173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  <c r="AA175" s="173"/>
      <c r="AB175" s="173"/>
      <c r="AC175" s="173"/>
      <c r="AD175" s="173"/>
      <c r="AE175" s="173"/>
      <c r="AF175" s="173"/>
      <c r="AG175" s="173"/>
      <c r="AH175" s="173"/>
      <c r="AI175" s="173"/>
      <c r="AJ175" s="173"/>
      <c r="AK175" s="173"/>
      <c r="AL175" s="173"/>
      <c r="AM175" s="173"/>
      <c r="AN175" s="173"/>
      <c r="AO175" s="173"/>
      <c r="AP175" s="173"/>
      <c r="AQ175" s="173"/>
      <c r="AR175" s="173"/>
      <c r="AS175" s="173"/>
      <c r="AT175" s="173"/>
      <c r="AU175" s="173"/>
      <c r="AV175" s="173"/>
      <c r="AW175" s="173"/>
      <c r="AX175" s="173"/>
      <c r="AY175" s="173"/>
      <c r="AZ175" s="173"/>
      <c r="BA175" s="173"/>
      <c r="BB175" s="173"/>
      <c r="BC175" s="173"/>
      <c r="BD175" s="173"/>
      <c r="BE175" s="173"/>
      <c r="BF175" s="173"/>
      <c r="BG175" s="173"/>
      <c r="BH175" s="173"/>
      <c r="BI175" s="173"/>
      <c r="BJ175" s="173"/>
      <c r="BK175" s="173"/>
      <c r="BL175" s="173"/>
      <c r="BM175" s="173"/>
      <c r="BN175" s="173"/>
      <c r="BO175" s="217"/>
      <c r="BP175" s="217"/>
      <c r="BQ175" s="217"/>
      <c r="BR175" s="217"/>
      <c r="BS175" s="217"/>
      <c r="BT175" s="217"/>
      <c r="BU175" s="217"/>
      <c r="BV175" s="217"/>
      <c r="BW175" s="217"/>
      <c r="BX175" s="217"/>
      <c r="BY175" s="217"/>
      <c r="BZ175" s="217"/>
      <c r="CA175" s="217"/>
      <c r="CB175" s="217"/>
      <c r="CC175" s="217"/>
      <c r="CD175" s="219"/>
      <c r="CE175" s="217"/>
      <c r="CF175" s="211"/>
      <c r="CG175" s="211"/>
      <c r="CH175" s="211"/>
      <c r="CI175" s="211"/>
      <c r="CJ175" s="218"/>
      <c r="CK175" s="211"/>
      <c r="CL175" s="211"/>
      <c r="CM175" s="211"/>
      <c r="CN175" s="173"/>
      <c r="CO175" s="173"/>
      <c r="CP175" s="173"/>
      <c r="CQ175" s="173"/>
      <c r="CR175" s="173"/>
      <c r="CS175" s="173"/>
      <c r="CT175" s="173"/>
      <c r="CU175" s="173"/>
    </row>
    <row r="176" spans="1:99" s="4" customFormat="1">
      <c r="A176" s="173"/>
      <c r="B176" s="174"/>
      <c r="C176" s="177"/>
      <c r="D176" s="173"/>
      <c r="E176" s="173"/>
      <c r="F176" s="173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  <c r="AA176" s="173"/>
      <c r="AB176" s="173"/>
      <c r="AC176" s="173"/>
      <c r="AD176" s="173"/>
      <c r="AE176" s="173"/>
      <c r="AF176" s="173"/>
      <c r="AG176" s="173"/>
      <c r="AH176" s="173"/>
      <c r="AI176" s="173"/>
      <c r="AJ176" s="173"/>
      <c r="AK176" s="173"/>
      <c r="AL176" s="173"/>
      <c r="AM176" s="173"/>
      <c r="AN176" s="173"/>
      <c r="AO176" s="173"/>
      <c r="AP176" s="173"/>
      <c r="AQ176" s="173"/>
      <c r="AR176" s="173"/>
      <c r="AS176" s="173"/>
      <c r="AT176" s="173"/>
      <c r="AU176" s="173"/>
      <c r="AV176" s="173"/>
      <c r="AW176" s="173"/>
      <c r="AX176" s="173"/>
      <c r="AY176" s="173"/>
      <c r="AZ176" s="173"/>
      <c r="BA176" s="173"/>
      <c r="BB176" s="173"/>
      <c r="BC176" s="173"/>
      <c r="BD176" s="173"/>
      <c r="BE176" s="173"/>
      <c r="BF176" s="173"/>
      <c r="BG176" s="173"/>
      <c r="BH176" s="173"/>
      <c r="BI176" s="173"/>
      <c r="BJ176" s="173"/>
      <c r="BK176" s="173"/>
      <c r="BL176" s="173"/>
      <c r="BM176" s="173"/>
      <c r="BN176" s="173"/>
      <c r="BO176" s="217"/>
      <c r="BP176" s="217"/>
      <c r="BQ176" s="217"/>
      <c r="BR176" s="217"/>
      <c r="BS176" s="217"/>
      <c r="BT176" s="217"/>
      <c r="BU176" s="217"/>
      <c r="BV176" s="217"/>
      <c r="BW176" s="217"/>
      <c r="BX176" s="217"/>
      <c r="BY176" s="217"/>
      <c r="BZ176" s="217"/>
      <c r="CA176" s="217"/>
      <c r="CB176" s="217"/>
      <c r="CC176" s="217"/>
      <c r="CD176" s="219"/>
      <c r="CE176" s="217"/>
      <c r="CF176" s="211"/>
      <c r="CG176" s="211"/>
      <c r="CH176" s="211"/>
      <c r="CI176" s="211"/>
      <c r="CJ176" s="218"/>
      <c r="CK176" s="211"/>
      <c r="CL176" s="211"/>
      <c r="CM176" s="211"/>
      <c r="CN176" s="173"/>
      <c r="CO176" s="173"/>
      <c r="CP176" s="173"/>
      <c r="CQ176" s="173"/>
      <c r="CR176" s="173"/>
      <c r="CS176" s="173"/>
      <c r="CT176" s="173"/>
      <c r="CU176" s="173"/>
    </row>
    <row r="177" spans="1:99" s="4" customFormat="1">
      <c r="A177" s="173"/>
      <c r="B177" s="174"/>
      <c r="C177" s="177"/>
      <c r="D177" s="173"/>
      <c r="E177" s="173"/>
      <c r="F177" s="173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  <c r="AA177" s="173"/>
      <c r="AB177" s="173"/>
      <c r="AC177" s="173"/>
      <c r="AD177" s="173"/>
      <c r="AE177" s="173"/>
      <c r="AF177" s="173"/>
      <c r="AG177" s="173"/>
      <c r="AH177" s="173"/>
      <c r="AI177" s="173"/>
      <c r="AJ177" s="173"/>
      <c r="AK177" s="173"/>
      <c r="AL177" s="173"/>
      <c r="AM177" s="173"/>
      <c r="AN177" s="173"/>
      <c r="AO177" s="173"/>
      <c r="AP177" s="173"/>
      <c r="AQ177" s="173"/>
      <c r="AR177" s="173"/>
      <c r="AS177" s="173"/>
      <c r="AT177" s="173"/>
      <c r="AU177" s="173"/>
      <c r="AV177" s="173"/>
      <c r="AW177" s="173"/>
      <c r="AX177" s="173"/>
      <c r="AY177" s="173"/>
      <c r="AZ177" s="173"/>
      <c r="BA177" s="173"/>
      <c r="BB177" s="173"/>
      <c r="BC177" s="173"/>
      <c r="BD177" s="173"/>
      <c r="BE177" s="173"/>
      <c r="BF177" s="173"/>
      <c r="BG177" s="173"/>
      <c r="BH177" s="173"/>
      <c r="BI177" s="173"/>
      <c r="BJ177" s="173"/>
      <c r="BK177" s="173"/>
      <c r="BL177" s="173"/>
      <c r="BM177" s="173"/>
      <c r="BN177" s="173"/>
      <c r="BO177" s="217"/>
      <c r="BP177" s="217"/>
      <c r="BQ177" s="217"/>
      <c r="BR177" s="217"/>
      <c r="BS177" s="217"/>
      <c r="BT177" s="217"/>
      <c r="BU177" s="217"/>
      <c r="BV177" s="217"/>
      <c r="BW177" s="217"/>
      <c r="BX177" s="217"/>
      <c r="BY177" s="217"/>
      <c r="BZ177" s="217"/>
      <c r="CA177" s="217"/>
      <c r="CB177" s="217"/>
      <c r="CC177" s="217"/>
      <c r="CD177" s="219"/>
      <c r="CE177" s="217"/>
      <c r="CF177" s="211"/>
      <c r="CG177" s="211"/>
      <c r="CH177" s="211"/>
      <c r="CI177" s="211"/>
      <c r="CJ177" s="218"/>
      <c r="CK177" s="211"/>
      <c r="CL177" s="211"/>
      <c r="CM177" s="211"/>
      <c r="CN177" s="173"/>
      <c r="CO177" s="173"/>
      <c r="CP177" s="173"/>
      <c r="CQ177" s="173"/>
      <c r="CR177" s="173"/>
      <c r="CS177" s="173"/>
      <c r="CT177" s="173"/>
      <c r="CU177" s="173"/>
    </row>
    <row r="178" spans="1:99" s="4" customFormat="1">
      <c r="A178" s="173"/>
      <c r="B178" s="174"/>
      <c r="C178" s="177"/>
      <c r="D178" s="173"/>
      <c r="E178" s="173"/>
      <c r="F178" s="173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  <c r="AA178" s="173"/>
      <c r="AB178" s="173"/>
      <c r="AC178" s="173"/>
      <c r="AD178" s="173"/>
      <c r="AE178" s="173"/>
      <c r="AF178" s="173"/>
      <c r="AG178" s="173"/>
      <c r="AH178" s="173"/>
      <c r="AI178" s="173"/>
      <c r="AJ178" s="173"/>
      <c r="AK178" s="173"/>
      <c r="AL178" s="173"/>
      <c r="AM178" s="173"/>
      <c r="AN178" s="173"/>
      <c r="AO178" s="173"/>
      <c r="AP178" s="173"/>
      <c r="AQ178" s="173"/>
      <c r="AR178" s="173"/>
      <c r="AS178" s="173"/>
      <c r="AT178" s="173"/>
      <c r="AU178" s="173"/>
      <c r="AV178" s="173"/>
      <c r="AW178" s="173"/>
      <c r="AX178" s="173"/>
      <c r="AY178" s="173"/>
      <c r="AZ178" s="173"/>
      <c r="BA178" s="173"/>
      <c r="BB178" s="173"/>
      <c r="BC178" s="173"/>
      <c r="BD178" s="173"/>
      <c r="BE178" s="173"/>
      <c r="BF178" s="173"/>
      <c r="BG178" s="173"/>
      <c r="BH178" s="173"/>
      <c r="BI178" s="173"/>
      <c r="BJ178" s="173"/>
      <c r="BK178" s="173"/>
      <c r="BL178" s="173"/>
      <c r="BM178" s="173"/>
      <c r="BN178" s="173"/>
      <c r="BO178" s="217"/>
      <c r="BP178" s="217"/>
      <c r="BQ178" s="217"/>
      <c r="BR178" s="217"/>
      <c r="BS178" s="217"/>
      <c r="BT178" s="217"/>
      <c r="BU178" s="217"/>
      <c r="BV178" s="217"/>
      <c r="BW178" s="217"/>
      <c r="BX178" s="217"/>
      <c r="BY178" s="217"/>
      <c r="BZ178" s="217"/>
      <c r="CA178" s="217"/>
      <c r="CB178" s="217"/>
      <c r="CC178" s="217"/>
      <c r="CD178" s="219"/>
      <c r="CE178" s="217"/>
      <c r="CF178" s="211"/>
      <c r="CG178" s="211"/>
      <c r="CH178" s="211"/>
      <c r="CI178" s="211"/>
      <c r="CJ178" s="218"/>
      <c r="CK178" s="211"/>
      <c r="CL178" s="211"/>
      <c r="CM178" s="211"/>
      <c r="CN178" s="173"/>
      <c r="CO178" s="173"/>
      <c r="CP178" s="173"/>
      <c r="CQ178" s="173"/>
      <c r="CR178" s="173"/>
      <c r="CS178" s="173"/>
      <c r="CT178" s="173"/>
      <c r="CU178" s="173"/>
    </row>
    <row r="179" spans="1:99" s="4" customFormat="1">
      <c r="B179" s="12"/>
      <c r="C179" s="11"/>
      <c r="BO179" s="221"/>
      <c r="BP179" s="221"/>
      <c r="BQ179" s="221"/>
      <c r="BR179" s="221"/>
      <c r="BS179" s="221"/>
      <c r="BT179" s="221"/>
      <c r="BU179" s="221"/>
      <c r="BV179" s="221"/>
      <c r="BW179" s="221"/>
      <c r="BX179" s="221"/>
      <c r="BY179" s="221"/>
      <c r="BZ179" s="221"/>
      <c r="CA179" s="221"/>
      <c r="CB179" s="221"/>
      <c r="CC179" s="221"/>
      <c r="CD179" s="245"/>
      <c r="CE179" s="221"/>
      <c r="CF179" s="223"/>
      <c r="CG179" s="223"/>
      <c r="CH179" s="223"/>
      <c r="CI179" s="223"/>
      <c r="CJ179" s="222"/>
      <c r="CK179" s="223"/>
      <c r="CL179" s="223"/>
      <c r="CM179" s="223"/>
    </row>
    <row r="180" spans="1:99" s="4" customFormat="1">
      <c r="B180" s="12"/>
      <c r="C180" s="11"/>
      <c r="BO180" s="221"/>
      <c r="BP180" s="221"/>
      <c r="BQ180" s="221"/>
      <c r="BR180" s="221"/>
      <c r="BS180" s="221"/>
      <c r="BT180" s="221"/>
      <c r="BU180" s="221"/>
      <c r="BV180" s="221"/>
      <c r="BW180" s="221"/>
      <c r="BX180" s="221"/>
      <c r="BY180" s="221"/>
      <c r="BZ180" s="221"/>
      <c r="CA180" s="221"/>
      <c r="CB180" s="221"/>
      <c r="CC180" s="221"/>
      <c r="CD180" s="245"/>
      <c r="CE180" s="221"/>
      <c r="CF180" s="223"/>
      <c r="CG180" s="223"/>
      <c r="CH180" s="223"/>
      <c r="CI180" s="223"/>
      <c r="CJ180" s="222"/>
      <c r="CK180" s="223"/>
      <c r="CL180" s="223"/>
      <c r="CM180" s="223"/>
    </row>
    <row r="181" spans="1:99" s="4" customFormat="1">
      <c r="B181" s="12"/>
      <c r="C181" s="11"/>
      <c r="BO181" s="221"/>
      <c r="BP181" s="221"/>
      <c r="BQ181" s="221"/>
      <c r="BR181" s="221"/>
      <c r="BS181" s="221"/>
      <c r="BT181" s="221"/>
      <c r="BU181" s="221"/>
      <c r="BV181" s="221"/>
      <c r="BW181" s="221"/>
      <c r="BX181" s="221"/>
      <c r="BY181" s="221"/>
      <c r="BZ181" s="221"/>
      <c r="CA181" s="221"/>
      <c r="CB181" s="221"/>
      <c r="CC181" s="221"/>
      <c r="CD181" s="245"/>
      <c r="CE181" s="221"/>
      <c r="CF181" s="223"/>
      <c r="CG181" s="223"/>
      <c r="CH181" s="223"/>
      <c r="CI181" s="223"/>
      <c r="CJ181" s="222"/>
      <c r="CK181" s="223"/>
      <c r="CL181" s="223"/>
      <c r="CM181" s="223"/>
    </row>
    <row r="182" spans="1:99" s="4" customFormat="1">
      <c r="B182" s="12"/>
      <c r="C182" s="11"/>
      <c r="BO182" s="221"/>
      <c r="BP182" s="221"/>
      <c r="BQ182" s="221"/>
      <c r="BR182" s="221"/>
      <c r="BS182" s="221"/>
      <c r="BT182" s="221"/>
      <c r="BU182" s="221"/>
      <c r="BV182" s="221"/>
      <c r="BW182" s="221"/>
      <c r="BX182" s="221"/>
      <c r="BY182" s="221"/>
      <c r="BZ182" s="221"/>
      <c r="CA182" s="221"/>
      <c r="CB182" s="221"/>
      <c r="CC182" s="221"/>
      <c r="CD182" s="245"/>
      <c r="CE182" s="221"/>
      <c r="CF182" s="223"/>
      <c r="CG182" s="223"/>
      <c r="CH182" s="223"/>
      <c r="CI182" s="223"/>
      <c r="CJ182" s="222"/>
      <c r="CK182" s="223"/>
      <c r="CL182" s="223"/>
      <c r="CM182" s="223"/>
    </row>
    <row r="183" spans="1:99" s="4" customFormat="1">
      <c r="B183" s="12"/>
      <c r="C183" s="11"/>
      <c r="BO183" s="221"/>
      <c r="BP183" s="221"/>
      <c r="BQ183" s="221"/>
      <c r="BR183" s="221"/>
      <c r="BS183" s="221"/>
      <c r="BT183" s="221"/>
      <c r="BU183" s="221"/>
      <c r="BV183" s="221"/>
      <c r="BW183" s="221"/>
      <c r="BX183" s="221"/>
      <c r="BY183" s="221"/>
      <c r="BZ183" s="221"/>
      <c r="CA183" s="221"/>
      <c r="CB183" s="221"/>
      <c r="CC183" s="221"/>
      <c r="CD183" s="245"/>
      <c r="CE183" s="221"/>
      <c r="CF183" s="223"/>
      <c r="CG183" s="223"/>
      <c r="CH183" s="223"/>
      <c r="CI183" s="223"/>
      <c r="CJ183" s="222"/>
      <c r="CK183" s="223"/>
      <c r="CL183" s="223"/>
      <c r="CM183" s="223"/>
    </row>
    <row r="184" spans="1:99" s="4" customFormat="1">
      <c r="B184" s="12"/>
      <c r="C184" s="11"/>
      <c r="BO184" s="221"/>
      <c r="BP184" s="221"/>
      <c r="BQ184" s="221"/>
      <c r="BR184" s="221"/>
      <c r="BS184" s="221"/>
      <c r="BT184" s="221"/>
      <c r="BU184" s="221"/>
      <c r="BV184" s="221"/>
      <c r="BW184" s="221"/>
      <c r="BX184" s="221"/>
      <c r="BY184" s="221"/>
      <c r="BZ184" s="221"/>
      <c r="CA184" s="221"/>
      <c r="CB184" s="221"/>
      <c r="CC184" s="221"/>
      <c r="CD184" s="245"/>
      <c r="CE184" s="221"/>
      <c r="CF184" s="223"/>
      <c r="CG184" s="223"/>
      <c r="CH184" s="223"/>
      <c r="CI184" s="223"/>
      <c r="CJ184" s="222"/>
      <c r="CK184" s="223"/>
      <c r="CL184" s="223"/>
      <c r="CM184" s="223"/>
    </row>
    <row r="185" spans="1:99" s="4" customFormat="1">
      <c r="B185" s="12"/>
      <c r="C185" s="11"/>
      <c r="BO185" s="221"/>
      <c r="BP185" s="221"/>
      <c r="BQ185" s="221"/>
      <c r="BR185" s="221"/>
      <c r="BS185" s="221"/>
      <c r="BT185" s="221"/>
      <c r="BU185" s="221"/>
      <c r="BV185" s="221"/>
      <c r="BW185" s="221"/>
      <c r="BX185" s="221"/>
      <c r="BY185" s="221"/>
      <c r="BZ185" s="221"/>
      <c r="CA185" s="221"/>
      <c r="CB185" s="221"/>
      <c r="CC185" s="221"/>
      <c r="CD185" s="245"/>
      <c r="CE185" s="221"/>
      <c r="CF185" s="223"/>
      <c r="CG185" s="223"/>
      <c r="CH185" s="223"/>
      <c r="CI185" s="223"/>
      <c r="CJ185" s="222"/>
      <c r="CK185" s="223"/>
      <c r="CL185" s="223"/>
      <c r="CM185" s="223"/>
    </row>
    <row r="186" spans="1:99" s="4" customFormat="1">
      <c r="B186" s="12"/>
      <c r="C186" s="11"/>
      <c r="BO186" s="221"/>
      <c r="BP186" s="221"/>
      <c r="BQ186" s="221"/>
      <c r="BR186" s="221"/>
      <c r="BS186" s="221"/>
      <c r="BT186" s="221"/>
      <c r="BU186" s="221"/>
      <c r="BV186" s="221"/>
      <c r="BW186" s="221"/>
      <c r="BX186" s="221"/>
      <c r="BY186" s="221"/>
      <c r="BZ186" s="221"/>
      <c r="CA186" s="221"/>
      <c r="CB186" s="221"/>
      <c r="CC186" s="221"/>
      <c r="CD186" s="245"/>
      <c r="CE186" s="221"/>
      <c r="CF186" s="223"/>
      <c r="CG186" s="223"/>
      <c r="CH186" s="223"/>
      <c r="CI186" s="223"/>
      <c r="CJ186" s="222"/>
      <c r="CK186" s="223"/>
      <c r="CL186" s="223"/>
      <c r="CM186" s="223"/>
    </row>
    <row r="187" spans="1:99" s="4" customFormat="1">
      <c r="B187" s="12"/>
      <c r="C187" s="11"/>
      <c r="BO187" s="221"/>
      <c r="BP187" s="221"/>
      <c r="BQ187" s="221"/>
      <c r="BR187" s="221"/>
      <c r="BS187" s="221"/>
      <c r="BT187" s="221"/>
      <c r="BU187" s="221"/>
      <c r="BV187" s="221"/>
      <c r="BW187" s="221"/>
      <c r="BX187" s="221"/>
      <c r="BY187" s="221"/>
      <c r="BZ187" s="221"/>
      <c r="CA187" s="221"/>
      <c r="CB187" s="221"/>
      <c r="CC187" s="221"/>
      <c r="CD187" s="245"/>
      <c r="CE187" s="221"/>
      <c r="CF187" s="223"/>
      <c r="CG187" s="223"/>
      <c r="CH187" s="223"/>
      <c r="CI187" s="223"/>
      <c r="CJ187" s="222"/>
      <c r="CK187" s="223"/>
      <c r="CL187" s="223"/>
      <c r="CM187" s="223"/>
    </row>
    <row r="188" spans="1:99" s="4" customFormat="1">
      <c r="B188" s="12"/>
      <c r="C188" s="11"/>
      <c r="BO188" s="221"/>
      <c r="BP188" s="221"/>
      <c r="BQ188" s="221"/>
      <c r="BR188" s="221"/>
      <c r="BS188" s="221"/>
      <c r="BT188" s="221"/>
      <c r="BU188" s="221"/>
      <c r="BV188" s="221"/>
      <c r="BW188" s="221"/>
      <c r="BX188" s="221"/>
      <c r="BY188" s="221"/>
      <c r="BZ188" s="221"/>
      <c r="CA188" s="221"/>
      <c r="CB188" s="221"/>
      <c r="CC188" s="221"/>
      <c r="CD188" s="245"/>
      <c r="CE188" s="221"/>
      <c r="CF188" s="223"/>
      <c r="CG188" s="223"/>
      <c r="CH188" s="223"/>
      <c r="CI188" s="223"/>
      <c r="CJ188" s="222"/>
      <c r="CK188" s="223"/>
      <c r="CL188" s="223"/>
      <c r="CM188" s="223"/>
    </row>
    <row r="189" spans="1:99" s="4" customFormat="1">
      <c r="B189" s="12"/>
      <c r="C189" s="11"/>
      <c r="BO189" s="221"/>
      <c r="BP189" s="221"/>
      <c r="BQ189" s="221"/>
      <c r="BR189" s="221"/>
      <c r="BS189" s="221"/>
      <c r="BT189" s="221"/>
      <c r="BU189" s="221"/>
      <c r="BV189" s="221"/>
      <c r="BW189" s="221"/>
      <c r="BX189" s="221"/>
      <c r="BY189" s="221"/>
      <c r="BZ189" s="221"/>
      <c r="CA189" s="221"/>
      <c r="CB189" s="221"/>
      <c r="CC189" s="221"/>
      <c r="CD189" s="245"/>
      <c r="CE189" s="221"/>
      <c r="CF189" s="223"/>
      <c r="CG189" s="223"/>
      <c r="CH189" s="223"/>
      <c r="CI189" s="223"/>
      <c r="CJ189" s="222"/>
      <c r="CK189" s="223"/>
      <c r="CL189" s="223"/>
      <c r="CM189" s="223"/>
    </row>
    <row r="190" spans="1:99" s="4" customFormat="1">
      <c r="B190" s="12"/>
      <c r="C190" s="11"/>
      <c r="BO190" s="221"/>
      <c r="BP190" s="221"/>
      <c r="BQ190" s="221"/>
      <c r="BR190" s="221"/>
      <c r="BS190" s="221"/>
      <c r="BT190" s="221"/>
      <c r="BU190" s="221"/>
      <c r="BV190" s="221"/>
      <c r="BW190" s="221"/>
      <c r="BX190" s="221"/>
      <c r="BY190" s="221"/>
      <c r="BZ190" s="221"/>
      <c r="CA190" s="221"/>
      <c r="CB190" s="221"/>
      <c r="CC190" s="221"/>
      <c r="CD190" s="245"/>
      <c r="CE190" s="221"/>
      <c r="CF190" s="223"/>
      <c r="CG190" s="223"/>
      <c r="CH190" s="223"/>
      <c r="CI190" s="223"/>
      <c r="CJ190" s="222"/>
      <c r="CK190" s="223"/>
      <c r="CL190" s="223"/>
      <c r="CM190" s="223"/>
    </row>
    <row r="191" spans="1:99" s="4" customFormat="1">
      <c r="B191" s="12"/>
      <c r="C191" s="11"/>
      <c r="BO191" s="221"/>
      <c r="BP191" s="221"/>
      <c r="BQ191" s="221"/>
      <c r="BR191" s="221"/>
      <c r="BS191" s="221"/>
      <c r="BT191" s="221"/>
      <c r="BU191" s="221"/>
      <c r="BV191" s="221"/>
      <c r="BW191" s="221"/>
      <c r="BX191" s="221"/>
      <c r="BY191" s="221"/>
      <c r="BZ191" s="221"/>
      <c r="CA191" s="221"/>
      <c r="CB191" s="221"/>
      <c r="CC191" s="221"/>
      <c r="CD191" s="245"/>
      <c r="CE191" s="221"/>
      <c r="CF191" s="223"/>
      <c r="CG191" s="223"/>
      <c r="CH191" s="223"/>
      <c r="CI191" s="223"/>
      <c r="CJ191" s="222"/>
      <c r="CK191" s="223"/>
      <c r="CL191" s="223"/>
      <c r="CM191" s="223"/>
    </row>
    <row r="192" spans="1:99" s="4" customFormat="1">
      <c r="B192" s="12"/>
      <c r="C192" s="11"/>
      <c r="BO192" s="221"/>
      <c r="BP192" s="221"/>
      <c r="BQ192" s="221"/>
      <c r="BR192" s="221"/>
      <c r="BS192" s="221"/>
      <c r="BT192" s="221"/>
      <c r="BU192" s="221"/>
      <c r="BV192" s="221"/>
      <c r="BW192" s="221"/>
      <c r="BX192" s="221"/>
      <c r="BY192" s="221"/>
      <c r="BZ192" s="221"/>
      <c r="CA192" s="221"/>
      <c r="CB192" s="221"/>
      <c r="CC192" s="221"/>
      <c r="CD192" s="245"/>
      <c r="CE192" s="221"/>
      <c r="CF192" s="223"/>
      <c r="CG192" s="223"/>
      <c r="CH192" s="223"/>
      <c r="CI192" s="223"/>
      <c r="CJ192" s="222"/>
      <c r="CK192" s="223"/>
      <c r="CL192" s="223"/>
      <c r="CM192" s="223"/>
    </row>
    <row r="193" spans="2:91" s="4" customFormat="1">
      <c r="B193" s="12"/>
      <c r="C193" s="11"/>
      <c r="BO193" s="221"/>
      <c r="BP193" s="221"/>
      <c r="BQ193" s="221"/>
      <c r="BR193" s="221"/>
      <c r="BS193" s="221"/>
      <c r="BT193" s="221"/>
      <c r="BU193" s="221"/>
      <c r="BV193" s="221"/>
      <c r="BW193" s="221"/>
      <c r="BX193" s="221"/>
      <c r="BY193" s="221"/>
      <c r="BZ193" s="221"/>
      <c r="CA193" s="221"/>
      <c r="CB193" s="221"/>
      <c r="CC193" s="221"/>
      <c r="CD193" s="245"/>
      <c r="CE193" s="221"/>
      <c r="CF193" s="223"/>
      <c r="CG193" s="223"/>
      <c r="CH193" s="223"/>
      <c r="CI193" s="223"/>
      <c r="CJ193" s="222"/>
      <c r="CK193" s="223"/>
      <c r="CL193" s="223"/>
      <c r="CM193" s="223"/>
    </row>
    <row r="194" spans="2:91" s="4" customFormat="1">
      <c r="B194" s="12"/>
      <c r="C194" s="11"/>
      <c r="BO194" s="221"/>
      <c r="BP194" s="221"/>
      <c r="BQ194" s="221"/>
      <c r="BR194" s="221"/>
      <c r="BS194" s="221"/>
      <c r="BT194" s="221"/>
      <c r="BU194" s="221"/>
      <c r="BV194" s="221"/>
      <c r="BW194" s="221"/>
      <c r="BX194" s="221"/>
      <c r="BY194" s="221"/>
      <c r="BZ194" s="221"/>
      <c r="CA194" s="221"/>
      <c r="CB194" s="221"/>
      <c r="CC194" s="221"/>
      <c r="CD194" s="245"/>
      <c r="CE194" s="221"/>
      <c r="CF194" s="223"/>
      <c r="CG194" s="223"/>
      <c r="CH194" s="223"/>
      <c r="CI194" s="223"/>
      <c r="CJ194" s="222"/>
      <c r="CK194" s="223"/>
      <c r="CL194" s="223"/>
      <c r="CM194" s="223"/>
    </row>
    <row r="195" spans="2:91" s="4" customFormat="1">
      <c r="B195" s="12"/>
      <c r="C195" s="11"/>
      <c r="BO195" s="221"/>
      <c r="BP195" s="221"/>
      <c r="BQ195" s="221"/>
      <c r="BR195" s="221"/>
      <c r="BS195" s="221"/>
      <c r="BT195" s="221"/>
      <c r="BU195" s="221"/>
      <c r="BV195" s="221"/>
      <c r="BW195" s="221"/>
      <c r="BX195" s="221"/>
      <c r="BY195" s="221"/>
      <c r="BZ195" s="221"/>
      <c r="CA195" s="221"/>
      <c r="CB195" s="221"/>
      <c r="CC195" s="221"/>
      <c r="CD195" s="245"/>
      <c r="CE195" s="221"/>
      <c r="CF195" s="223"/>
      <c r="CG195" s="223"/>
      <c r="CH195" s="223"/>
      <c r="CI195" s="223"/>
      <c r="CJ195" s="222"/>
      <c r="CK195" s="223"/>
      <c r="CL195" s="223"/>
      <c r="CM195" s="223"/>
    </row>
    <row r="196" spans="2:91" s="4" customFormat="1">
      <c r="B196" s="12"/>
      <c r="C196" s="11"/>
      <c r="BO196" s="221"/>
      <c r="BP196" s="221"/>
      <c r="BQ196" s="221"/>
      <c r="BR196" s="221"/>
      <c r="BS196" s="221"/>
      <c r="BT196" s="221"/>
      <c r="BU196" s="221"/>
      <c r="BV196" s="221"/>
      <c r="BW196" s="221"/>
      <c r="BX196" s="221"/>
      <c r="BY196" s="221"/>
      <c r="BZ196" s="221"/>
      <c r="CA196" s="221"/>
      <c r="CB196" s="221"/>
      <c r="CC196" s="221"/>
      <c r="CD196" s="245"/>
      <c r="CE196" s="221"/>
      <c r="CF196" s="223"/>
      <c r="CG196" s="223"/>
      <c r="CH196" s="223"/>
      <c r="CI196" s="223"/>
      <c r="CJ196" s="222"/>
      <c r="CK196" s="223"/>
      <c r="CL196" s="223"/>
      <c r="CM196" s="223"/>
    </row>
    <row r="197" spans="2:91" s="4" customFormat="1">
      <c r="B197" s="12"/>
      <c r="C197" s="11"/>
      <c r="BO197" s="221"/>
      <c r="BP197" s="221"/>
      <c r="BQ197" s="221"/>
      <c r="BR197" s="221"/>
      <c r="BS197" s="221"/>
      <c r="BT197" s="221"/>
      <c r="BU197" s="221"/>
      <c r="BV197" s="221"/>
      <c r="BW197" s="221"/>
      <c r="BX197" s="221"/>
      <c r="BY197" s="221"/>
      <c r="BZ197" s="221"/>
      <c r="CA197" s="221"/>
      <c r="CB197" s="221"/>
      <c r="CC197" s="221"/>
      <c r="CD197" s="245"/>
      <c r="CE197" s="221"/>
      <c r="CF197" s="223"/>
      <c r="CG197" s="223"/>
      <c r="CH197" s="223"/>
      <c r="CI197" s="223"/>
      <c r="CJ197" s="222"/>
      <c r="CK197" s="223"/>
      <c r="CL197" s="223"/>
      <c r="CM197" s="223"/>
    </row>
    <row r="198" spans="2:91" s="4" customFormat="1">
      <c r="B198" s="12"/>
      <c r="C198" s="11"/>
      <c r="BO198" s="221"/>
      <c r="BP198" s="221"/>
      <c r="BQ198" s="221"/>
      <c r="BR198" s="221"/>
      <c r="BS198" s="221"/>
      <c r="BT198" s="221"/>
      <c r="BU198" s="221"/>
      <c r="BV198" s="221"/>
      <c r="BW198" s="221"/>
      <c r="BX198" s="221"/>
      <c r="BY198" s="221"/>
      <c r="BZ198" s="221"/>
      <c r="CA198" s="221"/>
      <c r="CB198" s="221"/>
      <c r="CC198" s="221"/>
      <c r="CD198" s="245"/>
      <c r="CE198" s="221"/>
      <c r="CF198" s="223"/>
      <c r="CG198" s="223"/>
      <c r="CH198" s="223"/>
      <c r="CI198" s="223"/>
      <c r="CJ198" s="222"/>
      <c r="CK198" s="223"/>
      <c r="CL198" s="223"/>
      <c r="CM198" s="223"/>
    </row>
    <row r="199" spans="2:91" s="4" customFormat="1">
      <c r="B199" s="12"/>
      <c r="C199" s="11"/>
      <c r="BO199" s="221"/>
      <c r="BP199" s="221"/>
      <c r="BQ199" s="221"/>
      <c r="BR199" s="221"/>
      <c r="BS199" s="221"/>
      <c r="BT199" s="221"/>
      <c r="BU199" s="221"/>
      <c r="BV199" s="221"/>
      <c r="BW199" s="221"/>
      <c r="BX199" s="221"/>
      <c r="BY199" s="221"/>
      <c r="BZ199" s="221"/>
      <c r="CA199" s="221"/>
      <c r="CB199" s="221"/>
      <c r="CC199" s="221"/>
      <c r="CD199" s="245"/>
      <c r="CE199" s="221"/>
      <c r="CF199" s="223"/>
      <c r="CG199" s="223"/>
      <c r="CH199" s="223"/>
      <c r="CI199" s="223"/>
      <c r="CJ199" s="222"/>
      <c r="CK199" s="223"/>
      <c r="CL199" s="223"/>
      <c r="CM199" s="223"/>
    </row>
    <row r="200" spans="2:91" s="4" customFormat="1">
      <c r="B200" s="12"/>
      <c r="C200" s="11"/>
      <c r="BO200" s="221"/>
      <c r="BP200" s="221"/>
      <c r="BQ200" s="221"/>
      <c r="BR200" s="221"/>
      <c r="BS200" s="221"/>
      <c r="BT200" s="221"/>
      <c r="BU200" s="221"/>
      <c r="BV200" s="221"/>
      <c r="BW200" s="221"/>
      <c r="BX200" s="221"/>
      <c r="BY200" s="221"/>
      <c r="BZ200" s="221"/>
      <c r="CA200" s="221"/>
      <c r="CB200" s="221"/>
      <c r="CC200" s="221"/>
      <c r="CD200" s="245"/>
      <c r="CE200" s="221"/>
      <c r="CF200" s="223"/>
      <c r="CG200" s="223"/>
      <c r="CH200" s="223"/>
      <c r="CI200" s="223"/>
      <c r="CJ200" s="222"/>
      <c r="CK200" s="223"/>
      <c r="CL200" s="223"/>
      <c r="CM200" s="223"/>
    </row>
    <row r="201" spans="2:91" s="4" customFormat="1">
      <c r="B201" s="12"/>
      <c r="C201" s="11"/>
      <c r="BO201" s="221"/>
      <c r="BP201" s="221"/>
      <c r="BQ201" s="221"/>
      <c r="BR201" s="221"/>
      <c r="BS201" s="221"/>
      <c r="BT201" s="221"/>
      <c r="BU201" s="221"/>
      <c r="BV201" s="221"/>
      <c r="BW201" s="221"/>
      <c r="BX201" s="221"/>
      <c r="BY201" s="221"/>
      <c r="BZ201" s="221"/>
      <c r="CA201" s="221"/>
      <c r="CB201" s="221"/>
      <c r="CC201" s="221"/>
      <c r="CD201" s="245"/>
      <c r="CE201" s="221"/>
      <c r="CF201" s="223"/>
      <c r="CG201" s="223"/>
      <c r="CH201" s="223"/>
      <c r="CI201" s="223"/>
      <c r="CJ201" s="222"/>
      <c r="CK201" s="223"/>
      <c r="CL201" s="223"/>
      <c r="CM201" s="223"/>
    </row>
    <row r="202" spans="2:91" s="4" customFormat="1">
      <c r="B202" s="12"/>
      <c r="C202" s="11"/>
      <c r="BO202" s="221"/>
      <c r="BP202" s="221"/>
      <c r="BQ202" s="221"/>
      <c r="BR202" s="221"/>
      <c r="BS202" s="221"/>
      <c r="BT202" s="221"/>
      <c r="BU202" s="221"/>
      <c r="BV202" s="221"/>
      <c r="BW202" s="221"/>
      <c r="BX202" s="221"/>
      <c r="BY202" s="221"/>
      <c r="BZ202" s="221"/>
      <c r="CA202" s="221"/>
      <c r="CB202" s="221"/>
      <c r="CC202" s="221"/>
      <c r="CD202" s="245"/>
      <c r="CE202" s="221"/>
      <c r="CF202" s="223"/>
      <c r="CG202" s="223"/>
      <c r="CH202" s="223"/>
      <c r="CI202" s="223"/>
      <c r="CJ202" s="222"/>
      <c r="CK202" s="223"/>
      <c r="CL202" s="223"/>
      <c r="CM202" s="223"/>
    </row>
    <row r="203" spans="2:91" s="4" customFormat="1">
      <c r="B203" s="12"/>
      <c r="C203" s="11"/>
      <c r="BO203" s="221"/>
      <c r="BP203" s="221"/>
      <c r="BQ203" s="221"/>
      <c r="BR203" s="221"/>
      <c r="BS203" s="221"/>
      <c r="BT203" s="221"/>
      <c r="BU203" s="221"/>
      <c r="BV203" s="221"/>
      <c r="BW203" s="221"/>
      <c r="BX203" s="221"/>
      <c r="BY203" s="221"/>
      <c r="BZ203" s="221"/>
      <c r="CA203" s="221"/>
      <c r="CB203" s="221"/>
      <c r="CC203" s="221"/>
      <c r="CD203" s="245"/>
      <c r="CE203" s="221"/>
      <c r="CF203" s="223"/>
      <c r="CG203" s="223"/>
      <c r="CH203" s="223"/>
      <c r="CI203" s="223"/>
      <c r="CJ203" s="222"/>
      <c r="CK203" s="223"/>
      <c r="CL203" s="223"/>
      <c r="CM203" s="223"/>
    </row>
    <row r="204" spans="2:91" s="4" customFormat="1">
      <c r="B204" s="12"/>
      <c r="C204" s="11"/>
      <c r="BO204" s="221"/>
      <c r="BP204" s="221"/>
      <c r="BQ204" s="221"/>
      <c r="BR204" s="221"/>
      <c r="BS204" s="221"/>
      <c r="BT204" s="221"/>
      <c r="BU204" s="221"/>
      <c r="BV204" s="221"/>
      <c r="BW204" s="221"/>
      <c r="BX204" s="221"/>
      <c r="BY204" s="221"/>
      <c r="BZ204" s="221"/>
      <c r="CA204" s="221"/>
      <c r="CB204" s="221"/>
      <c r="CC204" s="221"/>
      <c r="CD204" s="245"/>
      <c r="CE204" s="221"/>
      <c r="CF204" s="223"/>
      <c r="CG204" s="223"/>
      <c r="CH204" s="223"/>
      <c r="CI204" s="223"/>
      <c r="CJ204" s="222"/>
      <c r="CK204" s="223"/>
      <c r="CL204" s="223"/>
      <c r="CM204" s="223"/>
    </row>
    <row r="205" spans="2:91" s="4" customFormat="1">
      <c r="B205" s="12"/>
      <c r="C205" s="11"/>
      <c r="BO205" s="221"/>
      <c r="BP205" s="221"/>
      <c r="BQ205" s="221"/>
      <c r="BR205" s="221"/>
      <c r="BS205" s="221"/>
      <c r="BT205" s="221"/>
      <c r="BU205" s="221"/>
      <c r="BV205" s="221"/>
      <c r="BW205" s="221"/>
      <c r="BX205" s="221"/>
      <c r="BY205" s="221"/>
      <c r="BZ205" s="221"/>
      <c r="CA205" s="221"/>
      <c r="CB205" s="221"/>
      <c r="CC205" s="221"/>
      <c r="CD205" s="245"/>
      <c r="CE205" s="221"/>
      <c r="CF205" s="223"/>
      <c r="CG205" s="223"/>
      <c r="CH205" s="223"/>
      <c r="CI205" s="223"/>
      <c r="CJ205" s="222"/>
      <c r="CK205" s="223"/>
      <c r="CL205" s="223"/>
      <c r="CM205" s="223"/>
    </row>
    <row r="206" spans="2:91" s="4" customFormat="1">
      <c r="B206" s="12"/>
      <c r="C206" s="11"/>
      <c r="BO206" s="221"/>
      <c r="BP206" s="221"/>
      <c r="BQ206" s="221"/>
      <c r="BR206" s="221"/>
      <c r="BS206" s="221"/>
      <c r="BT206" s="221"/>
      <c r="BU206" s="221"/>
      <c r="BV206" s="221"/>
      <c r="BW206" s="221"/>
      <c r="BX206" s="221"/>
      <c r="BY206" s="221"/>
      <c r="BZ206" s="221"/>
      <c r="CA206" s="221"/>
      <c r="CB206" s="221"/>
      <c r="CC206" s="221"/>
      <c r="CD206" s="245"/>
      <c r="CE206" s="221"/>
      <c r="CF206" s="223"/>
      <c r="CG206" s="223"/>
      <c r="CH206" s="223"/>
      <c r="CI206" s="223"/>
      <c r="CJ206" s="222"/>
      <c r="CK206" s="223"/>
      <c r="CL206" s="223"/>
      <c r="CM206" s="223"/>
    </row>
    <row r="207" spans="2:91" s="4" customFormat="1">
      <c r="B207" s="12"/>
      <c r="C207" s="11"/>
      <c r="BO207" s="221"/>
      <c r="BP207" s="221"/>
      <c r="BQ207" s="221"/>
      <c r="BR207" s="221"/>
      <c r="BS207" s="221"/>
      <c r="BT207" s="221"/>
      <c r="BU207" s="221"/>
      <c r="BV207" s="221"/>
      <c r="BW207" s="221"/>
      <c r="BX207" s="221"/>
      <c r="BY207" s="221"/>
      <c r="BZ207" s="221"/>
      <c r="CA207" s="221"/>
      <c r="CB207" s="221"/>
      <c r="CC207" s="221"/>
      <c r="CD207" s="245"/>
      <c r="CE207" s="221"/>
      <c r="CF207" s="223"/>
      <c r="CG207" s="223"/>
      <c r="CH207" s="223"/>
      <c r="CI207" s="223"/>
      <c r="CJ207" s="222"/>
      <c r="CK207" s="223"/>
      <c r="CL207" s="223"/>
      <c r="CM207" s="223"/>
    </row>
    <row r="208" spans="2:91" s="4" customFormat="1">
      <c r="B208" s="12"/>
      <c r="C208" s="11"/>
      <c r="BO208" s="221"/>
      <c r="BP208" s="221"/>
      <c r="BQ208" s="221"/>
      <c r="BR208" s="221"/>
      <c r="BS208" s="221"/>
      <c r="BT208" s="221"/>
      <c r="BU208" s="221"/>
      <c r="BV208" s="221"/>
      <c r="BW208" s="221"/>
      <c r="BX208" s="221"/>
      <c r="BY208" s="221"/>
      <c r="BZ208" s="221"/>
      <c r="CA208" s="221"/>
      <c r="CB208" s="221"/>
      <c r="CC208" s="221"/>
      <c r="CD208" s="245"/>
      <c r="CE208" s="221"/>
      <c r="CF208" s="223"/>
      <c r="CG208" s="223"/>
      <c r="CH208" s="223"/>
      <c r="CI208" s="223"/>
      <c r="CJ208" s="222"/>
      <c r="CK208" s="223"/>
      <c r="CL208" s="223"/>
      <c r="CM208" s="223"/>
    </row>
    <row r="209" spans="2:91" s="4" customFormat="1">
      <c r="B209" s="12"/>
      <c r="C209" s="11"/>
      <c r="BO209" s="221"/>
      <c r="BP209" s="221"/>
      <c r="BQ209" s="221"/>
      <c r="BR209" s="221"/>
      <c r="BS209" s="221"/>
      <c r="BT209" s="221"/>
      <c r="BU209" s="221"/>
      <c r="BV209" s="221"/>
      <c r="BW209" s="221"/>
      <c r="BX209" s="221"/>
      <c r="BY209" s="221"/>
      <c r="BZ209" s="221"/>
      <c r="CA209" s="221"/>
      <c r="CB209" s="221"/>
      <c r="CC209" s="221"/>
      <c r="CD209" s="245"/>
      <c r="CE209" s="221"/>
      <c r="CF209" s="223"/>
      <c r="CG209" s="223"/>
      <c r="CH209" s="223"/>
      <c r="CI209" s="223"/>
      <c r="CJ209" s="222"/>
      <c r="CK209" s="223"/>
      <c r="CL209" s="223"/>
      <c r="CM209" s="223"/>
    </row>
    <row r="210" spans="2:91" s="4" customFormat="1">
      <c r="B210" s="12"/>
      <c r="C210" s="11"/>
      <c r="BO210" s="221"/>
      <c r="BP210" s="221"/>
      <c r="BQ210" s="221"/>
      <c r="BR210" s="221"/>
      <c r="BS210" s="221"/>
      <c r="BT210" s="221"/>
      <c r="BU210" s="221"/>
      <c r="BV210" s="221"/>
      <c r="BW210" s="221"/>
      <c r="BX210" s="221"/>
      <c r="BY210" s="221"/>
      <c r="BZ210" s="221"/>
      <c r="CA210" s="221"/>
      <c r="CB210" s="221"/>
      <c r="CC210" s="221"/>
      <c r="CD210" s="245"/>
      <c r="CE210" s="221"/>
      <c r="CF210" s="223"/>
      <c r="CG210" s="223"/>
      <c r="CH210" s="223"/>
      <c r="CI210" s="223"/>
      <c r="CJ210" s="222"/>
      <c r="CK210" s="223"/>
      <c r="CL210" s="223"/>
      <c r="CM210" s="223"/>
    </row>
    <row r="211" spans="2:91" s="4" customFormat="1">
      <c r="B211" s="12"/>
      <c r="C211" s="11"/>
      <c r="BO211" s="221"/>
      <c r="BP211" s="221"/>
      <c r="BQ211" s="221"/>
      <c r="BR211" s="221"/>
      <c r="BS211" s="221"/>
      <c r="BT211" s="221"/>
      <c r="BU211" s="221"/>
      <c r="BV211" s="221"/>
      <c r="BW211" s="221"/>
      <c r="BX211" s="221"/>
      <c r="BY211" s="221"/>
      <c r="BZ211" s="221"/>
      <c r="CA211" s="221"/>
      <c r="CB211" s="221"/>
      <c r="CC211" s="221"/>
      <c r="CD211" s="245"/>
      <c r="CE211" s="221"/>
      <c r="CF211" s="223"/>
      <c r="CG211" s="223"/>
      <c r="CH211" s="223"/>
      <c r="CI211" s="223"/>
      <c r="CJ211" s="222"/>
      <c r="CK211" s="223"/>
      <c r="CL211" s="223"/>
      <c r="CM211" s="223"/>
    </row>
    <row r="212" spans="2:91" s="4" customFormat="1">
      <c r="B212" s="12"/>
      <c r="C212" s="11"/>
      <c r="BO212" s="221"/>
      <c r="BP212" s="221"/>
      <c r="BQ212" s="221"/>
      <c r="BR212" s="221"/>
      <c r="BS212" s="221"/>
      <c r="BT212" s="221"/>
      <c r="BU212" s="221"/>
      <c r="BV212" s="221"/>
      <c r="BW212" s="221"/>
      <c r="BX212" s="221"/>
      <c r="BY212" s="221"/>
      <c r="BZ212" s="221"/>
      <c r="CA212" s="221"/>
      <c r="CB212" s="221"/>
      <c r="CC212" s="221"/>
      <c r="CD212" s="245"/>
      <c r="CE212" s="221"/>
      <c r="CF212" s="223"/>
      <c r="CG212" s="223"/>
      <c r="CH212" s="223"/>
      <c r="CI212" s="223"/>
      <c r="CJ212" s="222"/>
      <c r="CK212" s="223"/>
      <c r="CL212" s="223"/>
      <c r="CM212" s="223"/>
    </row>
    <row r="213" spans="2:91" s="4" customFormat="1">
      <c r="B213" s="12"/>
      <c r="C213" s="11"/>
      <c r="BO213" s="221"/>
      <c r="BP213" s="221"/>
      <c r="BQ213" s="221"/>
      <c r="BR213" s="221"/>
      <c r="BS213" s="221"/>
      <c r="BT213" s="221"/>
      <c r="BU213" s="221"/>
      <c r="BV213" s="221"/>
      <c r="BW213" s="221"/>
      <c r="BX213" s="221"/>
      <c r="BY213" s="221"/>
      <c r="BZ213" s="221"/>
      <c r="CA213" s="221"/>
      <c r="CB213" s="221"/>
      <c r="CC213" s="221"/>
      <c r="CD213" s="245"/>
      <c r="CE213" s="221"/>
      <c r="CF213" s="223"/>
      <c r="CG213" s="223"/>
      <c r="CH213" s="223"/>
      <c r="CI213" s="223"/>
      <c r="CJ213" s="222"/>
      <c r="CK213" s="223"/>
      <c r="CL213" s="223"/>
      <c r="CM213" s="223"/>
    </row>
    <row r="214" spans="2:91" s="4" customFormat="1">
      <c r="B214" s="12"/>
      <c r="C214" s="11"/>
      <c r="BO214" s="221"/>
      <c r="BP214" s="221"/>
      <c r="BQ214" s="221"/>
      <c r="BR214" s="221"/>
      <c r="BS214" s="221"/>
      <c r="BT214" s="221"/>
      <c r="BU214" s="221"/>
      <c r="BV214" s="221"/>
      <c r="BW214" s="221"/>
      <c r="BX214" s="221"/>
      <c r="BY214" s="221"/>
      <c r="BZ214" s="221"/>
      <c r="CA214" s="221"/>
      <c r="CB214" s="221"/>
      <c r="CC214" s="221"/>
      <c r="CD214" s="245"/>
      <c r="CE214" s="221"/>
      <c r="CF214" s="223"/>
      <c r="CG214" s="223"/>
      <c r="CH214" s="223"/>
      <c r="CI214" s="223"/>
      <c r="CJ214" s="222"/>
      <c r="CK214" s="223"/>
      <c r="CL214" s="223"/>
      <c r="CM214" s="223"/>
    </row>
    <row r="215" spans="2:91" s="4" customFormat="1">
      <c r="B215" s="12"/>
      <c r="C215" s="11"/>
      <c r="BO215" s="221"/>
      <c r="BP215" s="221"/>
      <c r="BQ215" s="221"/>
      <c r="BR215" s="221"/>
      <c r="BS215" s="221"/>
      <c r="BT215" s="221"/>
      <c r="BU215" s="221"/>
      <c r="BV215" s="221"/>
      <c r="BW215" s="221"/>
      <c r="BX215" s="221"/>
      <c r="BY215" s="221"/>
      <c r="BZ215" s="221"/>
      <c r="CA215" s="221"/>
      <c r="CB215" s="221"/>
      <c r="CC215" s="221"/>
      <c r="CD215" s="245"/>
      <c r="CE215" s="221"/>
      <c r="CF215" s="223"/>
      <c r="CG215" s="223"/>
      <c r="CH215" s="223"/>
      <c r="CI215" s="223"/>
      <c r="CJ215" s="222"/>
      <c r="CK215" s="223"/>
      <c r="CL215" s="223"/>
      <c r="CM215" s="223"/>
    </row>
    <row r="216" spans="2:91" s="4" customFormat="1">
      <c r="B216" s="12"/>
      <c r="C216" s="11"/>
      <c r="BO216" s="221"/>
      <c r="BP216" s="221"/>
      <c r="BQ216" s="221"/>
      <c r="BR216" s="221"/>
      <c r="BS216" s="221"/>
      <c r="BT216" s="221"/>
      <c r="BU216" s="221"/>
      <c r="BV216" s="221"/>
      <c r="BW216" s="221"/>
      <c r="BX216" s="221"/>
      <c r="BY216" s="221"/>
      <c r="BZ216" s="221"/>
      <c r="CA216" s="221"/>
      <c r="CB216" s="221"/>
      <c r="CC216" s="221"/>
      <c r="CD216" s="245"/>
      <c r="CE216" s="221"/>
      <c r="CF216" s="223"/>
      <c r="CG216" s="223"/>
      <c r="CH216" s="223"/>
      <c r="CI216" s="223"/>
      <c r="CJ216" s="222"/>
      <c r="CK216" s="223"/>
      <c r="CL216" s="223"/>
      <c r="CM216" s="223"/>
    </row>
    <row r="217" spans="2:91" s="4" customFormat="1">
      <c r="B217" s="12"/>
      <c r="C217" s="11"/>
      <c r="BO217" s="221"/>
      <c r="BP217" s="221"/>
      <c r="BQ217" s="221"/>
      <c r="BR217" s="221"/>
      <c r="BS217" s="221"/>
      <c r="BT217" s="221"/>
      <c r="BU217" s="221"/>
      <c r="BV217" s="221"/>
      <c r="BW217" s="221"/>
      <c r="BX217" s="221"/>
      <c r="BY217" s="221"/>
      <c r="BZ217" s="221"/>
      <c r="CA217" s="221"/>
      <c r="CB217" s="221"/>
      <c r="CC217" s="221"/>
      <c r="CD217" s="245"/>
      <c r="CE217" s="221"/>
      <c r="CF217" s="223"/>
      <c r="CG217" s="223"/>
      <c r="CH217" s="223"/>
      <c r="CI217" s="223"/>
      <c r="CJ217" s="222"/>
      <c r="CK217" s="223"/>
      <c r="CL217" s="223"/>
      <c r="CM217" s="223"/>
    </row>
    <row r="218" spans="2:91" s="4" customFormat="1">
      <c r="B218" s="12"/>
      <c r="C218" s="11"/>
      <c r="BO218" s="221"/>
      <c r="BP218" s="221"/>
      <c r="BQ218" s="221"/>
      <c r="BR218" s="221"/>
      <c r="BS218" s="221"/>
      <c r="BT218" s="221"/>
      <c r="BU218" s="221"/>
      <c r="BV218" s="221"/>
      <c r="BW218" s="221"/>
      <c r="BX218" s="221"/>
      <c r="BY218" s="221"/>
      <c r="BZ218" s="221"/>
      <c r="CA218" s="221"/>
      <c r="CB218" s="221"/>
      <c r="CC218" s="221"/>
      <c r="CD218" s="245"/>
      <c r="CE218" s="221"/>
      <c r="CF218" s="223"/>
      <c r="CG218" s="223"/>
      <c r="CH218" s="223"/>
      <c r="CI218" s="223"/>
      <c r="CJ218" s="222"/>
      <c r="CK218" s="223"/>
      <c r="CL218" s="223"/>
      <c r="CM218" s="223"/>
    </row>
    <row r="219" spans="2:91" s="4" customFormat="1">
      <c r="B219" s="12"/>
      <c r="C219" s="11"/>
      <c r="BO219" s="221"/>
      <c r="BP219" s="221"/>
      <c r="BQ219" s="221"/>
      <c r="BR219" s="221"/>
      <c r="BS219" s="221"/>
      <c r="BT219" s="221"/>
      <c r="BU219" s="221"/>
      <c r="BV219" s="221"/>
      <c r="BW219" s="221"/>
      <c r="BX219" s="221"/>
      <c r="BY219" s="221"/>
      <c r="BZ219" s="221"/>
      <c r="CA219" s="221"/>
      <c r="CB219" s="221"/>
      <c r="CC219" s="221"/>
      <c r="CD219" s="245"/>
      <c r="CE219" s="221"/>
      <c r="CF219" s="223"/>
      <c r="CG219" s="223"/>
      <c r="CH219" s="223"/>
      <c r="CI219" s="223"/>
      <c r="CJ219" s="222"/>
      <c r="CK219" s="223"/>
      <c r="CL219" s="223"/>
      <c r="CM219" s="223"/>
    </row>
    <row r="220" spans="2:91" s="4" customFormat="1">
      <c r="B220" s="12"/>
      <c r="C220" s="11"/>
      <c r="BO220" s="221"/>
      <c r="BP220" s="221"/>
      <c r="BQ220" s="221"/>
      <c r="BR220" s="221"/>
      <c r="BS220" s="221"/>
      <c r="BT220" s="221"/>
      <c r="BU220" s="221"/>
      <c r="BV220" s="221"/>
      <c r="BW220" s="221"/>
      <c r="BX220" s="221"/>
      <c r="BY220" s="221"/>
      <c r="BZ220" s="221"/>
      <c r="CA220" s="221"/>
      <c r="CB220" s="221"/>
      <c r="CC220" s="221"/>
      <c r="CD220" s="245"/>
      <c r="CE220" s="221"/>
      <c r="CF220" s="223"/>
      <c r="CG220" s="223"/>
      <c r="CH220" s="223"/>
      <c r="CI220" s="223"/>
      <c r="CJ220" s="222"/>
      <c r="CK220" s="223"/>
      <c r="CL220" s="223"/>
      <c r="CM220" s="223"/>
    </row>
    <row r="221" spans="2:91" s="4" customFormat="1">
      <c r="B221" s="12"/>
      <c r="C221" s="11"/>
      <c r="BO221" s="221"/>
      <c r="BP221" s="221"/>
      <c r="BQ221" s="221"/>
      <c r="BR221" s="221"/>
      <c r="BS221" s="221"/>
      <c r="BT221" s="221"/>
      <c r="BU221" s="221"/>
      <c r="BV221" s="221"/>
      <c r="BW221" s="221"/>
      <c r="BX221" s="221"/>
      <c r="BY221" s="221"/>
      <c r="BZ221" s="221"/>
      <c r="CA221" s="221"/>
      <c r="CB221" s="221"/>
      <c r="CC221" s="221"/>
      <c r="CD221" s="245"/>
      <c r="CE221" s="221"/>
      <c r="CF221" s="223"/>
      <c r="CG221" s="223"/>
      <c r="CH221" s="223"/>
      <c r="CI221" s="223"/>
      <c r="CJ221" s="222"/>
      <c r="CK221" s="223"/>
      <c r="CL221" s="223"/>
      <c r="CM221" s="223"/>
    </row>
    <row r="222" spans="2:91" s="4" customFormat="1">
      <c r="B222" s="12"/>
      <c r="C222" s="11"/>
      <c r="BO222" s="221"/>
      <c r="BP222" s="221"/>
      <c r="BQ222" s="221"/>
      <c r="BR222" s="221"/>
      <c r="BS222" s="221"/>
      <c r="BT222" s="221"/>
      <c r="BU222" s="221"/>
      <c r="BV222" s="221"/>
      <c r="BW222" s="221"/>
      <c r="BX222" s="221"/>
      <c r="BY222" s="221"/>
      <c r="BZ222" s="221"/>
      <c r="CA222" s="221"/>
      <c r="CB222" s="221"/>
      <c r="CC222" s="221"/>
      <c r="CD222" s="245"/>
      <c r="CE222" s="221"/>
      <c r="CF222" s="223"/>
      <c r="CG222" s="223"/>
      <c r="CH222" s="223"/>
      <c r="CI222" s="223"/>
      <c r="CJ222" s="222"/>
      <c r="CK222" s="223"/>
      <c r="CL222" s="223"/>
      <c r="CM222" s="223"/>
    </row>
    <row r="223" spans="2:91" s="4" customFormat="1">
      <c r="B223" s="12"/>
      <c r="C223" s="11"/>
      <c r="BO223" s="221"/>
      <c r="BP223" s="221"/>
      <c r="BQ223" s="221"/>
      <c r="BR223" s="221"/>
      <c r="BS223" s="221"/>
      <c r="BT223" s="221"/>
      <c r="BU223" s="221"/>
      <c r="BV223" s="221"/>
      <c r="BW223" s="221"/>
      <c r="BX223" s="221"/>
      <c r="BY223" s="221"/>
      <c r="BZ223" s="221"/>
      <c r="CA223" s="221"/>
      <c r="CB223" s="221"/>
      <c r="CC223" s="221"/>
      <c r="CD223" s="245"/>
      <c r="CE223" s="221"/>
      <c r="CF223" s="223"/>
      <c r="CG223" s="223"/>
      <c r="CH223" s="223"/>
      <c r="CI223" s="223"/>
      <c r="CJ223" s="222"/>
      <c r="CK223" s="223"/>
      <c r="CL223" s="223"/>
      <c r="CM223" s="223"/>
    </row>
    <row r="224" spans="2:91" s="4" customFormat="1">
      <c r="B224" s="12"/>
      <c r="C224" s="11"/>
      <c r="BO224" s="221"/>
      <c r="BP224" s="221"/>
      <c r="BQ224" s="221"/>
      <c r="BR224" s="221"/>
      <c r="BS224" s="221"/>
      <c r="BT224" s="221"/>
      <c r="BU224" s="221"/>
      <c r="BV224" s="221"/>
      <c r="BW224" s="221"/>
      <c r="BX224" s="221"/>
      <c r="BY224" s="221"/>
      <c r="BZ224" s="221"/>
      <c r="CA224" s="221"/>
      <c r="CB224" s="221"/>
      <c r="CC224" s="221"/>
      <c r="CD224" s="245"/>
      <c r="CE224" s="221"/>
      <c r="CF224" s="223"/>
      <c r="CG224" s="223"/>
      <c r="CH224" s="223"/>
      <c r="CI224" s="223"/>
      <c r="CJ224" s="222"/>
      <c r="CK224" s="223"/>
      <c r="CL224" s="223"/>
      <c r="CM224" s="223"/>
    </row>
    <row r="225" spans="2:91" s="4" customFormat="1">
      <c r="B225" s="12"/>
      <c r="C225" s="11"/>
      <c r="BO225" s="221"/>
      <c r="BP225" s="221"/>
      <c r="BQ225" s="221"/>
      <c r="BR225" s="221"/>
      <c r="BS225" s="221"/>
      <c r="BT225" s="221"/>
      <c r="BU225" s="221"/>
      <c r="BV225" s="221"/>
      <c r="BW225" s="221"/>
      <c r="BX225" s="221"/>
      <c r="BY225" s="221"/>
      <c r="BZ225" s="221"/>
      <c r="CA225" s="221"/>
      <c r="CB225" s="221"/>
      <c r="CC225" s="221"/>
      <c r="CD225" s="245"/>
      <c r="CE225" s="221"/>
      <c r="CF225" s="223"/>
      <c r="CG225" s="223"/>
      <c r="CH225" s="223"/>
      <c r="CI225" s="223"/>
      <c r="CJ225" s="222"/>
      <c r="CK225" s="223"/>
      <c r="CL225" s="223"/>
      <c r="CM225" s="223"/>
    </row>
    <row r="226" spans="2:91" s="4" customFormat="1">
      <c r="B226" s="12"/>
      <c r="C226" s="11"/>
      <c r="BO226" s="221"/>
      <c r="BP226" s="221"/>
      <c r="BQ226" s="221"/>
      <c r="BR226" s="221"/>
      <c r="BS226" s="221"/>
      <c r="BT226" s="221"/>
      <c r="BU226" s="221"/>
      <c r="BV226" s="221"/>
      <c r="BW226" s="221"/>
      <c r="BX226" s="221"/>
      <c r="BY226" s="221"/>
      <c r="BZ226" s="221"/>
      <c r="CA226" s="221"/>
      <c r="CB226" s="221"/>
      <c r="CC226" s="221"/>
      <c r="CD226" s="245"/>
      <c r="CE226" s="221"/>
      <c r="CF226" s="223"/>
      <c r="CG226" s="223"/>
      <c r="CH226" s="223"/>
      <c r="CI226" s="223"/>
      <c r="CJ226" s="222"/>
      <c r="CK226" s="223"/>
      <c r="CL226" s="223"/>
      <c r="CM226" s="223"/>
    </row>
    <row r="227" spans="2:91" s="4" customFormat="1">
      <c r="B227" s="12"/>
      <c r="C227" s="11"/>
      <c r="BO227" s="221"/>
      <c r="BP227" s="221"/>
      <c r="BQ227" s="221"/>
      <c r="BR227" s="221"/>
      <c r="BS227" s="221"/>
      <c r="BT227" s="221"/>
      <c r="BU227" s="221"/>
      <c r="BV227" s="221"/>
      <c r="BW227" s="221"/>
      <c r="BX227" s="221"/>
      <c r="BY227" s="221"/>
      <c r="BZ227" s="221"/>
      <c r="CA227" s="221"/>
      <c r="CB227" s="221"/>
      <c r="CC227" s="221"/>
      <c r="CD227" s="245"/>
      <c r="CE227" s="221"/>
      <c r="CF227" s="223"/>
      <c r="CG227" s="223"/>
      <c r="CH227" s="223"/>
      <c r="CI227" s="223"/>
      <c r="CJ227" s="222"/>
      <c r="CK227" s="223"/>
      <c r="CL227" s="223"/>
      <c r="CM227" s="223"/>
    </row>
    <row r="228" spans="2:91" s="4" customFormat="1">
      <c r="B228" s="12"/>
      <c r="C228" s="11"/>
      <c r="BO228" s="221"/>
      <c r="BP228" s="221"/>
      <c r="BQ228" s="221"/>
      <c r="BR228" s="221"/>
      <c r="BS228" s="221"/>
      <c r="BT228" s="221"/>
      <c r="BU228" s="221"/>
      <c r="BV228" s="221"/>
      <c r="BW228" s="221"/>
      <c r="BX228" s="221"/>
      <c r="BY228" s="221"/>
      <c r="BZ228" s="221"/>
      <c r="CA228" s="221"/>
      <c r="CB228" s="221"/>
      <c r="CC228" s="221"/>
      <c r="CD228" s="245"/>
      <c r="CE228" s="221"/>
      <c r="CF228" s="223"/>
      <c r="CG228" s="223"/>
      <c r="CH228" s="223"/>
      <c r="CI228" s="223"/>
      <c r="CJ228" s="222"/>
      <c r="CK228" s="223"/>
      <c r="CL228" s="223"/>
      <c r="CM228" s="223"/>
    </row>
    <row r="229" spans="2:91" s="4" customFormat="1">
      <c r="B229" s="12"/>
      <c r="C229" s="11"/>
      <c r="BO229" s="221"/>
      <c r="BP229" s="221"/>
      <c r="BQ229" s="221"/>
      <c r="BR229" s="221"/>
      <c r="BS229" s="221"/>
      <c r="BT229" s="221"/>
      <c r="BU229" s="221"/>
      <c r="BV229" s="221"/>
      <c r="BW229" s="221"/>
      <c r="BX229" s="221"/>
      <c r="BY229" s="221"/>
      <c r="BZ229" s="221"/>
      <c r="CA229" s="221"/>
      <c r="CB229" s="221"/>
      <c r="CC229" s="221"/>
      <c r="CD229" s="245"/>
      <c r="CE229" s="221"/>
      <c r="CF229" s="223"/>
      <c r="CG229" s="223"/>
      <c r="CH229" s="223"/>
      <c r="CI229" s="223"/>
      <c r="CJ229" s="222"/>
      <c r="CK229" s="223"/>
      <c r="CL229" s="223"/>
      <c r="CM229" s="223"/>
    </row>
    <row r="230" spans="2:91" s="4" customFormat="1">
      <c r="B230" s="12"/>
      <c r="C230" s="11"/>
      <c r="BO230" s="221"/>
      <c r="BP230" s="221"/>
      <c r="BQ230" s="221"/>
      <c r="BR230" s="221"/>
      <c r="BS230" s="221"/>
      <c r="BT230" s="221"/>
      <c r="BU230" s="221"/>
      <c r="BV230" s="221"/>
      <c r="BW230" s="221"/>
      <c r="BX230" s="221"/>
      <c r="BY230" s="221"/>
      <c r="BZ230" s="221"/>
      <c r="CA230" s="221"/>
      <c r="CB230" s="221"/>
      <c r="CC230" s="221"/>
      <c r="CD230" s="245"/>
      <c r="CE230" s="221"/>
      <c r="CF230" s="223"/>
      <c r="CG230" s="223"/>
      <c r="CH230" s="223"/>
      <c r="CI230" s="223"/>
      <c r="CJ230" s="222"/>
      <c r="CK230" s="223"/>
      <c r="CL230" s="223"/>
      <c r="CM230" s="223"/>
    </row>
    <row r="231" spans="2:91" s="4" customFormat="1">
      <c r="B231" s="12"/>
      <c r="C231" s="11"/>
      <c r="BO231" s="221"/>
      <c r="BP231" s="221"/>
      <c r="BQ231" s="221"/>
      <c r="BR231" s="221"/>
      <c r="BS231" s="221"/>
      <c r="BT231" s="221"/>
      <c r="BU231" s="221"/>
      <c r="BV231" s="221"/>
      <c r="BW231" s="221"/>
      <c r="BX231" s="221"/>
      <c r="BY231" s="221"/>
      <c r="BZ231" s="221"/>
      <c r="CA231" s="221"/>
      <c r="CB231" s="221"/>
      <c r="CC231" s="221"/>
      <c r="CD231" s="245"/>
      <c r="CE231" s="221"/>
      <c r="CF231" s="223"/>
      <c r="CG231" s="223"/>
      <c r="CH231" s="223"/>
      <c r="CI231" s="223"/>
      <c r="CJ231" s="222"/>
      <c r="CK231" s="223"/>
      <c r="CL231" s="223"/>
      <c r="CM231" s="223"/>
    </row>
    <row r="232" spans="2:91" s="4" customFormat="1">
      <c r="B232" s="12"/>
      <c r="C232" s="11"/>
      <c r="BO232" s="221"/>
      <c r="BP232" s="221"/>
      <c r="BQ232" s="221"/>
      <c r="BR232" s="221"/>
      <c r="BS232" s="221"/>
      <c r="BT232" s="221"/>
      <c r="BU232" s="221"/>
      <c r="BV232" s="221"/>
      <c r="BW232" s="221"/>
      <c r="BX232" s="221"/>
      <c r="BY232" s="221"/>
      <c r="BZ232" s="221"/>
      <c r="CA232" s="221"/>
      <c r="CB232" s="221"/>
      <c r="CC232" s="221"/>
      <c r="CD232" s="245"/>
      <c r="CE232" s="221"/>
      <c r="CF232" s="223"/>
      <c r="CG232" s="223"/>
      <c r="CH232" s="223"/>
      <c r="CI232" s="223"/>
      <c r="CJ232" s="222"/>
      <c r="CK232" s="223"/>
      <c r="CL232" s="223"/>
      <c r="CM232" s="223"/>
    </row>
    <row r="233" spans="2:91" s="4" customFormat="1">
      <c r="B233" s="12"/>
      <c r="C233" s="11"/>
      <c r="BO233" s="221"/>
      <c r="BP233" s="221"/>
      <c r="BQ233" s="221"/>
      <c r="BR233" s="221"/>
      <c r="BS233" s="221"/>
      <c r="BT233" s="221"/>
      <c r="BU233" s="221"/>
      <c r="BV233" s="221"/>
      <c r="BW233" s="221"/>
      <c r="BX233" s="221"/>
      <c r="BY233" s="221"/>
      <c r="BZ233" s="221"/>
      <c r="CA233" s="221"/>
      <c r="CB233" s="221"/>
      <c r="CC233" s="221"/>
      <c r="CD233" s="245"/>
      <c r="CE233" s="221"/>
      <c r="CF233" s="223"/>
      <c r="CG233" s="223"/>
      <c r="CH233" s="223"/>
      <c r="CI233" s="223"/>
      <c r="CJ233" s="222"/>
      <c r="CK233" s="223"/>
      <c r="CL233" s="223"/>
      <c r="CM233" s="223"/>
    </row>
    <row r="234" spans="2:91" s="4" customFormat="1">
      <c r="B234" s="12"/>
      <c r="C234" s="11"/>
      <c r="BO234" s="221"/>
      <c r="BP234" s="221"/>
      <c r="BQ234" s="221"/>
      <c r="BR234" s="221"/>
      <c r="BS234" s="221"/>
      <c r="BT234" s="221"/>
      <c r="BU234" s="221"/>
      <c r="BV234" s="221"/>
      <c r="BW234" s="221"/>
      <c r="BX234" s="221"/>
      <c r="BY234" s="221"/>
      <c r="BZ234" s="221"/>
      <c r="CA234" s="221"/>
      <c r="CB234" s="221"/>
      <c r="CC234" s="221"/>
      <c r="CD234" s="245"/>
      <c r="CE234" s="221"/>
      <c r="CF234" s="223"/>
      <c r="CG234" s="223"/>
      <c r="CH234" s="223"/>
      <c r="CI234" s="223"/>
      <c r="CJ234" s="222"/>
      <c r="CK234" s="223"/>
      <c r="CL234" s="223"/>
      <c r="CM234" s="223"/>
    </row>
    <row r="235" spans="2:91" s="4" customFormat="1">
      <c r="B235" s="12"/>
      <c r="C235" s="11"/>
      <c r="BO235" s="221"/>
      <c r="BP235" s="221"/>
      <c r="BQ235" s="221"/>
      <c r="BR235" s="221"/>
      <c r="BS235" s="221"/>
      <c r="BT235" s="221"/>
      <c r="BU235" s="221"/>
      <c r="BV235" s="221"/>
      <c r="BW235" s="221"/>
      <c r="BX235" s="221"/>
      <c r="BY235" s="221"/>
      <c r="BZ235" s="221"/>
      <c r="CA235" s="221"/>
      <c r="CB235" s="221"/>
      <c r="CC235" s="221"/>
      <c r="CD235" s="245"/>
      <c r="CE235" s="221"/>
      <c r="CF235" s="223"/>
      <c r="CG235" s="223"/>
      <c r="CH235" s="223"/>
      <c r="CI235" s="223"/>
      <c r="CJ235" s="222"/>
      <c r="CK235" s="223"/>
      <c r="CL235" s="223"/>
      <c r="CM235" s="223"/>
    </row>
    <row r="236" spans="2:91" s="4" customFormat="1">
      <c r="B236" s="12"/>
      <c r="C236" s="11"/>
      <c r="BO236" s="221"/>
      <c r="BP236" s="221"/>
      <c r="BQ236" s="221"/>
      <c r="BR236" s="221"/>
      <c r="BS236" s="221"/>
      <c r="BT236" s="221"/>
      <c r="BU236" s="221"/>
      <c r="BV236" s="221"/>
      <c r="BW236" s="221"/>
      <c r="BX236" s="221"/>
      <c r="BY236" s="221"/>
      <c r="BZ236" s="221"/>
      <c r="CA236" s="221"/>
      <c r="CB236" s="221"/>
      <c r="CC236" s="221"/>
      <c r="CD236" s="245"/>
      <c r="CE236" s="221"/>
      <c r="CF236" s="223"/>
      <c r="CG236" s="223"/>
      <c r="CH236" s="223"/>
      <c r="CI236" s="223"/>
      <c r="CJ236" s="222"/>
      <c r="CK236" s="223"/>
      <c r="CL236" s="223"/>
      <c r="CM236" s="223"/>
    </row>
    <row r="237" spans="2:91" s="4" customFormat="1">
      <c r="B237" s="12"/>
      <c r="C237" s="11"/>
      <c r="BO237" s="221"/>
      <c r="BP237" s="221"/>
      <c r="BQ237" s="221"/>
      <c r="BR237" s="221"/>
      <c r="BS237" s="221"/>
      <c r="BT237" s="221"/>
      <c r="BU237" s="221"/>
      <c r="BV237" s="221"/>
      <c r="BW237" s="221"/>
      <c r="BX237" s="221"/>
      <c r="BY237" s="221"/>
      <c r="BZ237" s="221"/>
      <c r="CA237" s="221"/>
      <c r="CB237" s="221"/>
      <c r="CC237" s="221"/>
      <c r="CD237" s="245"/>
      <c r="CE237" s="221"/>
      <c r="CF237" s="223"/>
      <c r="CG237" s="223"/>
      <c r="CH237" s="223"/>
      <c r="CI237" s="223"/>
      <c r="CJ237" s="222"/>
      <c r="CK237" s="223"/>
      <c r="CL237" s="223"/>
      <c r="CM237" s="223"/>
    </row>
    <row r="238" spans="2:91" s="4" customFormat="1">
      <c r="B238" s="12"/>
      <c r="C238" s="11"/>
      <c r="BO238" s="221"/>
      <c r="BP238" s="221"/>
      <c r="BQ238" s="221"/>
      <c r="BR238" s="221"/>
      <c r="BS238" s="221"/>
      <c r="BT238" s="221"/>
      <c r="BU238" s="221"/>
      <c r="BV238" s="221"/>
      <c r="BW238" s="221"/>
      <c r="BX238" s="221"/>
      <c r="BY238" s="221"/>
      <c r="BZ238" s="221"/>
      <c r="CA238" s="221"/>
      <c r="CB238" s="221"/>
      <c r="CC238" s="221"/>
      <c r="CD238" s="245"/>
      <c r="CE238" s="221"/>
      <c r="CF238" s="223"/>
      <c r="CG238" s="223"/>
      <c r="CH238" s="223"/>
      <c r="CI238" s="223"/>
      <c r="CJ238" s="222"/>
      <c r="CK238" s="223"/>
      <c r="CL238" s="223"/>
      <c r="CM238" s="223"/>
    </row>
    <row r="239" spans="2:91" s="4" customFormat="1">
      <c r="B239" s="12"/>
      <c r="C239" s="11"/>
      <c r="BO239" s="221"/>
      <c r="BP239" s="221"/>
      <c r="BQ239" s="221"/>
      <c r="BR239" s="221"/>
      <c r="BS239" s="221"/>
      <c r="BT239" s="221"/>
      <c r="BU239" s="221"/>
      <c r="BV239" s="221"/>
      <c r="BW239" s="221"/>
      <c r="BX239" s="221"/>
      <c r="BY239" s="221"/>
      <c r="BZ239" s="221"/>
      <c r="CA239" s="221"/>
      <c r="CB239" s="221"/>
      <c r="CC239" s="221"/>
      <c r="CD239" s="245"/>
      <c r="CE239" s="221"/>
      <c r="CF239" s="223"/>
      <c r="CG239" s="223"/>
      <c r="CH239" s="223"/>
      <c r="CI239" s="223"/>
      <c r="CJ239" s="222"/>
      <c r="CK239" s="223"/>
      <c r="CL239" s="223"/>
      <c r="CM239" s="223"/>
    </row>
    <row r="240" spans="2:91" s="4" customFormat="1">
      <c r="B240" s="12"/>
      <c r="C240" s="11"/>
      <c r="BO240" s="221"/>
      <c r="BP240" s="221"/>
      <c r="BQ240" s="221"/>
      <c r="BR240" s="221"/>
      <c r="BS240" s="221"/>
      <c r="BT240" s="221"/>
      <c r="BU240" s="221"/>
      <c r="BV240" s="221"/>
      <c r="BW240" s="221"/>
      <c r="BX240" s="221"/>
      <c r="BY240" s="221"/>
      <c r="BZ240" s="221"/>
      <c r="CA240" s="221"/>
      <c r="CB240" s="221"/>
      <c r="CC240" s="221"/>
      <c r="CD240" s="245"/>
      <c r="CE240" s="221"/>
      <c r="CF240" s="223"/>
      <c r="CG240" s="223"/>
      <c r="CH240" s="223"/>
      <c r="CI240" s="223"/>
      <c r="CJ240" s="222"/>
      <c r="CK240" s="223"/>
      <c r="CL240" s="223"/>
      <c r="CM240" s="223"/>
    </row>
    <row r="241" spans="2:91" s="4" customFormat="1">
      <c r="B241" s="12"/>
      <c r="C241" s="11"/>
      <c r="BO241" s="221"/>
      <c r="BP241" s="221"/>
      <c r="BQ241" s="221"/>
      <c r="BR241" s="221"/>
      <c r="BS241" s="221"/>
      <c r="BT241" s="221"/>
      <c r="BU241" s="221"/>
      <c r="BV241" s="221"/>
      <c r="BW241" s="221"/>
      <c r="BX241" s="221"/>
      <c r="BY241" s="221"/>
      <c r="BZ241" s="221"/>
      <c r="CA241" s="221"/>
      <c r="CB241" s="221"/>
      <c r="CC241" s="221"/>
      <c r="CD241" s="245"/>
      <c r="CE241" s="221"/>
      <c r="CF241" s="223"/>
      <c r="CG241" s="223"/>
      <c r="CH241" s="223"/>
      <c r="CI241" s="223"/>
      <c r="CJ241" s="222"/>
      <c r="CK241" s="223"/>
      <c r="CL241" s="223"/>
      <c r="CM241" s="223"/>
    </row>
    <row r="242" spans="2:91" s="4" customFormat="1">
      <c r="B242" s="12"/>
      <c r="C242" s="11"/>
      <c r="BO242" s="221"/>
      <c r="BP242" s="221"/>
      <c r="BQ242" s="221"/>
      <c r="BR242" s="221"/>
      <c r="BS242" s="221"/>
      <c r="BT242" s="221"/>
      <c r="BU242" s="221"/>
      <c r="BV242" s="221"/>
      <c r="BW242" s="221"/>
      <c r="BX242" s="221"/>
      <c r="BY242" s="221"/>
      <c r="BZ242" s="221"/>
      <c r="CA242" s="221"/>
      <c r="CB242" s="221"/>
      <c r="CC242" s="221"/>
      <c r="CD242" s="245"/>
      <c r="CE242" s="221"/>
      <c r="CF242" s="223"/>
      <c r="CG242" s="223"/>
      <c r="CH242" s="223"/>
      <c r="CI242" s="223"/>
      <c r="CJ242" s="222"/>
      <c r="CK242" s="223"/>
      <c r="CL242" s="223"/>
      <c r="CM242" s="223"/>
    </row>
    <row r="243" spans="2:91" s="4" customFormat="1">
      <c r="B243" s="12"/>
      <c r="C243" s="11"/>
      <c r="BO243" s="221"/>
      <c r="BP243" s="221"/>
      <c r="BQ243" s="221"/>
      <c r="BR243" s="221"/>
      <c r="BS243" s="221"/>
      <c r="BT243" s="221"/>
      <c r="BU243" s="221"/>
      <c r="BV243" s="221"/>
      <c r="BW243" s="221"/>
      <c r="BX243" s="221"/>
      <c r="BY243" s="221"/>
      <c r="BZ243" s="221"/>
      <c r="CA243" s="221"/>
      <c r="CB243" s="221"/>
      <c r="CC243" s="221"/>
      <c r="CD243" s="245"/>
      <c r="CE243" s="221"/>
      <c r="CF243" s="223"/>
      <c r="CG243" s="223"/>
      <c r="CH243" s="223"/>
      <c r="CI243" s="223"/>
      <c r="CJ243" s="222"/>
      <c r="CK243" s="223"/>
      <c r="CL243" s="223"/>
      <c r="CM243" s="223"/>
    </row>
    <row r="244" spans="2:91" s="4" customFormat="1">
      <c r="B244" s="12"/>
      <c r="C244" s="11"/>
      <c r="BO244" s="221"/>
      <c r="BP244" s="221"/>
      <c r="BQ244" s="221"/>
      <c r="BR244" s="221"/>
      <c r="BS244" s="221"/>
      <c r="BT244" s="221"/>
      <c r="BU244" s="221"/>
      <c r="BV244" s="221"/>
      <c r="BW244" s="221"/>
      <c r="BX244" s="221"/>
      <c r="BY244" s="221"/>
      <c r="BZ244" s="221"/>
      <c r="CA244" s="221"/>
      <c r="CB244" s="221"/>
      <c r="CC244" s="221"/>
      <c r="CD244" s="245"/>
      <c r="CE244" s="221"/>
      <c r="CF244" s="223"/>
      <c r="CG244" s="223"/>
      <c r="CH244" s="223"/>
      <c r="CI244" s="223"/>
      <c r="CJ244" s="222"/>
      <c r="CK244" s="223"/>
      <c r="CL244" s="223"/>
      <c r="CM244" s="223"/>
    </row>
    <row r="245" spans="2:91" s="4" customFormat="1">
      <c r="B245" s="12"/>
      <c r="C245" s="11"/>
      <c r="BO245" s="221"/>
      <c r="BP245" s="221"/>
      <c r="BQ245" s="221"/>
      <c r="BR245" s="221"/>
      <c r="BS245" s="221"/>
      <c r="BT245" s="221"/>
      <c r="BU245" s="221"/>
      <c r="BV245" s="221"/>
      <c r="BW245" s="221"/>
      <c r="BX245" s="221"/>
      <c r="BY245" s="221"/>
      <c r="BZ245" s="221"/>
      <c r="CA245" s="221"/>
      <c r="CB245" s="221"/>
      <c r="CC245" s="221"/>
      <c r="CD245" s="245"/>
      <c r="CE245" s="221"/>
      <c r="CF245" s="223"/>
      <c r="CG245" s="223"/>
      <c r="CH245" s="223"/>
      <c r="CI245" s="223"/>
      <c r="CJ245" s="222"/>
      <c r="CK245" s="223"/>
      <c r="CL245" s="223"/>
      <c r="CM245" s="223"/>
    </row>
    <row r="246" spans="2:91" s="4" customFormat="1">
      <c r="B246" s="12"/>
      <c r="C246" s="11"/>
      <c r="BO246" s="221"/>
      <c r="BP246" s="221"/>
      <c r="BQ246" s="221"/>
      <c r="BR246" s="221"/>
      <c r="BS246" s="221"/>
      <c r="BT246" s="221"/>
      <c r="BU246" s="221"/>
      <c r="BV246" s="221"/>
      <c r="BW246" s="221"/>
      <c r="BX246" s="221"/>
      <c r="BY246" s="221"/>
      <c r="BZ246" s="221"/>
      <c r="CA246" s="221"/>
      <c r="CB246" s="221"/>
      <c r="CC246" s="221"/>
      <c r="CD246" s="245"/>
      <c r="CE246" s="221"/>
      <c r="CF246" s="223"/>
      <c r="CG246" s="223"/>
      <c r="CH246" s="223"/>
      <c r="CI246" s="223"/>
      <c r="CJ246" s="222"/>
      <c r="CK246" s="223"/>
      <c r="CL246" s="223"/>
      <c r="CM246" s="223"/>
    </row>
    <row r="247" spans="2:91" s="4" customFormat="1">
      <c r="B247" s="12"/>
      <c r="C247" s="11"/>
      <c r="BO247" s="221"/>
      <c r="BP247" s="221"/>
      <c r="BQ247" s="221"/>
      <c r="BR247" s="221"/>
      <c r="BS247" s="221"/>
      <c r="BT247" s="221"/>
      <c r="BU247" s="221"/>
      <c r="BV247" s="221"/>
      <c r="BW247" s="221"/>
      <c r="BX247" s="221"/>
      <c r="BY247" s="221"/>
      <c r="BZ247" s="221"/>
      <c r="CA247" s="221"/>
      <c r="CB247" s="221"/>
      <c r="CC247" s="221"/>
      <c r="CD247" s="245"/>
      <c r="CE247" s="221"/>
      <c r="CF247" s="223"/>
      <c r="CG247" s="223"/>
      <c r="CH247" s="223"/>
      <c r="CI247" s="223"/>
      <c r="CJ247" s="222"/>
      <c r="CK247" s="223"/>
      <c r="CL247" s="223"/>
      <c r="CM247" s="223"/>
    </row>
    <row r="248" spans="2:91" s="4" customFormat="1">
      <c r="B248" s="12"/>
      <c r="C248" s="11"/>
      <c r="BO248" s="221"/>
      <c r="BP248" s="221"/>
      <c r="BQ248" s="221"/>
      <c r="BR248" s="221"/>
      <c r="BS248" s="221"/>
      <c r="BT248" s="221"/>
      <c r="BU248" s="221"/>
      <c r="BV248" s="221"/>
      <c r="BW248" s="221"/>
      <c r="BX248" s="221"/>
      <c r="BY248" s="221"/>
      <c r="BZ248" s="221"/>
      <c r="CA248" s="221"/>
      <c r="CB248" s="221"/>
      <c r="CC248" s="221"/>
      <c r="CD248" s="245"/>
      <c r="CE248" s="221"/>
      <c r="CF248" s="223"/>
      <c r="CG248" s="223"/>
      <c r="CH248" s="223"/>
      <c r="CI248" s="223"/>
      <c r="CJ248" s="222"/>
      <c r="CK248" s="223"/>
      <c r="CL248" s="223"/>
      <c r="CM248" s="223"/>
    </row>
    <row r="249" spans="2:91" s="4" customFormat="1">
      <c r="B249" s="12"/>
      <c r="C249" s="11"/>
      <c r="BO249" s="221"/>
      <c r="BP249" s="221"/>
      <c r="BQ249" s="221"/>
      <c r="BR249" s="221"/>
      <c r="BS249" s="221"/>
      <c r="BT249" s="221"/>
      <c r="BU249" s="221"/>
      <c r="BV249" s="221"/>
      <c r="BW249" s="221"/>
      <c r="BX249" s="221"/>
      <c r="BY249" s="221"/>
      <c r="BZ249" s="221"/>
      <c r="CA249" s="221"/>
      <c r="CB249" s="221"/>
      <c r="CC249" s="221"/>
      <c r="CD249" s="245"/>
      <c r="CE249" s="221"/>
      <c r="CF249" s="223"/>
      <c r="CG249" s="223"/>
      <c r="CH249" s="223"/>
      <c r="CI249" s="223"/>
      <c r="CJ249" s="222"/>
      <c r="CK249" s="223"/>
      <c r="CL249" s="223"/>
      <c r="CM249" s="223"/>
    </row>
    <row r="250" spans="2:91" s="4" customFormat="1">
      <c r="B250" s="12"/>
      <c r="C250" s="11"/>
      <c r="BO250" s="221"/>
      <c r="BP250" s="221"/>
      <c r="BQ250" s="221"/>
      <c r="BR250" s="221"/>
      <c r="BS250" s="221"/>
      <c r="BT250" s="221"/>
      <c r="BU250" s="221"/>
      <c r="BV250" s="221"/>
      <c r="BW250" s="221"/>
      <c r="BX250" s="221"/>
      <c r="BY250" s="221"/>
      <c r="BZ250" s="221"/>
      <c r="CA250" s="221"/>
      <c r="CB250" s="221"/>
      <c r="CC250" s="221"/>
      <c r="CD250" s="245"/>
      <c r="CE250" s="221"/>
      <c r="CF250" s="223"/>
      <c r="CG250" s="223"/>
      <c r="CH250" s="223"/>
      <c r="CI250" s="223"/>
      <c r="CJ250" s="222"/>
      <c r="CK250" s="223"/>
      <c r="CL250" s="223"/>
      <c r="CM250" s="223"/>
    </row>
    <row r="251" spans="2:91" s="4" customFormat="1">
      <c r="B251" s="12"/>
      <c r="C251" s="11"/>
      <c r="BO251" s="221"/>
      <c r="BP251" s="221"/>
      <c r="BQ251" s="221"/>
      <c r="BR251" s="221"/>
      <c r="BS251" s="221"/>
      <c r="BT251" s="221"/>
      <c r="BU251" s="221"/>
      <c r="BV251" s="221"/>
      <c r="BW251" s="221"/>
      <c r="BX251" s="221"/>
      <c r="BY251" s="221"/>
      <c r="BZ251" s="221"/>
      <c r="CA251" s="221"/>
      <c r="CB251" s="221"/>
      <c r="CC251" s="221"/>
      <c r="CD251" s="245"/>
      <c r="CE251" s="221"/>
      <c r="CF251" s="223"/>
      <c r="CG251" s="223"/>
      <c r="CH251" s="223"/>
      <c r="CI251" s="223"/>
      <c r="CJ251" s="222"/>
      <c r="CK251" s="223"/>
      <c r="CL251" s="223"/>
      <c r="CM251" s="223"/>
    </row>
    <row r="252" spans="2:91" s="4" customFormat="1">
      <c r="B252" s="12"/>
      <c r="C252" s="11"/>
      <c r="BO252" s="221"/>
      <c r="BP252" s="221"/>
      <c r="BQ252" s="221"/>
      <c r="BR252" s="221"/>
      <c r="BS252" s="221"/>
      <c r="BT252" s="221"/>
      <c r="BU252" s="221"/>
      <c r="BV252" s="221"/>
      <c r="BW252" s="221"/>
      <c r="BX252" s="221"/>
      <c r="BY252" s="221"/>
      <c r="BZ252" s="221"/>
      <c r="CA252" s="221"/>
      <c r="CB252" s="221"/>
      <c r="CC252" s="221"/>
      <c r="CD252" s="245"/>
      <c r="CE252" s="221"/>
      <c r="CF252" s="223"/>
      <c r="CG252" s="223"/>
      <c r="CH252" s="223"/>
      <c r="CI252" s="223"/>
      <c r="CJ252" s="222"/>
      <c r="CK252" s="223"/>
      <c r="CL252" s="223"/>
      <c r="CM252" s="223"/>
    </row>
    <row r="253" spans="2:91" s="4" customFormat="1">
      <c r="B253" s="12"/>
      <c r="C253" s="11"/>
      <c r="BO253" s="221"/>
      <c r="BP253" s="221"/>
      <c r="BQ253" s="221"/>
      <c r="BR253" s="221"/>
      <c r="BS253" s="221"/>
      <c r="BT253" s="221"/>
      <c r="BU253" s="221"/>
      <c r="BV253" s="221"/>
      <c r="BW253" s="221"/>
      <c r="BX253" s="221"/>
      <c r="BY253" s="221"/>
      <c r="BZ253" s="221"/>
      <c r="CA253" s="221"/>
      <c r="CB253" s="221"/>
      <c r="CC253" s="221"/>
      <c r="CD253" s="245"/>
      <c r="CE253" s="221"/>
      <c r="CF253" s="223"/>
      <c r="CG253" s="223"/>
      <c r="CH253" s="223"/>
      <c r="CI253" s="223"/>
      <c r="CJ253" s="222"/>
      <c r="CK253" s="223"/>
      <c r="CL253" s="223"/>
      <c r="CM253" s="223"/>
    </row>
    <row r="254" spans="2:91" s="4" customFormat="1">
      <c r="B254" s="12"/>
      <c r="C254" s="11"/>
      <c r="BO254" s="221"/>
      <c r="BP254" s="221"/>
      <c r="BQ254" s="221"/>
      <c r="BR254" s="221"/>
      <c r="BS254" s="221"/>
      <c r="BT254" s="221"/>
      <c r="BU254" s="221"/>
      <c r="BV254" s="221"/>
      <c r="BW254" s="221"/>
      <c r="BX254" s="221"/>
      <c r="BY254" s="221"/>
      <c r="BZ254" s="221"/>
      <c r="CA254" s="221"/>
      <c r="CB254" s="221"/>
      <c r="CC254" s="221"/>
      <c r="CD254" s="245"/>
      <c r="CE254" s="221"/>
      <c r="CF254" s="223"/>
      <c r="CG254" s="223"/>
      <c r="CH254" s="223"/>
      <c r="CI254" s="223"/>
      <c r="CJ254" s="222"/>
      <c r="CK254" s="223"/>
      <c r="CL254" s="223"/>
      <c r="CM254" s="223"/>
    </row>
    <row r="255" spans="2:91" s="4" customFormat="1">
      <c r="B255" s="12"/>
      <c r="C255" s="11"/>
      <c r="BO255" s="221"/>
      <c r="BP255" s="221"/>
      <c r="BQ255" s="221"/>
      <c r="BR255" s="221"/>
      <c r="BS255" s="221"/>
      <c r="BT255" s="221"/>
      <c r="BU255" s="221"/>
      <c r="BV255" s="221"/>
      <c r="BW255" s="221"/>
      <c r="BX255" s="221"/>
      <c r="BY255" s="221"/>
      <c r="BZ255" s="221"/>
      <c r="CA255" s="221"/>
      <c r="CB255" s="221"/>
      <c r="CC255" s="221"/>
      <c r="CD255" s="245"/>
      <c r="CE255" s="221"/>
      <c r="CF255" s="223"/>
      <c r="CG255" s="223"/>
      <c r="CH255" s="223"/>
      <c r="CI255" s="223"/>
      <c r="CJ255" s="222"/>
      <c r="CK255" s="223"/>
      <c r="CL255" s="223"/>
      <c r="CM255" s="223"/>
    </row>
    <row r="256" spans="2:91" s="4" customFormat="1">
      <c r="B256" s="12"/>
      <c r="C256" s="11"/>
      <c r="BO256" s="221"/>
      <c r="BP256" s="221"/>
      <c r="BQ256" s="221"/>
      <c r="BR256" s="221"/>
      <c r="BS256" s="221"/>
      <c r="BT256" s="221"/>
      <c r="BU256" s="221"/>
      <c r="BV256" s="221"/>
      <c r="BW256" s="221"/>
      <c r="BX256" s="221"/>
      <c r="BY256" s="221"/>
      <c r="BZ256" s="221"/>
      <c r="CA256" s="221"/>
      <c r="CB256" s="221"/>
      <c r="CC256" s="221"/>
      <c r="CD256" s="245"/>
      <c r="CE256" s="221"/>
      <c r="CF256" s="223"/>
      <c r="CG256" s="223"/>
      <c r="CH256" s="223"/>
      <c r="CI256" s="223"/>
      <c r="CJ256" s="222"/>
      <c r="CK256" s="223"/>
      <c r="CL256" s="223"/>
      <c r="CM256" s="223"/>
    </row>
    <row r="257" spans="2:91" s="4" customFormat="1">
      <c r="B257" s="12"/>
      <c r="C257" s="11"/>
      <c r="BO257" s="221"/>
      <c r="BP257" s="221"/>
      <c r="BQ257" s="221"/>
      <c r="BR257" s="221"/>
      <c r="BS257" s="221"/>
      <c r="BT257" s="221"/>
      <c r="BU257" s="221"/>
      <c r="BV257" s="221"/>
      <c r="BW257" s="221"/>
      <c r="BX257" s="221"/>
      <c r="BY257" s="221"/>
      <c r="BZ257" s="221"/>
      <c r="CA257" s="221"/>
      <c r="CB257" s="221"/>
      <c r="CC257" s="221"/>
      <c r="CD257" s="245"/>
      <c r="CE257" s="221"/>
      <c r="CF257" s="223"/>
      <c r="CG257" s="223"/>
      <c r="CH257" s="223"/>
      <c r="CI257" s="223"/>
      <c r="CJ257" s="222"/>
      <c r="CK257" s="223"/>
      <c r="CL257" s="223"/>
      <c r="CM257" s="223"/>
    </row>
    <row r="258" spans="2:91" s="4" customFormat="1">
      <c r="B258" s="12"/>
      <c r="C258" s="11"/>
      <c r="BO258" s="221"/>
      <c r="BP258" s="221"/>
      <c r="BQ258" s="221"/>
      <c r="BR258" s="221"/>
      <c r="BS258" s="221"/>
      <c r="BT258" s="221"/>
      <c r="BU258" s="221"/>
      <c r="BV258" s="221"/>
      <c r="BW258" s="221"/>
      <c r="BX258" s="221"/>
      <c r="BY258" s="221"/>
      <c r="BZ258" s="221"/>
      <c r="CA258" s="221"/>
      <c r="CB258" s="221"/>
      <c r="CC258" s="221"/>
      <c r="CD258" s="245"/>
      <c r="CE258" s="221"/>
      <c r="CF258" s="223"/>
      <c r="CG258" s="223"/>
      <c r="CH258" s="223"/>
      <c r="CI258" s="223"/>
      <c r="CJ258" s="222"/>
      <c r="CK258" s="223"/>
      <c r="CL258" s="223"/>
      <c r="CM258" s="223"/>
    </row>
    <row r="259" spans="2:91" s="4" customFormat="1">
      <c r="B259" s="12"/>
      <c r="C259" s="11"/>
      <c r="BO259" s="221"/>
      <c r="BP259" s="221"/>
      <c r="BQ259" s="221"/>
      <c r="BR259" s="221"/>
      <c r="BS259" s="221"/>
      <c r="BT259" s="221"/>
      <c r="BU259" s="221"/>
      <c r="BV259" s="221"/>
      <c r="BW259" s="221"/>
      <c r="BX259" s="221"/>
      <c r="BY259" s="221"/>
      <c r="BZ259" s="221"/>
      <c r="CA259" s="221"/>
      <c r="CB259" s="221"/>
      <c r="CC259" s="221"/>
      <c r="CD259" s="245"/>
      <c r="CE259" s="221"/>
      <c r="CF259" s="223"/>
      <c r="CG259" s="223"/>
      <c r="CH259" s="223"/>
      <c r="CI259" s="223"/>
      <c r="CJ259" s="222"/>
      <c r="CK259" s="223"/>
      <c r="CL259" s="223"/>
      <c r="CM259" s="223"/>
    </row>
  </sheetData>
  <sheetProtection sheet="1" objects="1" scenarios="1" selectLockedCells="1" autoFilter="0"/>
  <autoFilter ref="A5:A155"/>
  <mergeCells count="36">
    <mergeCell ref="CJ3:CM4"/>
    <mergeCell ref="AR3:AY3"/>
    <mergeCell ref="AZ3:BA3"/>
    <mergeCell ref="AZ4:AZ5"/>
    <mergeCell ref="BA4:BA5"/>
    <mergeCell ref="BT3:BW4"/>
    <mergeCell ref="CF3:CI4"/>
    <mergeCell ref="BO3:BO4"/>
    <mergeCell ref="AY4:AY5"/>
    <mergeCell ref="CB3:CE4"/>
    <mergeCell ref="BX3:CA4"/>
    <mergeCell ref="BP3:BS4"/>
    <mergeCell ref="B3:B5"/>
    <mergeCell ref="C3:C5"/>
    <mergeCell ref="AR4:AV4"/>
    <mergeCell ref="AW4:AX4"/>
    <mergeCell ref="D4:H4"/>
    <mergeCell ref="S4:S5"/>
    <mergeCell ref="Q4:R4"/>
    <mergeCell ref="AJ4:AN4"/>
    <mergeCell ref="D3:K3"/>
    <mergeCell ref="I4:J4"/>
    <mergeCell ref="AO4:AP4"/>
    <mergeCell ref="AQ4:AQ5"/>
    <mergeCell ref="AI4:AI5"/>
    <mergeCell ref="T3:AA3"/>
    <mergeCell ref="AB3:AI3"/>
    <mergeCell ref="AJ3:AQ3"/>
    <mergeCell ref="AG4:AH4"/>
    <mergeCell ref="L3:S3"/>
    <mergeCell ref="K4:K5"/>
    <mergeCell ref="L4:P4"/>
    <mergeCell ref="T4:X4"/>
    <mergeCell ref="AA4:AA5"/>
    <mergeCell ref="AB4:AF4"/>
    <mergeCell ref="Y4:Z4"/>
  </mergeCells>
  <phoneticPr fontId="0" type="noConversion"/>
  <dataValidations count="2">
    <dataValidation type="date" operator="greaterThanOrEqual" allowBlank="1" showInputMessage="1" showErrorMessage="1" sqref="C37 B6:B36 B38:B155">
      <formula1>40634</formula1>
    </dataValidation>
    <dataValidation type="date" operator="greaterThan" allowBlank="1" showInputMessage="1" showErrorMessage="1" sqref="CF6:CF155">
      <formula1>39173</formula1>
    </dataValidation>
  </dataValidations>
  <printOptions horizontalCentered="1"/>
  <pageMargins left="0.17" right="0.17" top="0.55118110236220474" bottom="0.23" header="0.51181102362204722" footer="0.17"/>
  <pageSetup paperSize="9" scale="67" orientation="landscape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autoPageBreaks="0"/>
  </sheetPr>
  <dimension ref="A1:CU259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K18" sqref="BK18"/>
    </sheetView>
  </sheetViews>
  <sheetFormatPr baseColWidth="10" defaultColWidth="8.83203125" defaultRowHeight="12" x14ac:dyDescent="0"/>
  <cols>
    <col min="1" max="1" width="7.5" customWidth="1"/>
    <col min="2" max="2" width="10.5" style="14" customWidth="1"/>
    <col min="3" max="3" width="4.5" style="1" customWidth="1"/>
    <col min="4" max="51" width="4.33203125" customWidth="1"/>
    <col min="52" max="52" width="13" bestFit="1" customWidth="1"/>
    <col min="53" max="53" width="4.1640625" bestFit="1" customWidth="1"/>
    <col min="55" max="55" width="13" bestFit="1" customWidth="1"/>
    <col min="66" max="66" width="10.1640625" bestFit="1" customWidth="1"/>
    <col min="67" max="67" width="5.83203125" style="224" bestFit="1" customWidth="1"/>
    <col min="68" max="68" width="10.1640625" style="224" bestFit="1" customWidth="1"/>
    <col min="69" max="71" width="5.83203125" style="224" customWidth="1"/>
    <col min="72" max="72" width="10.1640625" style="224" bestFit="1" customWidth="1"/>
    <col min="73" max="75" width="5.83203125" style="224" customWidth="1"/>
    <col min="76" max="76" width="10.33203125" style="224" bestFit="1" customWidth="1"/>
    <col min="77" max="79" width="5.83203125" style="224" customWidth="1"/>
    <col min="80" max="80" width="10.1640625" style="224" bestFit="1" customWidth="1"/>
    <col min="81" max="81" width="5.5" style="224" bestFit="1" customWidth="1"/>
    <col min="82" max="82" width="10.5" style="246" bestFit="1" customWidth="1"/>
    <col min="83" max="83" width="3.5" style="224" bestFit="1" customWidth="1"/>
    <col min="84" max="84" width="9" style="226" bestFit="1" customWidth="1"/>
    <col min="85" max="85" width="5.5" style="226" bestFit="1" customWidth="1"/>
    <col min="86" max="86" width="10.5" style="226" bestFit="1" customWidth="1"/>
    <col min="87" max="87" width="3.5" style="226" bestFit="1" customWidth="1"/>
    <col min="88" max="88" width="10.1640625" style="225" bestFit="1" customWidth="1"/>
    <col min="89" max="89" width="5.5" style="226" bestFit="1" customWidth="1"/>
    <col min="90" max="90" width="10.5" style="226" bestFit="1" customWidth="1"/>
    <col min="91" max="91" width="4" style="226" bestFit="1" customWidth="1"/>
  </cols>
  <sheetData>
    <row r="1" spans="1:99" ht="17">
      <c r="A1" s="165" t="s">
        <v>22</v>
      </c>
      <c r="B1" s="166"/>
      <c r="C1" s="167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212"/>
      <c r="BP1" s="212"/>
      <c r="BQ1" s="212"/>
      <c r="BR1" s="212"/>
      <c r="BS1" s="212"/>
      <c r="BT1" s="212"/>
      <c r="BU1" s="212"/>
      <c r="BV1" s="212"/>
      <c r="BW1" s="212"/>
      <c r="BX1" s="212"/>
      <c r="BY1" s="212"/>
      <c r="BZ1" s="212"/>
      <c r="CA1" s="212"/>
      <c r="CB1" s="212"/>
      <c r="CC1" s="212"/>
      <c r="CD1" s="242"/>
      <c r="CE1" s="212"/>
      <c r="CF1" s="182"/>
      <c r="CG1" s="182"/>
      <c r="CH1" s="182"/>
      <c r="CI1" s="182"/>
      <c r="CJ1" s="213"/>
      <c r="CK1" s="182"/>
      <c r="CL1" s="182"/>
      <c r="CM1" s="182"/>
      <c r="CN1" s="168"/>
      <c r="CO1" s="168"/>
      <c r="CP1" s="168"/>
      <c r="CQ1" s="168"/>
      <c r="CR1" s="168"/>
      <c r="CS1" s="168"/>
      <c r="CT1" s="168"/>
      <c r="CU1" s="168"/>
    </row>
    <row r="2" spans="1:99" s="3" customFormat="1" ht="38.25" customHeight="1" thickBot="1">
      <c r="A2" s="169" t="s">
        <v>3</v>
      </c>
      <c r="B2" s="170"/>
      <c r="C2" s="171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2"/>
      <c r="AK2" s="172"/>
      <c r="AL2" s="172"/>
      <c r="AM2" s="172"/>
      <c r="AN2" s="172"/>
      <c r="AO2" s="172"/>
      <c r="AP2" s="172"/>
      <c r="AQ2" s="172"/>
      <c r="AR2" s="172"/>
      <c r="AS2" s="172"/>
      <c r="AT2" s="172"/>
      <c r="AU2" s="172"/>
      <c r="AV2" s="172"/>
      <c r="AW2" s="172"/>
      <c r="AX2" s="172"/>
      <c r="AY2" s="172"/>
      <c r="AZ2" s="172"/>
      <c r="BA2" s="172"/>
      <c r="BB2" s="172"/>
      <c r="BC2" s="172"/>
      <c r="BD2" s="172"/>
      <c r="BE2" s="172"/>
      <c r="BF2" s="172"/>
      <c r="BG2" s="172"/>
      <c r="BH2" s="172"/>
      <c r="BI2" s="172"/>
      <c r="BJ2" s="172"/>
      <c r="BK2" s="172"/>
      <c r="BL2" s="172"/>
      <c r="BM2" s="172"/>
      <c r="BN2" s="172"/>
      <c r="BO2" s="214"/>
      <c r="BP2" s="214"/>
      <c r="BQ2" s="214"/>
      <c r="BR2" s="214"/>
      <c r="BS2" s="214"/>
      <c r="BT2" s="214"/>
      <c r="BU2" s="214"/>
      <c r="BV2" s="214"/>
      <c r="BW2" s="214"/>
      <c r="BX2" s="214"/>
      <c r="BY2" s="214"/>
      <c r="BZ2" s="214"/>
      <c r="CA2" s="214"/>
      <c r="CB2" s="214"/>
      <c r="CC2" s="214"/>
      <c r="CD2" s="243"/>
      <c r="CE2" s="214"/>
      <c r="CF2" s="216"/>
      <c r="CG2" s="216"/>
      <c r="CH2" s="216"/>
      <c r="CI2" s="216"/>
      <c r="CJ2" s="215"/>
      <c r="CK2" s="216"/>
      <c r="CL2" s="216"/>
      <c r="CM2" s="216"/>
      <c r="CN2" s="172"/>
      <c r="CO2" s="172"/>
      <c r="CP2" s="172"/>
      <c r="CQ2" s="172"/>
      <c r="CR2" s="172"/>
      <c r="CS2" s="172"/>
      <c r="CT2" s="172"/>
      <c r="CU2" s="172"/>
    </row>
    <row r="3" spans="1:99" s="4" customFormat="1" ht="26.25" customHeight="1" thickBot="1">
      <c r="A3" s="133"/>
      <c r="B3" s="381" t="s">
        <v>1</v>
      </c>
      <c r="C3" s="384" t="s">
        <v>0</v>
      </c>
      <c r="D3" s="373" t="s">
        <v>23</v>
      </c>
      <c r="E3" s="374"/>
      <c r="F3" s="374"/>
      <c r="G3" s="374"/>
      <c r="H3" s="374"/>
      <c r="I3" s="374"/>
      <c r="J3" s="374"/>
      <c r="K3" s="375"/>
      <c r="L3" s="373" t="s">
        <v>24</v>
      </c>
      <c r="M3" s="374"/>
      <c r="N3" s="374"/>
      <c r="O3" s="374"/>
      <c r="P3" s="374"/>
      <c r="Q3" s="374"/>
      <c r="R3" s="374"/>
      <c r="S3" s="375"/>
      <c r="T3" s="373" t="s">
        <v>25</v>
      </c>
      <c r="U3" s="374"/>
      <c r="V3" s="374"/>
      <c r="W3" s="374"/>
      <c r="X3" s="374"/>
      <c r="Y3" s="374"/>
      <c r="Z3" s="374"/>
      <c r="AA3" s="375"/>
      <c r="AB3" s="373" t="s">
        <v>26</v>
      </c>
      <c r="AC3" s="374"/>
      <c r="AD3" s="374"/>
      <c r="AE3" s="374"/>
      <c r="AF3" s="374"/>
      <c r="AG3" s="374"/>
      <c r="AH3" s="374"/>
      <c r="AI3" s="375"/>
      <c r="AJ3" s="373" t="s">
        <v>27</v>
      </c>
      <c r="AK3" s="374"/>
      <c r="AL3" s="374"/>
      <c r="AM3" s="374"/>
      <c r="AN3" s="374"/>
      <c r="AO3" s="374"/>
      <c r="AP3" s="374"/>
      <c r="AQ3" s="375"/>
      <c r="AR3" s="398" t="s">
        <v>28</v>
      </c>
      <c r="AS3" s="399"/>
      <c r="AT3" s="399"/>
      <c r="AU3" s="399"/>
      <c r="AV3" s="399"/>
      <c r="AW3" s="399"/>
      <c r="AX3" s="399"/>
      <c r="AY3" s="400"/>
      <c r="AZ3" s="401" t="s">
        <v>35</v>
      </c>
      <c r="BA3" s="402"/>
      <c r="BB3" s="173"/>
      <c r="BC3" s="173"/>
      <c r="BD3" s="173"/>
      <c r="BE3" s="173"/>
      <c r="BF3" s="173"/>
      <c r="BG3" s="173"/>
      <c r="BH3" s="173"/>
      <c r="BI3" s="173"/>
      <c r="BJ3" s="173"/>
      <c r="BK3" s="173"/>
      <c r="BL3" s="173"/>
      <c r="BM3" s="173"/>
      <c r="BN3" s="173"/>
      <c r="BO3" s="407">
        <v>2012</v>
      </c>
      <c r="BP3" s="392">
        <v>2011</v>
      </c>
      <c r="BQ3" s="393"/>
      <c r="BR3" s="393"/>
      <c r="BS3" s="394"/>
      <c r="BT3" s="392">
        <v>2010</v>
      </c>
      <c r="BU3" s="393"/>
      <c r="BV3" s="393"/>
      <c r="BW3" s="394"/>
      <c r="BX3" s="392">
        <v>2009</v>
      </c>
      <c r="BY3" s="393"/>
      <c r="BZ3" s="393"/>
      <c r="CA3" s="394"/>
      <c r="CB3" s="392">
        <v>2008</v>
      </c>
      <c r="CC3" s="393"/>
      <c r="CD3" s="393"/>
      <c r="CE3" s="394"/>
      <c r="CF3" s="392">
        <v>2007</v>
      </c>
      <c r="CG3" s="393"/>
      <c r="CH3" s="393"/>
      <c r="CI3" s="394"/>
      <c r="CJ3" s="392">
        <v>2006</v>
      </c>
      <c r="CK3" s="393"/>
      <c r="CL3" s="393"/>
      <c r="CM3" s="394"/>
      <c r="CN3" s="173"/>
      <c r="CO3" s="173"/>
      <c r="CP3" s="173"/>
      <c r="CQ3" s="173"/>
      <c r="CR3" s="173"/>
      <c r="CS3" s="173"/>
      <c r="CT3" s="173"/>
      <c r="CU3" s="173"/>
    </row>
    <row r="4" spans="1:99" s="4" customFormat="1" ht="35.25" customHeight="1">
      <c r="A4" s="134"/>
      <c r="B4" s="382"/>
      <c r="C4" s="385"/>
      <c r="D4" s="389" t="s">
        <v>44</v>
      </c>
      <c r="E4" s="390"/>
      <c r="F4" s="390"/>
      <c r="G4" s="390"/>
      <c r="H4" s="391"/>
      <c r="I4" s="371" t="s">
        <v>18</v>
      </c>
      <c r="J4" s="372"/>
      <c r="K4" s="376" t="s">
        <v>12</v>
      </c>
      <c r="L4" s="378" t="s">
        <v>13</v>
      </c>
      <c r="M4" s="379"/>
      <c r="N4" s="379"/>
      <c r="O4" s="379"/>
      <c r="P4" s="380"/>
      <c r="Q4" s="371" t="s">
        <v>18</v>
      </c>
      <c r="R4" s="372"/>
      <c r="S4" s="376" t="s">
        <v>12</v>
      </c>
      <c r="T4" s="378" t="s">
        <v>13</v>
      </c>
      <c r="U4" s="379"/>
      <c r="V4" s="379"/>
      <c r="W4" s="379"/>
      <c r="X4" s="380"/>
      <c r="Y4" s="371" t="s">
        <v>18</v>
      </c>
      <c r="Z4" s="372"/>
      <c r="AA4" s="376" t="s">
        <v>12</v>
      </c>
      <c r="AB4" s="378" t="s">
        <v>13</v>
      </c>
      <c r="AC4" s="379"/>
      <c r="AD4" s="379"/>
      <c r="AE4" s="379"/>
      <c r="AF4" s="380"/>
      <c r="AG4" s="371" t="s">
        <v>18</v>
      </c>
      <c r="AH4" s="372"/>
      <c r="AI4" s="376" t="s">
        <v>12</v>
      </c>
      <c r="AJ4" s="378" t="s">
        <v>13</v>
      </c>
      <c r="AK4" s="379"/>
      <c r="AL4" s="379"/>
      <c r="AM4" s="379"/>
      <c r="AN4" s="380"/>
      <c r="AO4" s="371" t="s">
        <v>18</v>
      </c>
      <c r="AP4" s="372"/>
      <c r="AQ4" s="376" t="s">
        <v>12</v>
      </c>
      <c r="AR4" s="378" t="s">
        <v>13</v>
      </c>
      <c r="AS4" s="379"/>
      <c r="AT4" s="379"/>
      <c r="AU4" s="379"/>
      <c r="AV4" s="380"/>
      <c r="AW4" s="387" t="s">
        <v>18</v>
      </c>
      <c r="AX4" s="388"/>
      <c r="AY4" s="376" t="s">
        <v>12</v>
      </c>
      <c r="AZ4" s="403" t="s">
        <v>36</v>
      </c>
      <c r="BA4" s="405" t="s">
        <v>37</v>
      </c>
      <c r="BB4" s="173"/>
      <c r="BC4" s="173"/>
      <c r="BD4" s="173"/>
      <c r="BE4" s="173"/>
      <c r="BF4" s="173"/>
      <c r="BG4" s="173"/>
      <c r="BH4" s="173"/>
      <c r="BI4" s="173"/>
      <c r="BJ4" s="173"/>
      <c r="BK4" s="173"/>
      <c r="BL4" s="173"/>
      <c r="BM4" s="173"/>
      <c r="BN4" s="173"/>
      <c r="BO4" s="408"/>
      <c r="BP4" s="395"/>
      <c r="BQ4" s="396"/>
      <c r="BR4" s="396"/>
      <c r="BS4" s="397"/>
      <c r="BT4" s="395"/>
      <c r="BU4" s="396"/>
      <c r="BV4" s="396"/>
      <c r="BW4" s="397"/>
      <c r="BX4" s="395"/>
      <c r="BY4" s="396"/>
      <c r="BZ4" s="396"/>
      <c r="CA4" s="397"/>
      <c r="CB4" s="395"/>
      <c r="CC4" s="396"/>
      <c r="CD4" s="396"/>
      <c r="CE4" s="397"/>
      <c r="CF4" s="395"/>
      <c r="CG4" s="396"/>
      <c r="CH4" s="396"/>
      <c r="CI4" s="397"/>
      <c r="CJ4" s="395"/>
      <c r="CK4" s="396"/>
      <c r="CL4" s="396"/>
      <c r="CM4" s="397"/>
      <c r="CN4" s="173"/>
      <c r="CO4" s="173"/>
      <c r="CP4" s="173"/>
      <c r="CQ4" s="173"/>
      <c r="CR4" s="173"/>
      <c r="CS4" s="173"/>
      <c r="CT4" s="173"/>
      <c r="CU4" s="173"/>
    </row>
    <row r="5" spans="1:99" s="4" customFormat="1" ht="14.25" customHeight="1" thickBot="1">
      <c r="A5" s="126" t="s">
        <v>29</v>
      </c>
      <c r="B5" s="383"/>
      <c r="C5" s="386"/>
      <c r="D5" s="5">
        <v>1</v>
      </c>
      <c r="E5" s="6">
        <v>2</v>
      </c>
      <c r="F5" s="6">
        <v>3</v>
      </c>
      <c r="G5" s="6">
        <v>4</v>
      </c>
      <c r="H5" s="7">
        <v>5</v>
      </c>
      <c r="I5" s="8">
        <v>6</v>
      </c>
      <c r="J5" s="9">
        <v>7</v>
      </c>
      <c r="K5" s="377"/>
      <c r="L5" s="5">
        <v>1</v>
      </c>
      <c r="M5" s="6">
        <v>2</v>
      </c>
      <c r="N5" s="6">
        <v>3</v>
      </c>
      <c r="O5" s="6">
        <v>4</v>
      </c>
      <c r="P5" s="10">
        <v>5</v>
      </c>
      <c r="Q5" s="8">
        <v>6</v>
      </c>
      <c r="R5" s="9">
        <v>7</v>
      </c>
      <c r="S5" s="377"/>
      <c r="T5" s="5">
        <v>1</v>
      </c>
      <c r="U5" s="6">
        <v>2</v>
      </c>
      <c r="V5" s="6">
        <v>3</v>
      </c>
      <c r="W5" s="6">
        <v>4</v>
      </c>
      <c r="X5" s="10">
        <v>5</v>
      </c>
      <c r="Y5" s="8">
        <v>6</v>
      </c>
      <c r="Z5" s="9">
        <v>7</v>
      </c>
      <c r="AA5" s="377"/>
      <c r="AB5" s="5">
        <v>1</v>
      </c>
      <c r="AC5" s="6">
        <v>2</v>
      </c>
      <c r="AD5" s="6">
        <v>3</v>
      </c>
      <c r="AE5" s="6">
        <v>4</v>
      </c>
      <c r="AF5" s="10">
        <v>5</v>
      </c>
      <c r="AG5" s="8">
        <v>6</v>
      </c>
      <c r="AH5" s="9">
        <v>7</v>
      </c>
      <c r="AI5" s="377"/>
      <c r="AJ5" s="5">
        <v>1</v>
      </c>
      <c r="AK5" s="6">
        <v>2</v>
      </c>
      <c r="AL5" s="6">
        <v>3</v>
      </c>
      <c r="AM5" s="6">
        <v>4</v>
      </c>
      <c r="AN5" s="10">
        <v>5</v>
      </c>
      <c r="AO5" s="8">
        <v>6</v>
      </c>
      <c r="AP5" s="9">
        <v>7</v>
      </c>
      <c r="AQ5" s="377"/>
      <c r="AR5" s="5">
        <v>1</v>
      </c>
      <c r="AS5" s="6">
        <v>2</v>
      </c>
      <c r="AT5" s="6">
        <v>3</v>
      </c>
      <c r="AU5" s="6">
        <v>4</v>
      </c>
      <c r="AV5" s="10">
        <v>5</v>
      </c>
      <c r="AW5" s="8">
        <v>6</v>
      </c>
      <c r="AX5" s="9">
        <v>7</v>
      </c>
      <c r="AY5" s="377"/>
      <c r="AZ5" s="404"/>
      <c r="BA5" s="406"/>
      <c r="BB5" s="173"/>
      <c r="BC5" s="173"/>
      <c r="BD5" s="175"/>
      <c r="BE5" s="175"/>
      <c r="BF5" s="175"/>
      <c r="BG5" s="175"/>
      <c r="BH5" s="175"/>
      <c r="BI5" s="175"/>
      <c r="BJ5" s="175"/>
      <c r="BK5" s="175"/>
      <c r="BL5" s="175"/>
      <c r="BM5" s="173"/>
      <c r="BN5" s="173"/>
      <c r="BO5" s="241" t="s">
        <v>52</v>
      </c>
      <c r="BP5" s="238" t="s">
        <v>53</v>
      </c>
      <c r="BQ5" s="239" t="s">
        <v>54</v>
      </c>
      <c r="BR5" s="244" t="s">
        <v>55</v>
      </c>
      <c r="BS5" s="240" t="s">
        <v>56</v>
      </c>
      <c r="BT5" s="238" t="s">
        <v>53</v>
      </c>
      <c r="BU5" s="239" t="s">
        <v>54</v>
      </c>
      <c r="BV5" s="244" t="s">
        <v>55</v>
      </c>
      <c r="BW5" s="240" t="s">
        <v>56</v>
      </c>
      <c r="BX5" s="238" t="s">
        <v>53</v>
      </c>
      <c r="BY5" s="239" t="s">
        <v>54</v>
      </c>
      <c r="BZ5" s="244" t="s">
        <v>55</v>
      </c>
      <c r="CA5" s="240" t="s">
        <v>56</v>
      </c>
      <c r="CB5" s="238" t="s">
        <v>53</v>
      </c>
      <c r="CC5" s="239" t="s">
        <v>54</v>
      </c>
      <c r="CD5" s="244" t="s">
        <v>55</v>
      </c>
      <c r="CE5" s="240" t="s">
        <v>56</v>
      </c>
      <c r="CF5" s="238" t="s">
        <v>53</v>
      </c>
      <c r="CG5" s="239" t="s">
        <v>54</v>
      </c>
      <c r="CH5" s="239" t="s">
        <v>55</v>
      </c>
      <c r="CI5" s="240" t="s">
        <v>56</v>
      </c>
      <c r="CJ5" s="238" t="s">
        <v>53</v>
      </c>
      <c r="CK5" s="239" t="s">
        <v>54</v>
      </c>
      <c r="CL5" s="239" t="s">
        <v>55</v>
      </c>
      <c r="CM5" s="240" t="s">
        <v>56</v>
      </c>
      <c r="CN5" s="173"/>
      <c r="CO5" s="173"/>
      <c r="CP5" s="173"/>
      <c r="CQ5" s="173"/>
      <c r="CR5" s="173"/>
      <c r="CS5" s="173"/>
      <c r="CT5" s="173"/>
      <c r="CU5" s="173"/>
    </row>
    <row r="6" spans="1:99" s="4" customFormat="1">
      <c r="A6" s="15" t="s">
        <v>30</v>
      </c>
      <c r="B6" s="21">
        <v>41032</v>
      </c>
      <c r="C6" s="22" t="s">
        <v>73</v>
      </c>
      <c r="D6" s="265">
        <v>12.7</v>
      </c>
      <c r="E6" s="266">
        <v>15.8</v>
      </c>
      <c r="F6" s="266">
        <v>17.5</v>
      </c>
      <c r="G6" s="266">
        <v>18.7</v>
      </c>
      <c r="H6" s="267">
        <v>20.5</v>
      </c>
      <c r="I6" s="268"/>
      <c r="J6" s="269"/>
      <c r="K6" s="270">
        <v>2</v>
      </c>
      <c r="L6" s="265">
        <v>18</v>
      </c>
      <c r="M6" s="266">
        <v>19.100000000000001</v>
      </c>
      <c r="N6" s="266">
        <v>18.399999999999999</v>
      </c>
      <c r="O6" s="266">
        <v>17.899999999999999</v>
      </c>
      <c r="P6" s="271">
        <v>16.8</v>
      </c>
      <c r="Q6" s="268"/>
      <c r="R6" s="269"/>
      <c r="S6" s="270">
        <v>2</v>
      </c>
      <c r="T6" s="265">
        <v>8.9</v>
      </c>
      <c r="U6" s="266">
        <v>10.5</v>
      </c>
      <c r="V6" s="266">
        <v>12.9</v>
      </c>
      <c r="W6" s="266">
        <v>11</v>
      </c>
      <c r="X6" s="271">
        <v>12.1</v>
      </c>
      <c r="Y6" s="268"/>
      <c r="Z6" s="269"/>
      <c r="AA6" s="270">
        <v>1</v>
      </c>
      <c r="AB6" s="265">
        <v>10</v>
      </c>
      <c r="AC6" s="266">
        <v>7.9</v>
      </c>
      <c r="AD6" s="266">
        <v>10.199999999999999</v>
      </c>
      <c r="AE6" s="266">
        <v>8.1</v>
      </c>
      <c r="AF6" s="271">
        <v>9</v>
      </c>
      <c r="AG6" s="268"/>
      <c r="AH6" s="269"/>
      <c r="AI6" s="270">
        <v>1</v>
      </c>
      <c r="AJ6" s="265">
        <v>10.7</v>
      </c>
      <c r="AK6" s="266">
        <v>15.4</v>
      </c>
      <c r="AL6" s="266">
        <v>10</v>
      </c>
      <c r="AM6" s="266">
        <v>9</v>
      </c>
      <c r="AN6" s="271">
        <v>11.2</v>
      </c>
      <c r="AO6" s="268"/>
      <c r="AP6" s="269"/>
      <c r="AQ6" s="270">
        <v>1</v>
      </c>
      <c r="AR6" s="272"/>
      <c r="AS6" s="268"/>
      <c r="AT6" s="268"/>
      <c r="AU6" s="268"/>
      <c r="AV6" s="273"/>
      <c r="AW6" s="268"/>
      <c r="AX6" s="269"/>
      <c r="AY6" s="28"/>
      <c r="AZ6" s="18">
        <f t="shared" ref="AZ6:AZ11" si="0">IF(COUNT(AJ6:AP6,AB6:AH6,T6:Z6,L6:R6,D6:J6)=0,AZ5,AVERAGE(AVERAGE(D6:J6),AVERAGE(L6:R6),AVERAGE(T6:Z6),AVERAGE(AB6:AH6),AVERAGE(AJ6:AP6)))</f>
        <v>13.291999999999998</v>
      </c>
      <c r="BA6" s="200">
        <f t="shared" ref="BA6:BA69" si="1">IF(COUNT(K6,S6,AA6,AI6,AQ6)=0,BA5,AVERAGE(K6,S6,AA6,AI6,AQ6))</f>
        <v>1.4</v>
      </c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N6" s="369">
        <f>B6</f>
        <v>41032</v>
      </c>
      <c r="BO6" s="247">
        <f t="shared" ref="BO6:BO69" si="2">IF(B6=0,BO5,B6-DATE(YEAR(B6)-1,12,31))</f>
        <v>124</v>
      </c>
      <c r="BP6" s="318">
        <v>40652</v>
      </c>
      <c r="BQ6" s="323">
        <v>109</v>
      </c>
      <c r="BR6" s="360">
        <v>6.8639999999999999</v>
      </c>
      <c r="BS6" s="360">
        <v>0</v>
      </c>
      <c r="BT6" s="318">
        <v>40291</v>
      </c>
      <c r="BU6" s="323">
        <v>113</v>
      </c>
      <c r="BV6" s="360">
        <v>5.871428571428571</v>
      </c>
      <c r="BW6" s="360">
        <v>0</v>
      </c>
      <c r="BX6" s="318">
        <v>39920</v>
      </c>
      <c r="BY6" s="250">
        <v>107</v>
      </c>
      <c r="BZ6" s="251">
        <v>4.9400000000000004</v>
      </c>
      <c r="CA6" s="261">
        <v>0</v>
      </c>
      <c r="CB6" s="318">
        <v>39549</v>
      </c>
      <c r="CC6" s="250">
        <v>102</v>
      </c>
      <c r="CD6" s="251">
        <v>5.0239999999999991</v>
      </c>
      <c r="CE6" s="252">
        <v>0</v>
      </c>
      <c r="CF6" s="320">
        <v>39182</v>
      </c>
      <c r="CG6" s="250">
        <v>100</v>
      </c>
      <c r="CH6" s="260">
        <v>5.2720000000000002</v>
      </c>
      <c r="CI6" s="261">
        <v>0</v>
      </c>
      <c r="CJ6" s="318">
        <v>38840</v>
      </c>
      <c r="CK6" s="250">
        <v>123</v>
      </c>
      <c r="CL6" s="251">
        <v>6.8360000000000003</v>
      </c>
      <c r="CM6" s="257">
        <v>0</v>
      </c>
      <c r="CN6" s="173"/>
      <c r="CO6" s="173"/>
      <c r="CP6" s="173"/>
      <c r="CQ6" s="173"/>
      <c r="CR6" s="173"/>
      <c r="CS6" s="173"/>
      <c r="CT6" s="173"/>
      <c r="CU6" s="173"/>
    </row>
    <row r="7" spans="1:99" s="4" customFormat="1">
      <c r="A7" s="16" t="s">
        <v>30</v>
      </c>
      <c r="B7" s="21">
        <v>41040</v>
      </c>
      <c r="C7" s="22" t="s">
        <v>73</v>
      </c>
      <c r="D7" s="265">
        <v>19.399999999999999</v>
      </c>
      <c r="E7" s="266">
        <v>21</v>
      </c>
      <c r="F7" s="266">
        <v>22.5</v>
      </c>
      <c r="G7" s="266">
        <v>20.3</v>
      </c>
      <c r="H7" s="267">
        <v>21.6</v>
      </c>
      <c r="I7" s="268"/>
      <c r="J7" s="269"/>
      <c r="K7" s="270">
        <v>2</v>
      </c>
      <c r="L7" s="265">
        <v>21</v>
      </c>
      <c r="M7" s="266">
        <v>22.2</v>
      </c>
      <c r="N7" s="266">
        <v>25.6</v>
      </c>
      <c r="O7" s="266">
        <v>25.9</v>
      </c>
      <c r="P7" s="271">
        <v>24.2</v>
      </c>
      <c r="Q7" s="268"/>
      <c r="R7" s="269"/>
      <c r="S7" s="270">
        <v>2</v>
      </c>
      <c r="T7" s="265">
        <v>13.7</v>
      </c>
      <c r="U7" s="266">
        <v>18.100000000000001</v>
      </c>
      <c r="V7" s="266">
        <v>19.399999999999999</v>
      </c>
      <c r="W7" s="266">
        <v>17.5</v>
      </c>
      <c r="X7" s="271">
        <v>21.3</v>
      </c>
      <c r="Y7" s="268"/>
      <c r="Z7" s="269"/>
      <c r="AA7" s="270">
        <v>2</v>
      </c>
      <c r="AB7" s="265">
        <v>19.2</v>
      </c>
      <c r="AC7" s="266">
        <v>14.6</v>
      </c>
      <c r="AD7" s="266">
        <v>12.9</v>
      </c>
      <c r="AE7" s="266">
        <v>14</v>
      </c>
      <c r="AF7" s="271">
        <v>16.100000000000001</v>
      </c>
      <c r="AG7" s="268"/>
      <c r="AH7" s="269"/>
      <c r="AI7" s="270">
        <v>1</v>
      </c>
      <c r="AJ7" s="265">
        <v>15.7</v>
      </c>
      <c r="AK7" s="266">
        <v>19.399999999999999</v>
      </c>
      <c r="AL7" s="266">
        <v>16</v>
      </c>
      <c r="AM7" s="266">
        <v>18.2</v>
      </c>
      <c r="AN7" s="271">
        <v>18</v>
      </c>
      <c r="AO7" s="268"/>
      <c r="AP7" s="269"/>
      <c r="AQ7" s="270">
        <v>2</v>
      </c>
      <c r="AR7" s="272"/>
      <c r="AS7" s="268"/>
      <c r="AT7" s="268"/>
      <c r="AU7" s="268"/>
      <c r="AV7" s="273"/>
      <c r="AW7" s="268"/>
      <c r="AX7" s="269"/>
      <c r="AY7" s="28"/>
      <c r="AZ7" s="19">
        <f t="shared" si="0"/>
        <v>19.112000000000002</v>
      </c>
      <c r="BA7" s="227">
        <f t="shared" si="1"/>
        <v>1.8</v>
      </c>
      <c r="BB7" s="173"/>
      <c r="BC7" s="173"/>
      <c r="BD7" s="173"/>
      <c r="BE7" s="173"/>
      <c r="BF7" s="173"/>
      <c r="BG7" s="173"/>
      <c r="BH7" s="173"/>
      <c r="BI7" s="173"/>
      <c r="BJ7" s="173"/>
      <c r="BK7" s="173"/>
      <c r="BL7" s="173"/>
      <c r="BM7" s="173"/>
      <c r="BN7" s="173"/>
      <c r="BO7" s="248">
        <f t="shared" si="2"/>
        <v>132</v>
      </c>
      <c r="BP7" s="319">
        <v>40659</v>
      </c>
      <c r="BQ7" s="324">
        <v>116</v>
      </c>
      <c r="BR7" s="358">
        <v>17.156000000000002</v>
      </c>
      <c r="BS7" s="358">
        <v>1.6</v>
      </c>
      <c r="BT7" s="319">
        <v>40298</v>
      </c>
      <c r="BU7" s="324">
        <v>120</v>
      </c>
      <c r="BV7" s="358">
        <v>9.1771428571428579</v>
      </c>
      <c r="BW7" s="358">
        <v>1</v>
      </c>
      <c r="BX7" s="319">
        <v>39927</v>
      </c>
      <c r="BY7" s="217">
        <v>114</v>
      </c>
      <c r="BZ7" s="219">
        <v>5.5057142857142853</v>
      </c>
      <c r="CA7" s="262">
        <v>0.2</v>
      </c>
      <c r="CB7" s="319">
        <v>39556</v>
      </c>
      <c r="CC7" s="217">
        <v>109</v>
      </c>
      <c r="CD7" s="219">
        <v>5.4079999999999995</v>
      </c>
      <c r="CE7" s="253">
        <v>0</v>
      </c>
      <c r="CF7" s="321">
        <v>39189</v>
      </c>
      <c r="CG7" s="217">
        <v>107</v>
      </c>
      <c r="CH7" s="211">
        <v>5.6240000000000006</v>
      </c>
      <c r="CI7" s="262">
        <v>0</v>
      </c>
      <c r="CJ7" s="319">
        <v>38841</v>
      </c>
      <c r="CK7" s="217">
        <v>124</v>
      </c>
      <c r="CL7" s="219">
        <v>7.26</v>
      </c>
      <c r="CM7" s="258">
        <v>0</v>
      </c>
      <c r="CN7" s="173"/>
      <c r="CO7" s="173"/>
      <c r="CP7" s="173"/>
      <c r="CQ7" s="173"/>
      <c r="CR7" s="173"/>
      <c r="CS7" s="173"/>
      <c r="CT7" s="173"/>
      <c r="CU7" s="173"/>
    </row>
    <row r="8" spans="1:99" s="4" customFormat="1">
      <c r="A8" s="16" t="s">
        <v>30</v>
      </c>
      <c r="B8" s="21">
        <v>41047</v>
      </c>
      <c r="C8" s="22" t="s">
        <v>73</v>
      </c>
      <c r="D8" s="265">
        <v>26</v>
      </c>
      <c r="E8" s="266">
        <v>25.6</v>
      </c>
      <c r="F8" s="266">
        <v>27.2</v>
      </c>
      <c r="G8" s="266">
        <v>27.3</v>
      </c>
      <c r="H8" s="267">
        <v>31.7</v>
      </c>
      <c r="I8" s="268"/>
      <c r="J8" s="269"/>
      <c r="K8" s="270">
        <v>2</v>
      </c>
      <c r="L8" s="265">
        <v>32.5</v>
      </c>
      <c r="M8" s="266">
        <v>34.200000000000003</v>
      </c>
      <c r="N8" s="266">
        <v>32.200000000000003</v>
      </c>
      <c r="O8" s="266">
        <v>27.8</v>
      </c>
      <c r="P8" s="271">
        <v>30.7</v>
      </c>
      <c r="Q8" s="268"/>
      <c r="R8" s="269"/>
      <c r="S8" s="270">
        <v>2</v>
      </c>
      <c r="T8" s="265">
        <v>18</v>
      </c>
      <c r="U8" s="266">
        <v>27</v>
      </c>
      <c r="V8" s="266">
        <v>29</v>
      </c>
      <c r="W8" s="266">
        <v>27.4</v>
      </c>
      <c r="X8" s="271">
        <v>30</v>
      </c>
      <c r="Y8" s="268"/>
      <c r="Z8" s="269"/>
      <c r="AA8" s="270">
        <v>2</v>
      </c>
      <c r="AB8" s="265">
        <v>28</v>
      </c>
      <c r="AC8" s="266">
        <v>22.9</v>
      </c>
      <c r="AD8" s="266">
        <v>12.9</v>
      </c>
      <c r="AE8" s="266">
        <v>20</v>
      </c>
      <c r="AF8" s="271">
        <v>21.9</v>
      </c>
      <c r="AG8" s="268"/>
      <c r="AH8" s="269"/>
      <c r="AI8" s="270">
        <v>2</v>
      </c>
      <c r="AJ8" s="265">
        <v>22.8</v>
      </c>
      <c r="AK8" s="266">
        <v>30.2</v>
      </c>
      <c r="AL8" s="266">
        <v>22.5</v>
      </c>
      <c r="AM8" s="266">
        <v>25</v>
      </c>
      <c r="AN8" s="271">
        <v>23.5</v>
      </c>
      <c r="AO8" s="268"/>
      <c r="AP8" s="269"/>
      <c r="AQ8" s="270">
        <v>2</v>
      </c>
      <c r="AR8" s="272"/>
      <c r="AS8" s="268"/>
      <c r="AT8" s="268"/>
      <c r="AU8" s="268"/>
      <c r="AV8" s="273"/>
      <c r="AW8" s="268"/>
      <c r="AX8" s="269"/>
      <c r="AY8" s="28"/>
      <c r="AZ8" s="19">
        <f t="shared" si="0"/>
        <v>26.251999999999999</v>
      </c>
      <c r="BA8" s="227">
        <f t="shared" si="1"/>
        <v>2</v>
      </c>
      <c r="BB8" s="173"/>
      <c r="BC8" s="173"/>
      <c r="BD8" s="173"/>
      <c r="BE8" s="173"/>
      <c r="BF8" s="173"/>
      <c r="BG8" s="173"/>
      <c r="BH8" s="173"/>
      <c r="BI8" s="173"/>
      <c r="BJ8" s="173"/>
      <c r="BK8" s="173"/>
      <c r="BL8" s="173"/>
      <c r="BM8" s="173"/>
      <c r="BN8" s="173"/>
      <c r="BO8" s="248">
        <f t="shared" si="2"/>
        <v>139</v>
      </c>
      <c r="BP8" s="319">
        <v>40666</v>
      </c>
      <c r="BQ8" s="324">
        <v>123</v>
      </c>
      <c r="BR8" s="358">
        <v>22.32</v>
      </c>
      <c r="BS8" s="358">
        <v>1.6</v>
      </c>
      <c r="BT8" s="319">
        <v>40303</v>
      </c>
      <c r="BU8" s="324">
        <v>125</v>
      </c>
      <c r="BV8" s="358">
        <v>12.242857142857142</v>
      </c>
      <c r="BW8" s="358">
        <v>1</v>
      </c>
      <c r="BX8" s="319">
        <v>39933</v>
      </c>
      <c r="BY8" s="217">
        <v>120</v>
      </c>
      <c r="BZ8" s="219">
        <v>10.968571428571428</v>
      </c>
      <c r="CA8" s="262">
        <v>1</v>
      </c>
      <c r="CB8" s="319">
        <v>39563</v>
      </c>
      <c r="CC8" s="217">
        <v>116</v>
      </c>
      <c r="CD8" s="219">
        <v>5.4799999999999995</v>
      </c>
      <c r="CE8" s="253">
        <v>0</v>
      </c>
      <c r="CF8" s="321">
        <v>39192</v>
      </c>
      <c r="CG8" s="217">
        <v>110</v>
      </c>
      <c r="CH8" s="211">
        <v>5.5640000000000001</v>
      </c>
      <c r="CI8" s="262">
        <v>0</v>
      </c>
      <c r="CJ8" s="319">
        <v>38845</v>
      </c>
      <c r="CK8" s="217">
        <v>128</v>
      </c>
      <c r="CL8" s="219">
        <v>11.767999999999999</v>
      </c>
      <c r="CM8" s="258">
        <v>0.4</v>
      </c>
      <c r="CN8" s="173"/>
      <c r="CO8" s="173"/>
      <c r="CP8" s="173"/>
      <c r="CQ8" s="173"/>
      <c r="CR8" s="173"/>
      <c r="CS8" s="173"/>
      <c r="CT8" s="173"/>
      <c r="CU8" s="173"/>
    </row>
    <row r="9" spans="1:99" s="4" customFormat="1">
      <c r="A9" s="16" t="s">
        <v>30</v>
      </c>
      <c r="B9" s="21">
        <v>41053</v>
      </c>
      <c r="C9" s="22" t="s">
        <v>75</v>
      </c>
      <c r="D9" s="265">
        <v>32</v>
      </c>
      <c r="E9" s="266">
        <v>29.4</v>
      </c>
      <c r="F9" s="266">
        <v>30.2</v>
      </c>
      <c r="G9" s="266">
        <v>31.3</v>
      </c>
      <c r="H9" s="267">
        <v>34.200000000000003</v>
      </c>
      <c r="I9" s="268"/>
      <c r="J9" s="269"/>
      <c r="K9" s="270">
        <v>2</v>
      </c>
      <c r="L9" s="265">
        <v>39.1</v>
      </c>
      <c r="M9" s="266">
        <v>41.2</v>
      </c>
      <c r="N9" s="266">
        <v>38</v>
      </c>
      <c r="O9" s="266">
        <v>38.1</v>
      </c>
      <c r="P9" s="271">
        <v>37</v>
      </c>
      <c r="Q9" s="268"/>
      <c r="R9" s="269"/>
      <c r="S9" s="270">
        <v>2</v>
      </c>
      <c r="T9" s="265">
        <v>24.2</v>
      </c>
      <c r="U9" s="266">
        <v>29.9</v>
      </c>
      <c r="V9" s="266">
        <v>35.1</v>
      </c>
      <c r="W9" s="266">
        <v>34.299999999999997</v>
      </c>
      <c r="X9" s="271">
        <v>38.700000000000003</v>
      </c>
      <c r="Y9" s="268"/>
      <c r="Z9" s="269"/>
      <c r="AA9" s="270">
        <v>2</v>
      </c>
      <c r="AB9" s="265">
        <v>41.8</v>
      </c>
      <c r="AC9" s="266">
        <v>34</v>
      </c>
      <c r="AD9" s="266">
        <v>34.1</v>
      </c>
      <c r="AE9" s="266">
        <v>20</v>
      </c>
      <c r="AF9" s="271">
        <v>30.9</v>
      </c>
      <c r="AG9" s="268"/>
      <c r="AH9" s="269"/>
      <c r="AI9" s="270">
        <v>2</v>
      </c>
      <c r="AJ9" s="265">
        <v>30.9</v>
      </c>
      <c r="AK9" s="266">
        <v>34.700000000000003</v>
      </c>
      <c r="AL9" s="266">
        <v>32.200000000000003</v>
      </c>
      <c r="AM9" s="266">
        <v>29.5</v>
      </c>
      <c r="AN9" s="271">
        <v>35</v>
      </c>
      <c r="AO9" s="268"/>
      <c r="AP9" s="269"/>
      <c r="AQ9" s="270">
        <v>2</v>
      </c>
      <c r="AR9" s="272"/>
      <c r="AS9" s="268"/>
      <c r="AT9" s="268"/>
      <c r="AU9" s="268"/>
      <c r="AV9" s="273"/>
      <c r="AW9" s="268"/>
      <c r="AX9" s="269"/>
      <c r="AY9" s="28"/>
      <c r="AZ9" s="19">
        <f t="shared" si="0"/>
        <v>33.432000000000002</v>
      </c>
      <c r="BA9" s="227">
        <f t="shared" si="1"/>
        <v>2</v>
      </c>
      <c r="BB9" s="173"/>
      <c r="BC9" s="173"/>
      <c r="BD9" s="173"/>
      <c r="BE9" s="173"/>
      <c r="BF9" s="173"/>
      <c r="BG9" s="173"/>
      <c r="BH9" s="173"/>
      <c r="BI9" s="173"/>
      <c r="BJ9" s="173"/>
      <c r="BK9" s="173"/>
      <c r="BL9" s="173"/>
      <c r="BM9" s="173"/>
      <c r="BN9" s="173"/>
      <c r="BO9" s="248">
        <f t="shared" si="2"/>
        <v>145</v>
      </c>
      <c r="BP9" s="319">
        <v>40673</v>
      </c>
      <c r="BQ9" s="324">
        <v>130</v>
      </c>
      <c r="BR9" s="358">
        <v>27.7</v>
      </c>
      <c r="BS9" s="358">
        <v>2</v>
      </c>
      <c r="BT9" s="319">
        <v>40312</v>
      </c>
      <c r="BU9" s="324">
        <v>134</v>
      </c>
      <c r="BV9" s="358">
        <v>16.937142857142856</v>
      </c>
      <c r="BW9" s="358">
        <v>2</v>
      </c>
      <c r="BX9" s="319">
        <v>39941</v>
      </c>
      <c r="BY9" s="217">
        <v>128</v>
      </c>
      <c r="BZ9" s="219">
        <v>16.448571428571427</v>
      </c>
      <c r="CA9" s="262">
        <v>1.2</v>
      </c>
      <c r="CB9" s="319">
        <v>39570</v>
      </c>
      <c r="CC9" s="217">
        <v>123</v>
      </c>
      <c r="CD9" s="219">
        <v>7.0319999999999991</v>
      </c>
      <c r="CE9" s="253">
        <v>0.2</v>
      </c>
      <c r="CF9" s="321">
        <v>39197</v>
      </c>
      <c r="CG9" s="217">
        <v>115</v>
      </c>
      <c r="CH9" s="211">
        <v>7.8839999999999986</v>
      </c>
      <c r="CI9" s="262">
        <v>0.2</v>
      </c>
      <c r="CJ9" s="319">
        <v>38847</v>
      </c>
      <c r="CK9" s="217">
        <v>130</v>
      </c>
      <c r="CL9" s="219">
        <v>15.715999999999999</v>
      </c>
      <c r="CM9" s="258">
        <v>1</v>
      </c>
      <c r="CN9" s="173"/>
      <c r="CO9" s="173"/>
      <c r="CP9" s="173"/>
      <c r="CQ9" s="173"/>
      <c r="CR9" s="173"/>
      <c r="CS9" s="173"/>
      <c r="CT9" s="173"/>
      <c r="CU9" s="173"/>
    </row>
    <row r="10" spans="1:99" s="4" customFormat="1">
      <c r="A10" s="16" t="s">
        <v>30</v>
      </c>
      <c r="B10" s="21">
        <v>41059</v>
      </c>
      <c r="C10" s="22" t="s">
        <v>73</v>
      </c>
      <c r="D10" s="265">
        <v>34.299999999999997</v>
      </c>
      <c r="E10" s="266">
        <v>30</v>
      </c>
      <c r="F10" s="266">
        <v>30.2</v>
      </c>
      <c r="G10" s="266">
        <v>31.3</v>
      </c>
      <c r="H10" s="267">
        <v>35.299999999999997</v>
      </c>
      <c r="I10" s="268"/>
      <c r="J10" s="269"/>
      <c r="K10" s="270">
        <v>2</v>
      </c>
      <c r="L10" s="265">
        <v>40.5</v>
      </c>
      <c r="M10" s="266">
        <v>41.2</v>
      </c>
      <c r="N10" s="266">
        <v>38.200000000000003</v>
      </c>
      <c r="O10" s="266">
        <v>38.1</v>
      </c>
      <c r="P10" s="271">
        <v>38</v>
      </c>
      <c r="Q10" s="268"/>
      <c r="R10" s="269"/>
      <c r="S10" s="270">
        <v>2</v>
      </c>
      <c r="T10" s="265">
        <v>24.8</v>
      </c>
      <c r="U10" s="266">
        <v>30.7</v>
      </c>
      <c r="V10" s="266">
        <v>37.5</v>
      </c>
      <c r="W10" s="266">
        <v>35.200000000000003</v>
      </c>
      <c r="X10" s="271">
        <v>38.5</v>
      </c>
      <c r="Y10" s="268"/>
      <c r="Z10" s="269"/>
      <c r="AA10" s="270">
        <v>2</v>
      </c>
      <c r="AB10" s="265">
        <v>51.1</v>
      </c>
      <c r="AC10" s="266">
        <v>38.700000000000003</v>
      </c>
      <c r="AD10" s="266">
        <v>34.1</v>
      </c>
      <c r="AE10" s="266">
        <v>38</v>
      </c>
      <c r="AF10" s="271">
        <v>44.2</v>
      </c>
      <c r="AG10" s="268"/>
      <c r="AH10" s="269"/>
      <c r="AI10" s="270">
        <v>2</v>
      </c>
      <c r="AJ10" s="265">
        <v>37.4</v>
      </c>
      <c r="AK10" s="266">
        <v>50.2</v>
      </c>
      <c r="AL10" s="266">
        <v>33.1</v>
      </c>
      <c r="AM10" s="266">
        <v>39.9</v>
      </c>
      <c r="AN10" s="271">
        <v>40.200000000000003</v>
      </c>
      <c r="AO10" s="268"/>
      <c r="AP10" s="269"/>
      <c r="AQ10" s="270">
        <v>2</v>
      </c>
      <c r="AR10" s="272"/>
      <c r="AS10" s="268"/>
      <c r="AT10" s="268"/>
      <c r="AU10" s="268"/>
      <c r="AV10" s="273"/>
      <c r="AW10" s="268"/>
      <c r="AX10" s="269"/>
      <c r="AY10" s="28"/>
      <c r="AZ10" s="19">
        <f t="shared" si="0"/>
        <v>37.227999999999994</v>
      </c>
      <c r="BA10" s="227">
        <f t="shared" si="1"/>
        <v>2</v>
      </c>
      <c r="BB10" s="173"/>
      <c r="BC10" s="173"/>
      <c r="BD10" s="173"/>
      <c r="BE10" s="173"/>
      <c r="BF10" s="173"/>
      <c r="BG10" s="173"/>
      <c r="BH10" s="173"/>
      <c r="BI10" s="173"/>
      <c r="BJ10" s="173"/>
      <c r="BK10" s="173"/>
      <c r="BL10" s="173"/>
      <c r="BM10" s="173"/>
      <c r="BN10" s="173"/>
      <c r="BO10" s="248">
        <f t="shared" si="2"/>
        <v>151</v>
      </c>
      <c r="BP10" s="319">
        <v>40681</v>
      </c>
      <c r="BQ10" s="324">
        <v>138</v>
      </c>
      <c r="BR10" s="358">
        <v>33.476000000000006</v>
      </c>
      <c r="BS10" s="358">
        <v>2</v>
      </c>
      <c r="BT10" s="319">
        <v>40318</v>
      </c>
      <c r="BU10" s="324">
        <v>140</v>
      </c>
      <c r="BV10" s="358">
        <v>30.054285714285715</v>
      </c>
      <c r="BW10" s="358">
        <v>2</v>
      </c>
      <c r="BX10" s="319">
        <v>39948</v>
      </c>
      <c r="BY10" s="217">
        <v>135</v>
      </c>
      <c r="BZ10" s="219">
        <v>22.291428571428572</v>
      </c>
      <c r="CA10" s="262">
        <v>2</v>
      </c>
      <c r="CB10" s="319">
        <v>39577</v>
      </c>
      <c r="CC10" s="217">
        <v>130</v>
      </c>
      <c r="CD10" s="219">
        <v>9.968</v>
      </c>
      <c r="CE10" s="253">
        <v>1</v>
      </c>
      <c r="CF10" s="321">
        <v>39199</v>
      </c>
      <c r="CG10" s="217">
        <v>117</v>
      </c>
      <c r="CH10" s="211">
        <v>8.6639999999999997</v>
      </c>
      <c r="CI10" s="262">
        <v>0.2</v>
      </c>
      <c r="CJ10" s="319">
        <v>38849</v>
      </c>
      <c r="CK10" s="217">
        <v>132</v>
      </c>
      <c r="CL10" s="219">
        <v>20.167999999999999</v>
      </c>
      <c r="CM10" s="258">
        <v>2</v>
      </c>
      <c r="CN10" s="173"/>
      <c r="CO10" s="173"/>
      <c r="CP10" s="173"/>
      <c r="CQ10" s="173"/>
      <c r="CR10" s="173"/>
      <c r="CS10" s="173"/>
      <c r="CT10" s="173"/>
      <c r="CU10" s="173"/>
    </row>
    <row r="11" spans="1:99" s="4" customFormat="1">
      <c r="A11" s="16" t="s">
        <v>30</v>
      </c>
      <c r="B11" s="21">
        <v>41068</v>
      </c>
      <c r="C11" s="22" t="s">
        <v>73</v>
      </c>
      <c r="D11" s="265">
        <v>34.200000000000003</v>
      </c>
      <c r="E11" s="266">
        <v>30.5</v>
      </c>
      <c r="F11" s="266">
        <v>30</v>
      </c>
      <c r="G11" s="266">
        <v>31</v>
      </c>
      <c r="H11" s="267">
        <v>35.299999999999997</v>
      </c>
      <c r="I11" s="268"/>
      <c r="J11" s="269"/>
      <c r="K11" s="270">
        <v>3</v>
      </c>
      <c r="L11" s="265">
        <v>40.5</v>
      </c>
      <c r="M11" s="266">
        <v>41.3</v>
      </c>
      <c r="N11" s="266">
        <v>38.1</v>
      </c>
      <c r="O11" s="266">
        <v>38.200000000000003</v>
      </c>
      <c r="P11" s="271">
        <v>38</v>
      </c>
      <c r="Q11" s="268"/>
      <c r="R11" s="269"/>
      <c r="S11" s="270">
        <v>3</v>
      </c>
      <c r="T11" s="265">
        <v>24.5</v>
      </c>
      <c r="U11" s="266">
        <v>30.5</v>
      </c>
      <c r="V11" s="266">
        <v>37.5</v>
      </c>
      <c r="W11" s="266">
        <v>35.4</v>
      </c>
      <c r="X11" s="271">
        <v>38.299999999999997</v>
      </c>
      <c r="Y11" s="268"/>
      <c r="Z11" s="269"/>
      <c r="AA11" s="270">
        <v>3</v>
      </c>
      <c r="AB11" s="265">
        <v>51</v>
      </c>
      <c r="AC11" s="266">
        <v>38.5</v>
      </c>
      <c r="AD11" s="266">
        <v>34.299999999999997</v>
      </c>
      <c r="AE11" s="266">
        <v>38.1</v>
      </c>
      <c r="AF11" s="271">
        <v>45</v>
      </c>
      <c r="AG11" s="268"/>
      <c r="AH11" s="269"/>
      <c r="AI11" s="270">
        <v>3</v>
      </c>
      <c r="AJ11" s="265">
        <v>37.5</v>
      </c>
      <c r="AK11" s="266">
        <v>50</v>
      </c>
      <c r="AL11" s="266">
        <v>33</v>
      </c>
      <c r="AM11" s="266">
        <v>40.1</v>
      </c>
      <c r="AN11" s="271">
        <v>40</v>
      </c>
      <c r="AO11" s="268"/>
      <c r="AP11" s="269"/>
      <c r="AQ11" s="270">
        <v>3</v>
      </c>
      <c r="AR11" s="272"/>
      <c r="AS11" s="268"/>
      <c r="AT11" s="268"/>
      <c r="AU11" s="268"/>
      <c r="AV11" s="273"/>
      <c r="AW11" s="268"/>
      <c r="AX11" s="269"/>
      <c r="AY11" s="28"/>
      <c r="AZ11" s="19">
        <f t="shared" si="0"/>
        <v>37.232000000000006</v>
      </c>
      <c r="BA11" s="227">
        <f t="shared" si="1"/>
        <v>3</v>
      </c>
      <c r="BB11" s="173"/>
      <c r="BC11" s="173"/>
      <c r="BD11" s="173"/>
      <c r="BE11" s="173"/>
      <c r="BF11" s="173"/>
      <c r="BG11" s="173"/>
      <c r="BH11" s="173"/>
      <c r="BI11" s="173"/>
      <c r="BJ11" s="173"/>
      <c r="BK11" s="173"/>
      <c r="BL11" s="173"/>
      <c r="BM11" s="173"/>
      <c r="BN11" s="173"/>
      <c r="BO11" s="248">
        <f t="shared" si="2"/>
        <v>160</v>
      </c>
      <c r="BP11" s="319">
        <v>40688</v>
      </c>
      <c r="BQ11" s="324">
        <v>145</v>
      </c>
      <c r="BR11" s="358">
        <v>36.731999999999992</v>
      </c>
      <c r="BS11" s="358">
        <v>2.6</v>
      </c>
      <c r="BT11" s="319">
        <v>40325</v>
      </c>
      <c r="BU11" s="324">
        <v>147</v>
      </c>
      <c r="BV11" s="358">
        <v>44.428571428571431</v>
      </c>
      <c r="BW11" s="358">
        <v>3</v>
      </c>
      <c r="BX11" s="319">
        <v>39953</v>
      </c>
      <c r="BY11" s="217">
        <v>140</v>
      </c>
      <c r="BZ11" s="219">
        <v>28.98</v>
      </c>
      <c r="CA11" s="262">
        <v>2</v>
      </c>
      <c r="CB11" s="319">
        <v>39584</v>
      </c>
      <c r="CC11" s="217">
        <v>137</v>
      </c>
      <c r="CD11" s="219">
        <v>15.195999999999998</v>
      </c>
      <c r="CE11" s="253">
        <v>3</v>
      </c>
      <c r="CF11" s="321">
        <v>39204</v>
      </c>
      <c r="CG11" s="217">
        <v>122</v>
      </c>
      <c r="CH11" s="211">
        <v>12.187999999999999</v>
      </c>
      <c r="CI11" s="262">
        <v>1.2</v>
      </c>
      <c r="CJ11" s="319">
        <v>38852</v>
      </c>
      <c r="CK11" s="217">
        <v>135</v>
      </c>
      <c r="CL11" s="219">
        <v>23.488</v>
      </c>
      <c r="CM11" s="258">
        <v>2</v>
      </c>
      <c r="CN11" s="173"/>
      <c r="CO11" s="173"/>
      <c r="CP11" s="173"/>
      <c r="CQ11" s="173"/>
      <c r="CR11" s="173"/>
      <c r="CS11" s="173"/>
      <c r="CT11" s="173"/>
      <c r="CU11" s="173"/>
    </row>
    <row r="12" spans="1:99" s="4" customFormat="1">
      <c r="A12" s="16" t="s">
        <v>30</v>
      </c>
      <c r="B12" s="21">
        <v>41130</v>
      </c>
      <c r="C12" s="22" t="s">
        <v>73</v>
      </c>
      <c r="D12" s="265"/>
      <c r="E12" s="266"/>
      <c r="F12" s="266"/>
      <c r="G12" s="266"/>
      <c r="H12" s="267"/>
      <c r="I12" s="268"/>
      <c r="J12" s="269"/>
      <c r="K12" s="270">
        <v>4</v>
      </c>
      <c r="L12" s="265"/>
      <c r="M12" s="266"/>
      <c r="N12" s="266"/>
      <c r="O12" s="266"/>
      <c r="P12" s="271"/>
      <c r="Q12" s="268"/>
      <c r="R12" s="269"/>
      <c r="S12" s="270">
        <v>4</v>
      </c>
      <c r="T12" s="265"/>
      <c r="U12" s="266"/>
      <c r="V12" s="266"/>
      <c r="W12" s="266"/>
      <c r="X12" s="271"/>
      <c r="Y12" s="268"/>
      <c r="Z12" s="269"/>
      <c r="AA12" s="270">
        <v>4</v>
      </c>
      <c r="AB12" s="265"/>
      <c r="AC12" s="266"/>
      <c r="AD12" s="266"/>
      <c r="AE12" s="266"/>
      <c r="AF12" s="271"/>
      <c r="AG12" s="268"/>
      <c r="AH12" s="269"/>
      <c r="AI12" s="270">
        <v>4</v>
      </c>
      <c r="AJ12" s="265"/>
      <c r="AK12" s="266"/>
      <c r="AL12" s="266"/>
      <c r="AM12" s="266"/>
      <c r="AN12" s="271"/>
      <c r="AO12" s="268"/>
      <c r="AP12" s="269"/>
      <c r="AQ12" s="270">
        <v>4</v>
      </c>
      <c r="AR12" s="272"/>
      <c r="AS12" s="268"/>
      <c r="AT12" s="268"/>
      <c r="AU12" s="268"/>
      <c r="AV12" s="273"/>
      <c r="AW12" s="268"/>
      <c r="AX12" s="269"/>
      <c r="AY12" s="28"/>
      <c r="AZ12" s="19">
        <f>IF(COUNT(AJ12:AP12,AB12:AH12,T12:Z12,L12:R12,D12:J12)=0,AZ11,AVERAGE(AVERAGE(D12:J12),AVERAGE(L12:R12),AVERAGE(T12:Z12),AVERAGE(AB12:AH12),AVERAGE(AJ12:AP12)))</f>
        <v>37.232000000000006</v>
      </c>
      <c r="BA12" s="227">
        <f t="shared" si="1"/>
        <v>4</v>
      </c>
      <c r="BB12" s="173"/>
      <c r="BC12" s="173"/>
      <c r="BD12" s="173"/>
      <c r="BE12" s="173"/>
      <c r="BF12" s="173"/>
      <c r="BG12" s="173"/>
      <c r="BH12" s="173"/>
      <c r="BI12" s="173"/>
      <c r="BJ12" s="173"/>
      <c r="BK12" s="173"/>
      <c r="BL12" s="173"/>
      <c r="BM12" s="173"/>
      <c r="BN12" s="173"/>
      <c r="BO12" s="248">
        <f t="shared" si="2"/>
        <v>222</v>
      </c>
      <c r="BP12" s="319">
        <v>40693</v>
      </c>
      <c r="BQ12" s="324">
        <v>150</v>
      </c>
      <c r="BR12" s="358">
        <v>37.767999999999994</v>
      </c>
      <c r="BS12" s="358">
        <v>2.6</v>
      </c>
      <c r="BT12" s="319">
        <v>40333</v>
      </c>
      <c r="BU12" s="324">
        <v>155</v>
      </c>
      <c r="BV12" s="358">
        <v>46.965142857142851</v>
      </c>
      <c r="BW12" s="358">
        <v>3</v>
      </c>
      <c r="BX12" s="319">
        <v>39962</v>
      </c>
      <c r="BY12" s="217">
        <v>149</v>
      </c>
      <c r="BZ12" s="219">
        <v>41.736000000000004</v>
      </c>
      <c r="CA12" s="262">
        <v>3</v>
      </c>
      <c r="CB12" s="319">
        <v>39591</v>
      </c>
      <c r="CC12" s="217">
        <v>144</v>
      </c>
      <c r="CD12" s="219">
        <v>26.28</v>
      </c>
      <c r="CE12" s="253">
        <v>3</v>
      </c>
      <c r="CF12" s="321">
        <v>39206</v>
      </c>
      <c r="CG12" s="217">
        <v>124</v>
      </c>
      <c r="CH12" s="211">
        <v>13.544</v>
      </c>
      <c r="CI12" s="262">
        <v>1.2</v>
      </c>
      <c r="CJ12" s="319">
        <v>38854</v>
      </c>
      <c r="CK12" s="217">
        <v>137</v>
      </c>
      <c r="CL12" s="219">
        <v>27.16</v>
      </c>
      <c r="CM12" s="258">
        <v>2</v>
      </c>
      <c r="CN12" s="173"/>
      <c r="CO12" s="173"/>
      <c r="CP12" s="173"/>
      <c r="CQ12" s="173"/>
      <c r="CR12" s="173"/>
      <c r="CS12" s="173"/>
      <c r="CT12" s="173"/>
      <c r="CU12" s="173"/>
    </row>
    <row r="13" spans="1:99" s="4" customFormat="1">
      <c r="A13" s="16" t="s">
        <v>30</v>
      </c>
      <c r="B13" s="21">
        <v>41127</v>
      </c>
      <c r="C13" s="22" t="s">
        <v>92</v>
      </c>
      <c r="D13" s="265"/>
      <c r="E13" s="266"/>
      <c r="F13" s="266"/>
      <c r="G13" s="266"/>
      <c r="H13" s="267"/>
      <c r="I13" s="268"/>
      <c r="J13" s="269"/>
      <c r="K13" s="270">
        <v>4</v>
      </c>
      <c r="L13" s="265"/>
      <c r="M13" s="266"/>
      <c r="N13" s="266"/>
      <c r="O13" s="266"/>
      <c r="P13" s="271"/>
      <c r="Q13" s="268"/>
      <c r="R13" s="269"/>
      <c r="S13" s="270">
        <v>4</v>
      </c>
      <c r="T13" s="265"/>
      <c r="U13" s="266"/>
      <c r="V13" s="266"/>
      <c r="W13" s="266"/>
      <c r="X13" s="271"/>
      <c r="Y13" s="268"/>
      <c r="Z13" s="269"/>
      <c r="AA13" s="270">
        <v>4</v>
      </c>
      <c r="AB13" s="265"/>
      <c r="AC13" s="266"/>
      <c r="AD13" s="266"/>
      <c r="AE13" s="266"/>
      <c r="AF13" s="271"/>
      <c r="AG13" s="268"/>
      <c r="AH13" s="269"/>
      <c r="AI13" s="270">
        <v>4</v>
      </c>
      <c r="AJ13" s="265"/>
      <c r="AK13" s="266"/>
      <c r="AL13" s="266"/>
      <c r="AM13" s="266"/>
      <c r="AN13" s="271"/>
      <c r="AO13" s="268"/>
      <c r="AP13" s="269"/>
      <c r="AQ13" s="270">
        <v>4</v>
      </c>
      <c r="AR13" s="272"/>
      <c r="AS13" s="268"/>
      <c r="AT13" s="268"/>
      <c r="AU13" s="268"/>
      <c r="AV13" s="273"/>
      <c r="AW13" s="268"/>
      <c r="AX13" s="269"/>
      <c r="AY13" s="28"/>
      <c r="AZ13" s="19">
        <f t="shared" ref="AZ13:AZ76" si="3">IF(COUNT(AJ13:AP13,AB13:AH13,T13:Z13,L13:R13,D13:J13)=0,AZ12,AVERAGE(AVERAGE(D13:J13),AVERAGE(L13:R13),AVERAGE(T13:Z13),AVERAGE(AB13:AH13),AVERAGE(AJ13:AP13)))</f>
        <v>37.232000000000006</v>
      </c>
      <c r="BA13" s="227">
        <f t="shared" si="1"/>
        <v>4</v>
      </c>
      <c r="BB13" s="173"/>
      <c r="BC13" s="173"/>
      <c r="BD13" s="173"/>
      <c r="BE13" s="173"/>
      <c r="BF13" s="173"/>
      <c r="BG13" s="173"/>
      <c r="BH13" s="173"/>
      <c r="BI13" s="173"/>
      <c r="BJ13" s="173"/>
      <c r="BK13" s="173"/>
      <c r="BL13" s="173"/>
      <c r="BM13" s="173"/>
      <c r="BN13" s="173"/>
      <c r="BO13" s="248">
        <f t="shared" si="2"/>
        <v>219</v>
      </c>
      <c r="BP13" s="319">
        <v>40701</v>
      </c>
      <c r="BQ13" s="324">
        <v>158</v>
      </c>
      <c r="BR13" s="358"/>
      <c r="BS13" s="358">
        <v>3</v>
      </c>
      <c r="BT13" s="319">
        <v>40340</v>
      </c>
      <c r="BU13" s="324">
        <v>162</v>
      </c>
      <c r="BV13" s="358">
        <v>49.19714285714285</v>
      </c>
      <c r="BW13" s="358">
        <v>3</v>
      </c>
      <c r="BX13" s="319">
        <v>39968</v>
      </c>
      <c r="BY13" s="217">
        <v>155</v>
      </c>
      <c r="BZ13" s="219">
        <v>43.16571428571428</v>
      </c>
      <c r="CA13" s="262">
        <v>3</v>
      </c>
      <c r="CB13" s="319">
        <v>39598</v>
      </c>
      <c r="CC13" s="217">
        <v>151</v>
      </c>
      <c r="CD13" s="219">
        <v>30.762700617283951</v>
      </c>
      <c r="CE13" s="253">
        <v>3</v>
      </c>
      <c r="CF13" s="321">
        <v>39210</v>
      </c>
      <c r="CG13" s="217">
        <v>128</v>
      </c>
      <c r="CH13" s="211">
        <v>17.560000000000002</v>
      </c>
      <c r="CI13" s="262">
        <v>2</v>
      </c>
      <c r="CJ13" s="319">
        <v>38856</v>
      </c>
      <c r="CK13" s="217">
        <v>139</v>
      </c>
      <c r="CL13" s="219">
        <v>27.529333333333341</v>
      </c>
      <c r="CM13" s="258">
        <v>2</v>
      </c>
      <c r="CN13" s="173"/>
      <c r="CO13" s="173"/>
      <c r="CP13" s="173"/>
      <c r="CQ13" s="173"/>
      <c r="CR13" s="173"/>
      <c r="CS13" s="173"/>
      <c r="CT13" s="173"/>
      <c r="CU13" s="173"/>
    </row>
    <row r="14" spans="1:99" s="4" customFormat="1">
      <c r="A14" s="16" t="s">
        <v>30</v>
      </c>
      <c r="B14" s="21">
        <v>41145</v>
      </c>
      <c r="C14" s="22" t="s">
        <v>74</v>
      </c>
      <c r="D14" s="265"/>
      <c r="E14" s="266"/>
      <c r="F14" s="266"/>
      <c r="G14" s="266"/>
      <c r="H14" s="267"/>
      <c r="I14" s="268"/>
      <c r="J14" s="269"/>
      <c r="K14" s="270">
        <v>4</v>
      </c>
      <c r="L14" s="265"/>
      <c r="M14" s="266"/>
      <c r="N14" s="266"/>
      <c r="O14" s="266"/>
      <c r="P14" s="271"/>
      <c r="Q14" s="268"/>
      <c r="R14" s="269"/>
      <c r="S14" s="270">
        <v>4</v>
      </c>
      <c r="T14" s="265"/>
      <c r="U14" s="266"/>
      <c r="V14" s="266"/>
      <c r="W14" s="266"/>
      <c r="X14" s="271"/>
      <c r="Y14" s="268"/>
      <c r="Z14" s="269"/>
      <c r="AA14" s="270">
        <v>4</v>
      </c>
      <c r="AB14" s="265"/>
      <c r="AC14" s="266"/>
      <c r="AD14" s="266"/>
      <c r="AE14" s="266"/>
      <c r="AF14" s="271"/>
      <c r="AG14" s="268"/>
      <c r="AH14" s="269"/>
      <c r="AI14" s="270">
        <v>4</v>
      </c>
      <c r="AJ14" s="265"/>
      <c r="AK14" s="266"/>
      <c r="AL14" s="266"/>
      <c r="AM14" s="266"/>
      <c r="AN14" s="271"/>
      <c r="AO14" s="268"/>
      <c r="AP14" s="269"/>
      <c r="AQ14" s="270">
        <v>4</v>
      </c>
      <c r="AR14" s="272"/>
      <c r="AS14" s="268"/>
      <c r="AT14" s="268"/>
      <c r="AU14" s="268"/>
      <c r="AV14" s="273"/>
      <c r="AW14" s="268"/>
      <c r="AX14" s="269"/>
      <c r="AY14" s="28"/>
      <c r="AZ14" s="19">
        <f t="shared" si="3"/>
        <v>37.232000000000006</v>
      </c>
      <c r="BA14" s="227">
        <f t="shared" si="1"/>
        <v>4</v>
      </c>
      <c r="BB14" s="173"/>
      <c r="BC14" s="173"/>
      <c r="BD14" s="173"/>
      <c r="BE14" s="173"/>
      <c r="BF14" s="173"/>
      <c r="BG14" s="173"/>
      <c r="BH14" s="173"/>
      <c r="BI14" s="173"/>
      <c r="BJ14" s="173"/>
      <c r="BK14" s="173"/>
      <c r="BL14" s="173"/>
      <c r="BM14" s="173"/>
      <c r="BN14" s="173"/>
      <c r="BO14" s="248">
        <f t="shared" si="2"/>
        <v>237</v>
      </c>
      <c r="BP14" s="319"/>
      <c r="BQ14" s="324">
        <v>158</v>
      </c>
      <c r="BR14" s="358"/>
      <c r="BS14" s="358">
        <v>3</v>
      </c>
      <c r="BT14" s="319">
        <v>40351</v>
      </c>
      <c r="BU14" s="324">
        <v>173</v>
      </c>
      <c r="BV14" s="358">
        <v>48.569714285714284</v>
      </c>
      <c r="BW14" s="358">
        <v>3</v>
      </c>
      <c r="BX14" s="319">
        <v>39976</v>
      </c>
      <c r="BY14" s="217">
        <v>163</v>
      </c>
      <c r="BZ14" s="219">
        <v>43.416000000000004</v>
      </c>
      <c r="CA14" s="262">
        <v>3</v>
      </c>
      <c r="CB14" s="319">
        <v>39618</v>
      </c>
      <c r="CC14" s="217">
        <v>171</v>
      </c>
      <c r="CD14" s="219">
        <v>43.570416666666667</v>
      </c>
      <c r="CE14" s="253">
        <v>3</v>
      </c>
      <c r="CF14" s="321">
        <v>39213</v>
      </c>
      <c r="CG14" s="217">
        <v>131</v>
      </c>
      <c r="CH14" s="211">
        <v>18.763999999999999</v>
      </c>
      <c r="CI14" s="262">
        <v>2</v>
      </c>
      <c r="CJ14" s="319">
        <v>38859</v>
      </c>
      <c r="CK14" s="217">
        <v>142</v>
      </c>
      <c r="CL14" s="219">
        <v>31.693333333333335</v>
      </c>
      <c r="CM14" s="258">
        <v>3</v>
      </c>
      <c r="CN14" s="173"/>
      <c r="CO14" s="173"/>
      <c r="CP14" s="173"/>
      <c r="CQ14" s="173"/>
      <c r="CR14" s="173"/>
      <c r="CS14" s="173"/>
      <c r="CT14" s="173"/>
      <c r="CU14" s="173"/>
    </row>
    <row r="15" spans="1:99" s="4" customFormat="1">
      <c r="A15" s="16" t="s">
        <v>30</v>
      </c>
      <c r="B15" s="21">
        <v>41152</v>
      </c>
      <c r="C15" s="22" t="s">
        <v>97</v>
      </c>
      <c r="D15" s="265"/>
      <c r="E15" s="266"/>
      <c r="F15" s="266"/>
      <c r="G15" s="266"/>
      <c r="H15" s="267"/>
      <c r="I15" s="268"/>
      <c r="J15" s="269"/>
      <c r="K15" s="270">
        <v>4</v>
      </c>
      <c r="L15" s="265"/>
      <c r="M15" s="266"/>
      <c r="N15" s="266"/>
      <c r="O15" s="266"/>
      <c r="P15" s="271"/>
      <c r="Q15" s="268"/>
      <c r="R15" s="269"/>
      <c r="S15" s="270">
        <v>4</v>
      </c>
      <c r="T15" s="265"/>
      <c r="U15" s="266"/>
      <c r="V15" s="266"/>
      <c r="W15" s="266"/>
      <c r="X15" s="271"/>
      <c r="Y15" s="268"/>
      <c r="Z15" s="269"/>
      <c r="AA15" s="270">
        <v>4</v>
      </c>
      <c r="AB15" s="265"/>
      <c r="AC15" s="266"/>
      <c r="AD15" s="266"/>
      <c r="AE15" s="266"/>
      <c r="AF15" s="271"/>
      <c r="AG15" s="268"/>
      <c r="AH15" s="269"/>
      <c r="AI15" s="270">
        <v>4</v>
      </c>
      <c r="AJ15" s="265"/>
      <c r="AK15" s="266"/>
      <c r="AL15" s="266"/>
      <c r="AM15" s="266"/>
      <c r="AN15" s="271"/>
      <c r="AO15" s="268"/>
      <c r="AP15" s="269"/>
      <c r="AQ15" s="270">
        <v>4</v>
      </c>
      <c r="AR15" s="272"/>
      <c r="AS15" s="268"/>
      <c r="AT15" s="268"/>
      <c r="AU15" s="268"/>
      <c r="AV15" s="273"/>
      <c r="AW15" s="268"/>
      <c r="AX15" s="269"/>
      <c r="AY15" s="28"/>
      <c r="AZ15" s="19">
        <f t="shared" si="3"/>
        <v>37.232000000000006</v>
      </c>
      <c r="BA15" s="227">
        <f t="shared" si="1"/>
        <v>4</v>
      </c>
      <c r="BB15" s="173"/>
      <c r="BC15" s="173"/>
      <c r="BD15" s="173"/>
      <c r="BE15" s="173"/>
      <c r="BF15" s="173"/>
      <c r="BG15" s="173"/>
      <c r="BH15" s="173"/>
      <c r="BI15" s="173"/>
      <c r="BJ15" s="173"/>
      <c r="BK15" s="173"/>
      <c r="BL15" s="173"/>
      <c r="BM15" s="173"/>
      <c r="BN15" s="173"/>
      <c r="BO15" s="248">
        <f t="shared" si="2"/>
        <v>244</v>
      </c>
      <c r="BP15" s="319"/>
      <c r="BQ15" s="324">
        <v>158</v>
      </c>
      <c r="BR15" s="358"/>
      <c r="BS15" s="358">
        <v>3</v>
      </c>
      <c r="BT15" s="319">
        <v>40361</v>
      </c>
      <c r="BU15" s="324">
        <v>183</v>
      </c>
      <c r="BV15" s="358">
        <v>47.342285714285715</v>
      </c>
      <c r="BW15" s="358">
        <v>3</v>
      </c>
      <c r="BX15" s="319">
        <v>39982</v>
      </c>
      <c r="BY15" s="217">
        <v>169</v>
      </c>
      <c r="BZ15" s="219">
        <v>41.918285714285709</v>
      </c>
      <c r="CA15" s="262">
        <v>3</v>
      </c>
      <c r="CB15" s="319">
        <v>39626</v>
      </c>
      <c r="CC15" s="217">
        <v>179</v>
      </c>
      <c r="CD15" s="219"/>
      <c r="CE15" s="253">
        <v>3</v>
      </c>
      <c r="CF15" s="321">
        <v>39217</v>
      </c>
      <c r="CG15" s="217">
        <v>135</v>
      </c>
      <c r="CH15" s="211">
        <v>21.556000000000001</v>
      </c>
      <c r="CI15" s="262">
        <v>2</v>
      </c>
      <c r="CJ15" s="319">
        <v>38861</v>
      </c>
      <c r="CK15" s="217">
        <v>144</v>
      </c>
      <c r="CL15" s="219">
        <v>35.212000000000003</v>
      </c>
      <c r="CM15" s="258">
        <v>3</v>
      </c>
      <c r="CN15" s="173"/>
      <c r="CO15" s="173"/>
      <c r="CP15" s="173"/>
      <c r="CQ15" s="173"/>
      <c r="CR15" s="173"/>
      <c r="CS15" s="173"/>
      <c r="CT15" s="173"/>
      <c r="CU15" s="173"/>
    </row>
    <row r="16" spans="1:99" s="4" customFormat="1">
      <c r="A16" s="16" t="s">
        <v>30</v>
      </c>
      <c r="B16" s="21">
        <v>41159</v>
      </c>
      <c r="C16" s="22" t="s">
        <v>73</v>
      </c>
      <c r="D16" s="265"/>
      <c r="E16" s="266"/>
      <c r="F16" s="266"/>
      <c r="G16" s="266"/>
      <c r="H16" s="267"/>
      <c r="I16" s="268"/>
      <c r="J16" s="269"/>
      <c r="K16" s="270">
        <v>5</v>
      </c>
      <c r="L16" s="265"/>
      <c r="M16" s="266"/>
      <c r="N16" s="266"/>
      <c r="O16" s="266"/>
      <c r="P16" s="271"/>
      <c r="Q16" s="268"/>
      <c r="R16" s="269"/>
      <c r="S16" s="270">
        <v>5</v>
      </c>
      <c r="T16" s="265"/>
      <c r="U16" s="266"/>
      <c r="V16" s="266"/>
      <c r="W16" s="266"/>
      <c r="X16" s="271"/>
      <c r="Y16" s="268"/>
      <c r="Z16" s="269"/>
      <c r="AA16" s="270">
        <v>4</v>
      </c>
      <c r="AB16" s="265"/>
      <c r="AC16" s="266"/>
      <c r="AD16" s="266"/>
      <c r="AE16" s="266"/>
      <c r="AF16" s="271"/>
      <c r="AG16" s="268"/>
      <c r="AH16" s="269"/>
      <c r="AI16" s="270">
        <v>5</v>
      </c>
      <c r="AJ16" s="265"/>
      <c r="AK16" s="266"/>
      <c r="AL16" s="266"/>
      <c r="AM16" s="266"/>
      <c r="AN16" s="271"/>
      <c r="AO16" s="268"/>
      <c r="AP16" s="269"/>
      <c r="AQ16" s="270">
        <v>5</v>
      </c>
      <c r="AR16" s="272"/>
      <c r="AS16" s="268"/>
      <c r="AT16" s="268"/>
      <c r="AU16" s="268"/>
      <c r="AV16" s="273"/>
      <c r="AW16" s="268"/>
      <c r="AX16" s="269"/>
      <c r="AY16" s="28"/>
      <c r="AZ16" s="19">
        <f t="shared" si="3"/>
        <v>37.232000000000006</v>
      </c>
      <c r="BA16" s="227">
        <f t="shared" si="1"/>
        <v>4.8</v>
      </c>
      <c r="BB16" s="173"/>
      <c r="BC16" s="173"/>
      <c r="BD16" s="173"/>
      <c r="BE16" s="173"/>
      <c r="BF16" s="173"/>
      <c r="BG16" s="173"/>
      <c r="BH16" s="173"/>
      <c r="BI16" s="173"/>
      <c r="BJ16" s="173"/>
      <c r="BK16" s="173"/>
      <c r="BL16" s="173"/>
      <c r="BM16" s="173"/>
      <c r="BN16" s="173"/>
      <c r="BO16" s="248">
        <f t="shared" si="2"/>
        <v>251</v>
      </c>
      <c r="BP16" s="319"/>
      <c r="BQ16" s="324">
        <v>158</v>
      </c>
      <c r="BR16" s="358"/>
      <c r="BS16" s="358">
        <v>3</v>
      </c>
      <c r="BT16" s="319">
        <v>40403</v>
      </c>
      <c r="BU16" s="324">
        <v>225</v>
      </c>
      <c r="BV16" s="358">
        <v>47.342285714285715</v>
      </c>
      <c r="BW16" s="358">
        <v>4</v>
      </c>
      <c r="BX16" s="319">
        <v>39989</v>
      </c>
      <c r="BY16" s="217">
        <v>176</v>
      </c>
      <c r="BZ16" s="219">
        <v>45.794047619047618</v>
      </c>
      <c r="CA16" s="262">
        <v>3</v>
      </c>
      <c r="CB16" s="319">
        <v>39636</v>
      </c>
      <c r="CC16" s="217">
        <v>189</v>
      </c>
      <c r="CD16" s="219"/>
      <c r="CE16" s="253">
        <v>3</v>
      </c>
      <c r="CF16" s="321">
        <v>39220</v>
      </c>
      <c r="CG16" s="217">
        <v>138</v>
      </c>
      <c r="CH16" s="211">
        <v>23.687999999999999</v>
      </c>
      <c r="CI16" s="262">
        <v>3</v>
      </c>
      <c r="CJ16" s="319">
        <v>38863</v>
      </c>
      <c r="CK16" s="217">
        <v>146</v>
      </c>
      <c r="CL16" s="219">
        <v>36.840000000000003</v>
      </c>
      <c r="CM16" s="258">
        <v>3</v>
      </c>
      <c r="CN16" s="173"/>
      <c r="CO16" s="173"/>
      <c r="CP16" s="173"/>
      <c r="CQ16" s="173"/>
      <c r="CR16" s="173"/>
      <c r="CS16" s="173"/>
      <c r="CT16" s="173"/>
      <c r="CU16" s="173"/>
    </row>
    <row r="17" spans="1:99" s="4" customFormat="1">
      <c r="A17" s="16" t="s">
        <v>30</v>
      </c>
      <c r="B17" s="21">
        <v>41166</v>
      </c>
      <c r="C17" s="22" t="s">
        <v>73</v>
      </c>
      <c r="D17" s="265"/>
      <c r="E17" s="266"/>
      <c r="F17" s="266"/>
      <c r="G17" s="266"/>
      <c r="H17" s="267"/>
      <c r="I17" s="268"/>
      <c r="J17" s="269"/>
      <c r="K17" s="270">
        <v>5</v>
      </c>
      <c r="L17" s="265"/>
      <c r="M17" s="266"/>
      <c r="N17" s="266"/>
      <c r="O17" s="266"/>
      <c r="P17" s="271"/>
      <c r="Q17" s="268"/>
      <c r="R17" s="269"/>
      <c r="S17" s="270">
        <v>5</v>
      </c>
      <c r="T17" s="265"/>
      <c r="U17" s="266"/>
      <c r="V17" s="266"/>
      <c r="W17" s="266"/>
      <c r="X17" s="271"/>
      <c r="Y17" s="268"/>
      <c r="Z17" s="269"/>
      <c r="AA17" s="270">
        <v>5</v>
      </c>
      <c r="AB17" s="265"/>
      <c r="AC17" s="266"/>
      <c r="AD17" s="266"/>
      <c r="AE17" s="266"/>
      <c r="AF17" s="271"/>
      <c r="AG17" s="268"/>
      <c r="AH17" s="269"/>
      <c r="AI17" s="270">
        <v>5</v>
      </c>
      <c r="AJ17" s="265"/>
      <c r="AK17" s="266"/>
      <c r="AL17" s="266"/>
      <c r="AM17" s="266"/>
      <c r="AN17" s="271"/>
      <c r="AO17" s="268"/>
      <c r="AP17" s="269"/>
      <c r="AQ17" s="270">
        <v>5</v>
      </c>
      <c r="AR17" s="272"/>
      <c r="AS17" s="268"/>
      <c r="AT17" s="268"/>
      <c r="AU17" s="268"/>
      <c r="AV17" s="273"/>
      <c r="AW17" s="268"/>
      <c r="AX17" s="269"/>
      <c r="AY17" s="28"/>
      <c r="AZ17" s="19">
        <f t="shared" si="3"/>
        <v>37.232000000000006</v>
      </c>
      <c r="BA17" s="227">
        <f t="shared" si="1"/>
        <v>5</v>
      </c>
      <c r="BB17" s="173"/>
      <c r="BC17" s="173"/>
      <c r="BD17" s="173"/>
      <c r="BE17" s="173"/>
      <c r="BF17" s="173"/>
      <c r="BG17" s="173"/>
      <c r="BH17" s="173"/>
      <c r="BI17" s="173"/>
      <c r="BJ17" s="173"/>
      <c r="BK17" s="173"/>
      <c r="BL17" s="173"/>
      <c r="BM17" s="173"/>
      <c r="BN17" s="173"/>
      <c r="BO17" s="248">
        <f t="shared" si="2"/>
        <v>258</v>
      </c>
      <c r="BP17" s="319"/>
      <c r="BQ17" s="324">
        <v>158</v>
      </c>
      <c r="BR17" s="358"/>
      <c r="BS17" s="358">
        <v>3</v>
      </c>
      <c r="BT17" s="319">
        <v>40424</v>
      </c>
      <c r="BU17" s="324">
        <v>246</v>
      </c>
      <c r="BV17" s="358">
        <v>47.342285714285715</v>
      </c>
      <c r="BW17" s="358">
        <v>4</v>
      </c>
      <c r="BX17" s="319">
        <v>39997</v>
      </c>
      <c r="BY17" s="217">
        <v>184</v>
      </c>
      <c r="BZ17" s="219">
        <v>45.881904761904757</v>
      </c>
      <c r="CA17" s="262">
        <v>3</v>
      </c>
      <c r="CB17" s="319">
        <v>39682</v>
      </c>
      <c r="CC17" s="217">
        <v>235</v>
      </c>
      <c r="CD17" s="219"/>
      <c r="CE17" s="253">
        <v>4</v>
      </c>
      <c r="CF17" s="321">
        <v>39318</v>
      </c>
      <c r="CG17" s="217">
        <v>236</v>
      </c>
      <c r="CH17" s="211"/>
      <c r="CI17" s="262">
        <v>4</v>
      </c>
      <c r="CJ17" s="319">
        <v>38866</v>
      </c>
      <c r="CK17" s="217">
        <v>149</v>
      </c>
      <c r="CL17" s="219">
        <v>39.996000000000002</v>
      </c>
      <c r="CM17" s="258">
        <v>3</v>
      </c>
      <c r="CN17" s="173"/>
      <c r="CO17" s="173"/>
      <c r="CP17" s="173"/>
      <c r="CQ17" s="173"/>
      <c r="CR17" s="173"/>
      <c r="CS17" s="173"/>
      <c r="CT17" s="173"/>
      <c r="CU17" s="173"/>
    </row>
    <row r="18" spans="1:99" s="4" customFormat="1">
      <c r="A18" s="16" t="s">
        <v>30</v>
      </c>
      <c r="B18" s="21">
        <v>41172</v>
      </c>
      <c r="C18" s="22" t="s">
        <v>73</v>
      </c>
      <c r="D18" s="265"/>
      <c r="E18" s="266"/>
      <c r="F18" s="266"/>
      <c r="G18" s="266"/>
      <c r="H18" s="267"/>
      <c r="I18" s="268"/>
      <c r="J18" s="269"/>
      <c r="K18" s="270">
        <v>6</v>
      </c>
      <c r="L18" s="265"/>
      <c r="M18" s="266"/>
      <c r="N18" s="266"/>
      <c r="O18" s="266"/>
      <c r="P18" s="271"/>
      <c r="Q18" s="268"/>
      <c r="R18" s="269"/>
      <c r="S18" s="270">
        <v>5</v>
      </c>
      <c r="T18" s="265"/>
      <c r="U18" s="266"/>
      <c r="V18" s="266"/>
      <c r="W18" s="266"/>
      <c r="X18" s="271"/>
      <c r="Y18" s="268"/>
      <c r="Z18" s="269"/>
      <c r="AA18" s="270">
        <v>5</v>
      </c>
      <c r="AB18" s="265"/>
      <c r="AC18" s="266"/>
      <c r="AD18" s="266"/>
      <c r="AE18" s="266"/>
      <c r="AF18" s="271"/>
      <c r="AG18" s="268"/>
      <c r="AH18" s="269"/>
      <c r="AI18" s="270">
        <v>6</v>
      </c>
      <c r="AJ18" s="265"/>
      <c r="AK18" s="266"/>
      <c r="AL18" s="266"/>
      <c r="AM18" s="266"/>
      <c r="AN18" s="271"/>
      <c r="AO18" s="268"/>
      <c r="AP18" s="269"/>
      <c r="AQ18" s="270">
        <v>6</v>
      </c>
      <c r="AR18" s="272"/>
      <c r="AS18" s="268"/>
      <c r="AT18" s="268"/>
      <c r="AU18" s="268"/>
      <c r="AV18" s="273"/>
      <c r="AW18" s="268"/>
      <c r="AX18" s="269"/>
      <c r="AY18" s="28"/>
      <c r="AZ18" s="19">
        <f t="shared" si="3"/>
        <v>37.232000000000006</v>
      </c>
      <c r="BA18" s="227">
        <f t="shared" si="1"/>
        <v>5.6</v>
      </c>
      <c r="BB18" s="173"/>
      <c r="BC18" s="173"/>
      <c r="BD18" s="173"/>
      <c r="BE18" s="173"/>
      <c r="BF18" s="173"/>
      <c r="BG18" s="173"/>
      <c r="BH18" s="173"/>
      <c r="BI18" s="173"/>
      <c r="BJ18" s="173"/>
      <c r="BK18" s="173"/>
      <c r="BL18" s="173"/>
      <c r="BM18" s="173"/>
      <c r="BN18" s="173"/>
      <c r="BO18" s="248">
        <f t="shared" si="2"/>
        <v>264</v>
      </c>
      <c r="BP18" s="319"/>
      <c r="BQ18" s="324">
        <v>158</v>
      </c>
      <c r="BR18" s="358"/>
      <c r="BS18" s="358">
        <v>3</v>
      </c>
      <c r="BT18" s="319">
        <v>40431</v>
      </c>
      <c r="BU18" s="324">
        <v>253</v>
      </c>
      <c r="BV18" s="358">
        <v>47.342285714285715</v>
      </c>
      <c r="BW18" s="358">
        <v>4</v>
      </c>
      <c r="BX18" s="319">
        <v>40003</v>
      </c>
      <c r="BY18" s="217">
        <v>190</v>
      </c>
      <c r="BZ18" s="219">
        <v>46.390042857142859</v>
      </c>
      <c r="CA18" s="262">
        <v>3</v>
      </c>
      <c r="CB18" s="319">
        <v>39689</v>
      </c>
      <c r="CC18" s="217">
        <v>242</v>
      </c>
      <c r="CD18" s="219"/>
      <c r="CE18" s="253">
        <v>4</v>
      </c>
      <c r="CF18" s="321">
        <v>39325</v>
      </c>
      <c r="CG18" s="217">
        <v>243</v>
      </c>
      <c r="CH18" s="211"/>
      <c r="CI18" s="262">
        <v>4</v>
      </c>
      <c r="CJ18" s="319">
        <v>38868</v>
      </c>
      <c r="CK18" s="217">
        <v>151</v>
      </c>
      <c r="CL18" s="219">
        <v>41.750666666666667</v>
      </c>
      <c r="CM18" s="258">
        <v>3</v>
      </c>
      <c r="CN18" s="173"/>
      <c r="CO18" s="173"/>
      <c r="CP18" s="173"/>
      <c r="CQ18" s="173"/>
      <c r="CR18" s="173"/>
      <c r="CS18" s="173"/>
      <c r="CT18" s="173"/>
      <c r="CU18" s="173"/>
    </row>
    <row r="19" spans="1:99" s="4" customFormat="1">
      <c r="A19" s="16" t="s">
        <v>30</v>
      </c>
      <c r="B19" s="21">
        <v>41180</v>
      </c>
      <c r="C19" s="22" t="s">
        <v>73</v>
      </c>
      <c r="D19" s="265"/>
      <c r="E19" s="266"/>
      <c r="F19" s="266"/>
      <c r="G19" s="266"/>
      <c r="H19" s="267"/>
      <c r="I19" s="268"/>
      <c r="J19" s="269"/>
      <c r="K19" s="270">
        <v>6</v>
      </c>
      <c r="L19" s="265"/>
      <c r="M19" s="266"/>
      <c r="N19" s="266"/>
      <c r="O19" s="266"/>
      <c r="P19" s="271"/>
      <c r="Q19" s="268"/>
      <c r="R19" s="269"/>
      <c r="S19" s="270">
        <v>6</v>
      </c>
      <c r="T19" s="265"/>
      <c r="U19" s="266"/>
      <c r="V19" s="266"/>
      <c r="W19" s="266"/>
      <c r="X19" s="271"/>
      <c r="Y19" s="268"/>
      <c r="Z19" s="269"/>
      <c r="AA19" s="270">
        <v>6</v>
      </c>
      <c r="AB19" s="265"/>
      <c r="AC19" s="266"/>
      <c r="AD19" s="266"/>
      <c r="AE19" s="266"/>
      <c r="AF19" s="271"/>
      <c r="AG19" s="268"/>
      <c r="AH19" s="269"/>
      <c r="AI19" s="270">
        <v>6</v>
      </c>
      <c r="AJ19" s="265"/>
      <c r="AK19" s="266"/>
      <c r="AL19" s="266"/>
      <c r="AM19" s="266"/>
      <c r="AN19" s="271"/>
      <c r="AO19" s="268"/>
      <c r="AP19" s="269"/>
      <c r="AQ19" s="270">
        <v>6</v>
      </c>
      <c r="AR19" s="272"/>
      <c r="AS19" s="268"/>
      <c r="AT19" s="268"/>
      <c r="AU19" s="268"/>
      <c r="AV19" s="273"/>
      <c r="AW19" s="268"/>
      <c r="AX19" s="269"/>
      <c r="AY19" s="28"/>
      <c r="AZ19" s="316">
        <f t="shared" si="3"/>
        <v>37.232000000000006</v>
      </c>
      <c r="BA19" s="227">
        <f t="shared" si="1"/>
        <v>6</v>
      </c>
      <c r="BB19" s="173"/>
      <c r="BC19" s="173"/>
      <c r="BD19" s="173"/>
      <c r="BE19" s="173"/>
      <c r="BF19" s="173"/>
      <c r="BG19" s="173"/>
      <c r="BH19" s="173"/>
      <c r="BI19" s="173"/>
      <c r="BJ19" s="173"/>
      <c r="BK19" s="173"/>
      <c r="BL19" s="173"/>
      <c r="BM19" s="173"/>
      <c r="BN19" s="173"/>
      <c r="BO19" s="248">
        <f t="shared" si="2"/>
        <v>272</v>
      </c>
      <c r="BP19" s="319"/>
      <c r="BQ19" s="324">
        <v>158</v>
      </c>
      <c r="BR19" s="358"/>
      <c r="BS19" s="358">
        <v>3</v>
      </c>
      <c r="BT19" s="319">
        <v>40438</v>
      </c>
      <c r="BU19" s="324">
        <v>260</v>
      </c>
      <c r="BV19" s="358"/>
      <c r="BW19" s="358">
        <v>4</v>
      </c>
      <c r="BX19" s="319">
        <v>40011</v>
      </c>
      <c r="BY19" s="217">
        <v>198</v>
      </c>
      <c r="BZ19" s="219"/>
      <c r="CA19" s="262">
        <v>3</v>
      </c>
      <c r="CB19" s="319">
        <v>39696</v>
      </c>
      <c r="CC19" s="217">
        <v>249</v>
      </c>
      <c r="CD19" s="219"/>
      <c r="CE19" s="253">
        <v>4</v>
      </c>
      <c r="CF19" s="321">
        <v>39332</v>
      </c>
      <c r="CG19" s="217">
        <v>250</v>
      </c>
      <c r="CH19" s="211"/>
      <c r="CI19" s="262">
        <v>4</v>
      </c>
      <c r="CJ19" s="319">
        <v>38870</v>
      </c>
      <c r="CK19" s="217">
        <v>153</v>
      </c>
      <c r="CL19" s="219">
        <v>43.306666666666665</v>
      </c>
      <c r="CM19" s="258">
        <v>3</v>
      </c>
      <c r="CN19" s="173"/>
      <c r="CO19" s="173"/>
      <c r="CP19" s="173"/>
      <c r="CQ19" s="173"/>
      <c r="CR19" s="173"/>
      <c r="CS19" s="173"/>
      <c r="CT19" s="173"/>
      <c r="CU19" s="173"/>
    </row>
    <row r="20" spans="1:99" s="4" customFormat="1">
      <c r="A20" s="16" t="s">
        <v>30</v>
      </c>
      <c r="B20" s="21">
        <v>41186</v>
      </c>
      <c r="C20" s="22" t="s">
        <v>73</v>
      </c>
      <c r="D20" s="265"/>
      <c r="E20" s="266"/>
      <c r="F20" s="266"/>
      <c r="G20" s="266"/>
      <c r="H20" s="267"/>
      <c r="I20" s="268"/>
      <c r="J20" s="269"/>
      <c r="K20" s="270">
        <v>6</v>
      </c>
      <c r="L20" s="265"/>
      <c r="M20" s="266"/>
      <c r="N20" s="266"/>
      <c r="O20" s="266"/>
      <c r="P20" s="271"/>
      <c r="Q20" s="268"/>
      <c r="R20" s="269"/>
      <c r="S20" s="270">
        <v>6</v>
      </c>
      <c r="T20" s="265"/>
      <c r="U20" s="266"/>
      <c r="V20" s="266"/>
      <c r="W20" s="266"/>
      <c r="X20" s="271"/>
      <c r="Y20" s="268"/>
      <c r="Z20" s="269"/>
      <c r="AA20" s="270">
        <v>6</v>
      </c>
      <c r="AB20" s="265"/>
      <c r="AC20" s="266"/>
      <c r="AD20" s="266"/>
      <c r="AE20" s="266"/>
      <c r="AF20" s="271"/>
      <c r="AG20" s="268"/>
      <c r="AH20" s="269"/>
      <c r="AI20" s="270">
        <v>6</v>
      </c>
      <c r="AJ20" s="265"/>
      <c r="AK20" s="266"/>
      <c r="AL20" s="266"/>
      <c r="AM20" s="266"/>
      <c r="AN20" s="271"/>
      <c r="AO20" s="268"/>
      <c r="AP20" s="269"/>
      <c r="AQ20" s="270">
        <v>6</v>
      </c>
      <c r="AR20" s="272"/>
      <c r="AS20" s="268"/>
      <c r="AT20" s="268"/>
      <c r="AU20" s="268"/>
      <c r="AV20" s="273"/>
      <c r="AW20" s="268"/>
      <c r="AX20" s="269"/>
      <c r="AY20" s="28"/>
      <c r="AZ20" s="316">
        <f t="shared" si="3"/>
        <v>37.232000000000006</v>
      </c>
      <c r="BA20" s="227">
        <f t="shared" si="1"/>
        <v>6</v>
      </c>
      <c r="BB20" s="173"/>
      <c r="BC20" s="173"/>
      <c r="BD20" s="173"/>
      <c r="BE20" s="173"/>
      <c r="BF20" s="173"/>
      <c r="BG20" s="173"/>
      <c r="BH20" s="173"/>
      <c r="BI20" s="173"/>
      <c r="BJ20" s="173"/>
      <c r="BK20" s="173"/>
      <c r="BL20" s="173"/>
      <c r="BM20" s="173"/>
      <c r="BN20" s="173"/>
      <c r="BO20" s="248">
        <f t="shared" si="2"/>
        <v>278</v>
      </c>
      <c r="BP20" s="319"/>
      <c r="BQ20" s="324">
        <v>158</v>
      </c>
      <c r="BR20" s="358"/>
      <c r="BS20" s="358">
        <v>3</v>
      </c>
      <c r="BT20" s="319">
        <v>40445</v>
      </c>
      <c r="BU20" s="324">
        <v>267</v>
      </c>
      <c r="BV20" s="358"/>
      <c r="BW20" s="358">
        <v>4.2</v>
      </c>
      <c r="BX20" s="319">
        <v>40035</v>
      </c>
      <c r="BY20" s="217">
        <v>222</v>
      </c>
      <c r="BZ20" s="219"/>
      <c r="CA20" s="262">
        <v>3.2</v>
      </c>
      <c r="CB20" s="319">
        <v>39706</v>
      </c>
      <c r="CC20" s="217">
        <v>259</v>
      </c>
      <c r="CD20" s="219"/>
      <c r="CE20" s="253">
        <v>4.5999999999999996</v>
      </c>
      <c r="CF20" s="321">
        <v>39339</v>
      </c>
      <c r="CG20" s="217">
        <v>257</v>
      </c>
      <c r="CH20" s="211"/>
      <c r="CI20" s="262">
        <v>4</v>
      </c>
      <c r="CJ20" s="319">
        <v>38873</v>
      </c>
      <c r="CK20" s="217">
        <v>156</v>
      </c>
      <c r="CL20" s="219">
        <v>45.247333333333337</v>
      </c>
      <c r="CM20" s="258">
        <v>3</v>
      </c>
      <c r="CN20" s="173"/>
      <c r="CO20" s="173"/>
      <c r="CP20" s="173"/>
      <c r="CQ20" s="173"/>
      <c r="CR20" s="173"/>
      <c r="CS20" s="173"/>
      <c r="CT20" s="173"/>
      <c r="CU20" s="173"/>
    </row>
    <row r="21" spans="1:99" s="4" customFormat="1">
      <c r="A21" s="16" t="s">
        <v>30</v>
      </c>
      <c r="B21" s="21">
        <v>41193</v>
      </c>
      <c r="C21" s="22" t="s">
        <v>73</v>
      </c>
      <c r="D21" s="265"/>
      <c r="E21" s="266"/>
      <c r="F21" s="266"/>
      <c r="G21" s="266"/>
      <c r="H21" s="267"/>
      <c r="I21" s="268"/>
      <c r="J21" s="269"/>
      <c r="K21" s="270">
        <v>7</v>
      </c>
      <c r="L21" s="265"/>
      <c r="M21" s="266"/>
      <c r="N21" s="266"/>
      <c r="O21" s="266"/>
      <c r="P21" s="271"/>
      <c r="Q21" s="268"/>
      <c r="R21" s="269"/>
      <c r="S21" s="270">
        <v>7</v>
      </c>
      <c r="T21" s="265"/>
      <c r="U21" s="266"/>
      <c r="V21" s="266"/>
      <c r="W21" s="266"/>
      <c r="X21" s="271"/>
      <c r="Y21" s="268"/>
      <c r="Z21" s="269"/>
      <c r="AA21" s="270">
        <v>7</v>
      </c>
      <c r="AB21" s="265"/>
      <c r="AC21" s="266"/>
      <c r="AD21" s="266"/>
      <c r="AE21" s="266"/>
      <c r="AF21" s="271"/>
      <c r="AG21" s="268"/>
      <c r="AH21" s="269"/>
      <c r="AI21" s="270">
        <v>7</v>
      </c>
      <c r="AJ21" s="265"/>
      <c r="AK21" s="266"/>
      <c r="AL21" s="266"/>
      <c r="AM21" s="266"/>
      <c r="AN21" s="271"/>
      <c r="AO21" s="268"/>
      <c r="AP21" s="269"/>
      <c r="AQ21" s="270">
        <v>7</v>
      </c>
      <c r="AR21" s="272"/>
      <c r="AS21" s="268"/>
      <c r="AT21" s="268"/>
      <c r="AU21" s="268"/>
      <c r="AV21" s="273"/>
      <c r="AW21" s="268"/>
      <c r="AX21" s="269"/>
      <c r="AY21" s="28"/>
      <c r="AZ21" s="316">
        <f t="shared" si="3"/>
        <v>37.232000000000006</v>
      </c>
      <c r="BA21" s="227">
        <f t="shared" si="1"/>
        <v>7</v>
      </c>
      <c r="BB21" s="173"/>
      <c r="BC21" s="173"/>
      <c r="BD21" s="173"/>
      <c r="BE21" s="173"/>
      <c r="BF21" s="173"/>
      <c r="BG21" s="173"/>
      <c r="BH21" s="173"/>
      <c r="BI21" s="173"/>
      <c r="BJ21" s="173"/>
      <c r="BK21" s="173"/>
      <c r="BL21" s="173"/>
      <c r="BM21" s="173"/>
      <c r="BN21" s="173"/>
      <c r="BO21" s="248">
        <f t="shared" si="2"/>
        <v>285</v>
      </c>
      <c r="BP21" s="319"/>
      <c r="BQ21" s="324">
        <v>158</v>
      </c>
      <c r="BR21" s="358"/>
      <c r="BS21" s="358">
        <v>3</v>
      </c>
      <c r="BT21" s="319">
        <v>40452</v>
      </c>
      <c r="BU21" s="324">
        <v>274</v>
      </c>
      <c r="BV21" s="358"/>
      <c r="BW21" s="358">
        <v>4.8</v>
      </c>
      <c r="BX21" s="319">
        <v>40046</v>
      </c>
      <c r="BY21" s="217">
        <v>233</v>
      </c>
      <c r="BZ21" s="219"/>
      <c r="CA21" s="262">
        <v>4</v>
      </c>
      <c r="CB21" s="319">
        <v>39710</v>
      </c>
      <c r="CC21" s="217">
        <v>263</v>
      </c>
      <c r="CD21" s="219"/>
      <c r="CE21" s="253">
        <v>4.5999999999999996</v>
      </c>
      <c r="CF21" s="321">
        <v>39346</v>
      </c>
      <c r="CG21" s="217">
        <v>264</v>
      </c>
      <c r="CH21" s="211"/>
      <c r="CI21" s="262">
        <v>4.2</v>
      </c>
      <c r="CJ21" s="319">
        <v>38880</v>
      </c>
      <c r="CK21" s="217">
        <v>163</v>
      </c>
      <c r="CL21" s="219">
        <v>46.988</v>
      </c>
      <c r="CM21" s="258">
        <v>3</v>
      </c>
      <c r="CN21" s="173"/>
      <c r="CO21" s="173"/>
      <c r="CP21" s="173"/>
      <c r="CQ21" s="173"/>
      <c r="CR21" s="173"/>
      <c r="CS21" s="173"/>
      <c r="CT21" s="173"/>
      <c r="CU21" s="173"/>
    </row>
    <row r="22" spans="1:99" s="4" customFormat="1">
      <c r="A22" s="16" t="s">
        <v>30</v>
      </c>
      <c r="B22" s="21">
        <v>41201</v>
      </c>
      <c r="C22" s="22" t="s">
        <v>73</v>
      </c>
      <c r="D22" s="265"/>
      <c r="E22" s="266"/>
      <c r="F22" s="266"/>
      <c r="G22" s="266"/>
      <c r="H22" s="267"/>
      <c r="I22" s="268"/>
      <c r="J22" s="269"/>
      <c r="K22" s="270">
        <v>7</v>
      </c>
      <c r="L22" s="265"/>
      <c r="M22" s="266"/>
      <c r="N22" s="266"/>
      <c r="O22" s="266"/>
      <c r="P22" s="271"/>
      <c r="Q22" s="268"/>
      <c r="R22" s="269"/>
      <c r="S22" s="270">
        <v>7</v>
      </c>
      <c r="T22" s="265"/>
      <c r="U22" s="266"/>
      <c r="V22" s="266"/>
      <c r="W22" s="266"/>
      <c r="X22" s="271"/>
      <c r="Y22" s="268"/>
      <c r="Z22" s="269"/>
      <c r="AA22" s="270">
        <v>7</v>
      </c>
      <c r="AB22" s="265"/>
      <c r="AC22" s="266"/>
      <c r="AD22" s="266"/>
      <c r="AE22" s="266"/>
      <c r="AF22" s="271"/>
      <c r="AG22" s="268"/>
      <c r="AH22" s="269"/>
      <c r="AI22" s="270">
        <v>7</v>
      </c>
      <c r="AJ22" s="265"/>
      <c r="AK22" s="266"/>
      <c r="AL22" s="266"/>
      <c r="AM22" s="266"/>
      <c r="AN22" s="271"/>
      <c r="AO22" s="268"/>
      <c r="AP22" s="269"/>
      <c r="AQ22" s="270">
        <v>7</v>
      </c>
      <c r="AR22" s="272"/>
      <c r="AS22" s="268"/>
      <c r="AT22" s="268"/>
      <c r="AU22" s="268"/>
      <c r="AV22" s="273"/>
      <c r="AW22" s="268"/>
      <c r="AX22" s="269"/>
      <c r="AY22" s="28"/>
      <c r="AZ22" s="316">
        <f t="shared" si="3"/>
        <v>37.232000000000006</v>
      </c>
      <c r="BA22" s="227">
        <f t="shared" si="1"/>
        <v>7</v>
      </c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248">
        <f t="shared" si="2"/>
        <v>293</v>
      </c>
      <c r="BP22" s="319"/>
      <c r="BQ22" s="324">
        <v>158</v>
      </c>
      <c r="BR22" s="358"/>
      <c r="BS22" s="358">
        <v>3</v>
      </c>
      <c r="BT22" s="319">
        <v>40459</v>
      </c>
      <c r="BU22" s="324">
        <v>281</v>
      </c>
      <c r="BV22" s="358"/>
      <c r="BW22" s="358">
        <v>5</v>
      </c>
      <c r="BX22" s="319">
        <v>40051</v>
      </c>
      <c r="BY22" s="217">
        <v>238</v>
      </c>
      <c r="BZ22" s="219"/>
      <c r="CA22" s="262">
        <v>4</v>
      </c>
      <c r="CB22" s="319">
        <v>39717</v>
      </c>
      <c r="CC22" s="217">
        <v>270</v>
      </c>
      <c r="CD22" s="219"/>
      <c r="CE22" s="253">
        <v>5.2</v>
      </c>
      <c r="CF22" s="321">
        <v>39353</v>
      </c>
      <c r="CG22" s="217">
        <v>271</v>
      </c>
      <c r="CH22" s="211"/>
      <c r="CI22" s="262">
        <v>4.8</v>
      </c>
      <c r="CJ22" s="319">
        <v>38961</v>
      </c>
      <c r="CK22" s="217">
        <v>244</v>
      </c>
      <c r="CL22" s="211"/>
      <c r="CM22" s="258">
        <v>4</v>
      </c>
      <c r="CN22" s="173"/>
      <c r="CO22" s="173"/>
      <c r="CP22" s="173"/>
      <c r="CQ22" s="173"/>
      <c r="CR22" s="173"/>
      <c r="CS22" s="173"/>
      <c r="CT22" s="173"/>
      <c r="CU22" s="173"/>
    </row>
    <row r="23" spans="1:99" s="4" customFormat="1">
      <c r="A23" s="16" t="s">
        <v>30</v>
      </c>
      <c r="B23" s="21">
        <v>41208</v>
      </c>
      <c r="C23" s="22" t="s">
        <v>73</v>
      </c>
      <c r="D23" s="265"/>
      <c r="E23" s="266"/>
      <c r="F23" s="266"/>
      <c r="G23" s="266"/>
      <c r="H23" s="267"/>
      <c r="I23" s="268"/>
      <c r="J23" s="269"/>
      <c r="K23" s="270">
        <v>7</v>
      </c>
      <c r="L23" s="265"/>
      <c r="M23" s="266"/>
      <c r="N23" s="266"/>
      <c r="O23" s="266"/>
      <c r="P23" s="271"/>
      <c r="Q23" s="268"/>
      <c r="R23" s="269"/>
      <c r="S23" s="270">
        <v>7</v>
      </c>
      <c r="T23" s="265"/>
      <c r="U23" s="266"/>
      <c r="V23" s="266"/>
      <c r="W23" s="266"/>
      <c r="X23" s="271"/>
      <c r="Y23" s="268"/>
      <c r="Z23" s="269"/>
      <c r="AA23" s="270">
        <v>7</v>
      </c>
      <c r="AB23" s="265"/>
      <c r="AC23" s="266"/>
      <c r="AD23" s="266"/>
      <c r="AE23" s="266"/>
      <c r="AF23" s="271"/>
      <c r="AG23" s="268"/>
      <c r="AH23" s="269"/>
      <c r="AI23" s="270">
        <v>8</v>
      </c>
      <c r="AJ23" s="265"/>
      <c r="AK23" s="266"/>
      <c r="AL23" s="266"/>
      <c r="AM23" s="266"/>
      <c r="AN23" s="271"/>
      <c r="AO23" s="268"/>
      <c r="AP23" s="269"/>
      <c r="AQ23" s="270">
        <v>8</v>
      </c>
      <c r="AR23" s="272"/>
      <c r="AS23" s="268"/>
      <c r="AT23" s="268"/>
      <c r="AU23" s="268"/>
      <c r="AV23" s="273"/>
      <c r="AW23" s="268"/>
      <c r="AX23" s="269"/>
      <c r="AY23" s="28"/>
      <c r="AZ23" s="316">
        <f t="shared" si="3"/>
        <v>37.232000000000006</v>
      </c>
      <c r="BA23" s="227">
        <f t="shared" si="1"/>
        <v>7.4</v>
      </c>
      <c r="BB23" s="173"/>
      <c r="BC23" s="173"/>
      <c r="BD23" s="173"/>
      <c r="BE23" s="173"/>
      <c r="BF23" s="173"/>
      <c r="BG23" s="173"/>
      <c r="BH23" s="173"/>
      <c r="BI23" s="173"/>
      <c r="BJ23" s="173"/>
      <c r="BK23" s="173"/>
      <c r="BL23" s="173"/>
      <c r="BM23" s="173"/>
      <c r="BN23" s="173"/>
      <c r="BO23" s="248">
        <f t="shared" si="2"/>
        <v>300</v>
      </c>
      <c r="BP23" s="319"/>
      <c r="BQ23" s="324">
        <v>158</v>
      </c>
      <c r="BR23" s="358"/>
      <c r="BS23" s="358">
        <v>3</v>
      </c>
      <c r="BT23" s="319"/>
      <c r="BU23" s="324">
        <v>281</v>
      </c>
      <c r="BV23" s="358"/>
      <c r="BW23" s="358">
        <v>5</v>
      </c>
      <c r="BX23" s="319">
        <v>40060</v>
      </c>
      <c r="BY23" s="217">
        <v>247</v>
      </c>
      <c r="BZ23" s="219"/>
      <c r="CA23" s="262">
        <v>4</v>
      </c>
      <c r="CB23" s="319">
        <v>39724</v>
      </c>
      <c r="CC23" s="217">
        <v>277</v>
      </c>
      <c r="CD23" s="219"/>
      <c r="CE23" s="253">
        <v>6.2</v>
      </c>
      <c r="CF23" s="321">
        <v>39359</v>
      </c>
      <c r="CG23" s="217">
        <v>277</v>
      </c>
      <c r="CH23" s="211"/>
      <c r="CI23" s="262">
        <v>5</v>
      </c>
      <c r="CJ23" s="319">
        <v>38967</v>
      </c>
      <c r="CK23" s="217">
        <v>250</v>
      </c>
      <c r="CL23" s="211"/>
      <c r="CM23" s="258">
        <v>4</v>
      </c>
      <c r="CN23" s="173"/>
      <c r="CO23" s="173"/>
      <c r="CP23" s="173"/>
      <c r="CQ23" s="173"/>
      <c r="CR23" s="173"/>
      <c r="CS23" s="173"/>
      <c r="CT23" s="173"/>
      <c r="CU23" s="173"/>
    </row>
    <row r="24" spans="1:99" s="4" customFormat="1">
      <c r="A24" s="16" t="s">
        <v>30</v>
      </c>
      <c r="B24" s="21">
        <v>41213</v>
      </c>
      <c r="C24" s="22" t="s">
        <v>73</v>
      </c>
      <c r="D24" s="265"/>
      <c r="E24" s="266"/>
      <c r="F24" s="266"/>
      <c r="G24" s="266"/>
      <c r="H24" s="267"/>
      <c r="I24" s="268"/>
      <c r="J24" s="269"/>
      <c r="K24" s="270">
        <v>8</v>
      </c>
      <c r="L24" s="265"/>
      <c r="M24" s="266"/>
      <c r="N24" s="266"/>
      <c r="O24" s="266"/>
      <c r="P24" s="271"/>
      <c r="Q24" s="268"/>
      <c r="R24" s="269"/>
      <c r="S24" s="270">
        <v>7</v>
      </c>
      <c r="T24" s="265"/>
      <c r="U24" s="266"/>
      <c r="V24" s="266"/>
      <c r="W24" s="266"/>
      <c r="X24" s="271"/>
      <c r="Y24" s="268"/>
      <c r="Z24" s="269"/>
      <c r="AA24" s="270">
        <v>7</v>
      </c>
      <c r="AB24" s="265"/>
      <c r="AC24" s="266"/>
      <c r="AD24" s="266"/>
      <c r="AE24" s="266"/>
      <c r="AF24" s="271"/>
      <c r="AG24" s="268"/>
      <c r="AH24" s="269"/>
      <c r="AI24" s="270">
        <v>8</v>
      </c>
      <c r="AJ24" s="265"/>
      <c r="AK24" s="266"/>
      <c r="AL24" s="266"/>
      <c r="AM24" s="266"/>
      <c r="AN24" s="271"/>
      <c r="AO24" s="268"/>
      <c r="AP24" s="269"/>
      <c r="AQ24" s="270">
        <v>8</v>
      </c>
      <c r="AR24" s="272"/>
      <c r="AS24" s="268"/>
      <c r="AT24" s="268"/>
      <c r="AU24" s="268"/>
      <c r="AV24" s="273"/>
      <c r="AW24" s="268"/>
      <c r="AX24" s="269"/>
      <c r="AY24" s="28"/>
      <c r="AZ24" s="316">
        <f t="shared" si="3"/>
        <v>37.232000000000006</v>
      </c>
      <c r="BA24" s="227">
        <f t="shared" si="1"/>
        <v>7.6</v>
      </c>
      <c r="BB24" s="173"/>
      <c r="BC24" s="173"/>
      <c r="BD24" s="173"/>
      <c r="BE24" s="173"/>
      <c r="BF24" s="173"/>
      <c r="BG24" s="173"/>
      <c r="BH24" s="173"/>
      <c r="BI24" s="173"/>
      <c r="BJ24" s="173"/>
      <c r="BK24" s="173"/>
      <c r="BL24" s="173"/>
      <c r="BM24" s="173"/>
      <c r="BN24" s="173"/>
      <c r="BO24" s="248">
        <f t="shared" si="2"/>
        <v>305</v>
      </c>
      <c r="BP24" s="319"/>
      <c r="BQ24" s="324">
        <v>158</v>
      </c>
      <c r="BR24" s="358"/>
      <c r="BS24" s="358">
        <v>3</v>
      </c>
      <c r="BT24" s="319"/>
      <c r="BU24" s="324">
        <v>281</v>
      </c>
      <c r="BV24" s="358"/>
      <c r="BW24" s="358">
        <v>5</v>
      </c>
      <c r="BX24" s="319">
        <v>40066</v>
      </c>
      <c r="BY24" s="217">
        <v>253</v>
      </c>
      <c r="BZ24" s="219"/>
      <c r="CA24" s="262">
        <v>4</v>
      </c>
      <c r="CB24" s="319">
        <v>39731</v>
      </c>
      <c r="CC24" s="217">
        <v>284</v>
      </c>
      <c r="CD24" s="219"/>
      <c r="CE24" s="253">
        <v>7</v>
      </c>
      <c r="CF24" s="321">
        <v>39367</v>
      </c>
      <c r="CG24" s="217">
        <v>285</v>
      </c>
      <c r="CH24" s="211"/>
      <c r="CI24" s="262">
        <v>5</v>
      </c>
      <c r="CJ24" s="319">
        <v>38975</v>
      </c>
      <c r="CK24" s="217">
        <v>258</v>
      </c>
      <c r="CL24" s="211"/>
      <c r="CM24" s="258">
        <v>4.2</v>
      </c>
      <c r="CN24" s="173"/>
      <c r="CO24" s="173"/>
      <c r="CP24" s="173"/>
      <c r="CQ24" s="173"/>
      <c r="CR24" s="173"/>
      <c r="CS24" s="173"/>
      <c r="CT24" s="173"/>
      <c r="CU24" s="173"/>
    </row>
    <row r="25" spans="1:99" s="4" customFormat="1">
      <c r="A25" s="16" t="s">
        <v>30</v>
      </c>
      <c r="B25" s="21">
        <v>41222</v>
      </c>
      <c r="C25" s="22" t="s">
        <v>73</v>
      </c>
      <c r="D25" s="265"/>
      <c r="E25" s="266"/>
      <c r="F25" s="266"/>
      <c r="G25" s="266"/>
      <c r="H25" s="267"/>
      <c r="I25" s="268"/>
      <c r="J25" s="269"/>
      <c r="K25" s="270">
        <v>8</v>
      </c>
      <c r="L25" s="265"/>
      <c r="M25" s="266"/>
      <c r="N25" s="266"/>
      <c r="O25" s="266"/>
      <c r="P25" s="271"/>
      <c r="Q25" s="268"/>
      <c r="R25" s="269"/>
      <c r="S25" s="270">
        <v>8</v>
      </c>
      <c r="T25" s="265"/>
      <c r="U25" s="266"/>
      <c r="V25" s="266"/>
      <c r="W25" s="266"/>
      <c r="X25" s="271"/>
      <c r="Y25" s="268"/>
      <c r="Z25" s="269"/>
      <c r="AA25" s="270">
        <v>8</v>
      </c>
      <c r="AB25" s="265"/>
      <c r="AC25" s="266"/>
      <c r="AD25" s="266"/>
      <c r="AE25" s="266"/>
      <c r="AF25" s="271"/>
      <c r="AG25" s="268"/>
      <c r="AH25" s="269"/>
      <c r="AI25" s="270">
        <v>8</v>
      </c>
      <c r="AJ25" s="265"/>
      <c r="AK25" s="266"/>
      <c r="AL25" s="266"/>
      <c r="AM25" s="266"/>
      <c r="AN25" s="271"/>
      <c r="AO25" s="268"/>
      <c r="AP25" s="269"/>
      <c r="AQ25" s="270">
        <v>8</v>
      </c>
      <c r="AR25" s="272"/>
      <c r="AS25" s="268"/>
      <c r="AT25" s="268"/>
      <c r="AU25" s="268"/>
      <c r="AV25" s="273"/>
      <c r="AW25" s="268"/>
      <c r="AX25" s="269"/>
      <c r="AY25" s="28"/>
      <c r="AZ25" s="316">
        <f t="shared" si="3"/>
        <v>37.232000000000006</v>
      </c>
      <c r="BA25" s="227">
        <f t="shared" si="1"/>
        <v>8</v>
      </c>
      <c r="BB25" s="173"/>
      <c r="BC25" s="173"/>
      <c r="BD25" s="173"/>
      <c r="BE25" s="173"/>
      <c r="BF25" s="173"/>
      <c r="BG25" s="173"/>
      <c r="BH25" s="173"/>
      <c r="BI25" s="173"/>
      <c r="BJ25" s="173"/>
      <c r="BK25" s="173"/>
      <c r="BL25" s="173"/>
      <c r="BM25" s="173"/>
      <c r="BN25" s="173"/>
      <c r="BO25" s="248">
        <f t="shared" si="2"/>
        <v>314</v>
      </c>
      <c r="BP25" s="319"/>
      <c r="BQ25" s="324">
        <v>158</v>
      </c>
      <c r="BR25" s="358"/>
      <c r="BS25" s="358">
        <v>3</v>
      </c>
      <c r="BT25" s="319"/>
      <c r="BU25" s="324">
        <v>281</v>
      </c>
      <c r="BV25" s="358"/>
      <c r="BW25" s="358">
        <v>5</v>
      </c>
      <c r="BX25" s="319">
        <v>40072</v>
      </c>
      <c r="BY25" s="217">
        <v>259</v>
      </c>
      <c r="BZ25" s="219"/>
      <c r="CA25" s="262">
        <v>4</v>
      </c>
      <c r="CB25" s="319">
        <v>39737</v>
      </c>
      <c r="CC25" s="217">
        <v>290</v>
      </c>
      <c r="CD25" s="219"/>
      <c r="CE25" s="253">
        <v>7</v>
      </c>
      <c r="CF25" s="321">
        <v>39374</v>
      </c>
      <c r="CG25" s="217">
        <v>292</v>
      </c>
      <c r="CH25" s="211"/>
      <c r="CI25" s="262">
        <v>7</v>
      </c>
      <c r="CJ25" s="319">
        <v>38981</v>
      </c>
      <c r="CK25" s="217">
        <v>264</v>
      </c>
      <c r="CL25" s="211"/>
      <c r="CM25" s="258">
        <v>4.2</v>
      </c>
      <c r="CN25" s="173"/>
      <c r="CO25" s="173"/>
      <c r="CP25" s="173"/>
      <c r="CQ25" s="173"/>
      <c r="CR25" s="173"/>
      <c r="CS25" s="173"/>
      <c r="CT25" s="173"/>
      <c r="CU25" s="173"/>
    </row>
    <row r="26" spans="1:99" s="4" customFormat="1">
      <c r="A26" s="16" t="s">
        <v>30</v>
      </c>
      <c r="B26" s="21"/>
      <c r="C26" s="22"/>
      <c r="D26" s="265"/>
      <c r="E26" s="266"/>
      <c r="F26" s="266"/>
      <c r="G26" s="266"/>
      <c r="H26" s="267"/>
      <c r="I26" s="268"/>
      <c r="J26" s="269"/>
      <c r="K26" s="270"/>
      <c r="L26" s="265"/>
      <c r="M26" s="266"/>
      <c r="N26" s="266"/>
      <c r="O26" s="266"/>
      <c r="P26" s="271"/>
      <c r="Q26" s="268"/>
      <c r="R26" s="269"/>
      <c r="S26" s="270"/>
      <c r="T26" s="265"/>
      <c r="U26" s="266"/>
      <c r="V26" s="266"/>
      <c r="W26" s="266"/>
      <c r="X26" s="271"/>
      <c r="Y26" s="268"/>
      <c r="Z26" s="269"/>
      <c r="AA26" s="270"/>
      <c r="AB26" s="265"/>
      <c r="AC26" s="266"/>
      <c r="AD26" s="266"/>
      <c r="AE26" s="266"/>
      <c r="AF26" s="271"/>
      <c r="AG26" s="268"/>
      <c r="AH26" s="269"/>
      <c r="AI26" s="270"/>
      <c r="AJ26" s="265"/>
      <c r="AK26" s="266"/>
      <c r="AL26" s="266"/>
      <c r="AM26" s="266"/>
      <c r="AN26" s="271"/>
      <c r="AO26" s="268"/>
      <c r="AP26" s="269"/>
      <c r="AQ26" s="270"/>
      <c r="AR26" s="272"/>
      <c r="AS26" s="268"/>
      <c r="AT26" s="268"/>
      <c r="AU26" s="268"/>
      <c r="AV26" s="273"/>
      <c r="AW26" s="268"/>
      <c r="AX26" s="269"/>
      <c r="AY26" s="28"/>
      <c r="AZ26" s="316">
        <f t="shared" si="3"/>
        <v>37.232000000000006</v>
      </c>
      <c r="BA26" s="227">
        <f t="shared" si="1"/>
        <v>8</v>
      </c>
      <c r="BB26" s="173"/>
      <c r="BC26" s="173"/>
      <c r="BD26" s="173"/>
      <c r="BE26" s="173"/>
      <c r="BF26" s="173"/>
      <c r="BG26" s="173"/>
      <c r="BH26" s="173"/>
      <c r="BI26" s="173"/>
      <c r="BJ26" s="173"/>
      <c r="BK26" s="173"/>
      <c r="BL26" s="173"/>
      <c r="BM26" s="173"/>
      <c r="BN26" s="173"/>
      <c r="BO26" s="248">
        <f t="shared" si="2"/>
        <v>314</v>
      </c>
      <c r="BP26" s="319"/>
      <c r="BQ26" s="324">
        <v>158</v>
      </c>
      <c r="BR26" s="358"/>
      <c r="BS26" s="358">
        <v>3</v>
      </c>
      <c r="BT26" s="319"/>
      <c r="BU26" s="324">
        <v>281</v>
      </c>
      <c r="BV26" s="358"/>
      <c r="BW26" s="358">
        <v>5</v>
      </c>
      <c r="BX26" s="319">
        <v>40081</v>
      </c>
      <c r="BY26" s="217">
        <v>268</v>
      </c>
      <c r="BZ26" s="219"/>
      <c r="CA26" s="262">
        <v>4.5999999999999996</v>
      </c>
      <c r="CB26" s="319">
        <v>39744</v>
      </c>
      <c r="CC26" s="217">
        <v>297</v>
      </c>
      <c r="CD26" s="219"/>
      <c r="CE26" s="253">
        <v>7</v>
      </c>
      <c r="CF26" s="321">
        <v>39381</v>
      </c>
      <c r="CG26" s="217">
        <v>299</v>
      </c>
      <c r="CH26" s="211"/>
      <c r="CI26" s="262">
        <v>7</v>
      </c>
      <c r="CJ26" s="319">
        <v>38989</v>
      </c>
      <c r="CK26" s="217">
        <v>272</v>
      </c>
      <c r="CL26" s="211"/>
      <c r="CM26" s="258">
        <v>4.5999999999999996</v>
      </c>
      <c r="CN26" s="173"/>
      <c r="CO26" s="173"/>
      <c r="CP26" s="173"/>
      <c r="CQ26" s="173"/>
      <c r="CR26" s="173"/>
      <c r="CS26" s="173"/>
      <c r="CT26" s="173"/>
      <c r="CU26" s="173"/>
    </row>
    <row r="27" spans="1:99" s="4" customFormat="1">
      <c r="A27" s="16" t="s">
        <v>30</v>
      </c>
      <c r="B27" s="21"/>
      <c r="C27" s="22"/>
      <c r="D27" s="265"/>
      <c r="E27" s="266"/>
      <c r="F27" s="266"/>
      <c r="G27" s="266"/>
      <c r="H27" s="267"/>
      <c r="I27" s="268"/>
      <c r="J27" s="269"/>
      <c r="K27" s="270"/>
      <c r="L27" s="265"/>
      <c r="M27" s="266"/>
      <c r="N27" s="266"/>
      <c r="O27" s="266"/>
      <c r="P27" s="271"/>
      <c r="Q27" s="268"/>
      <c r="R27" s="269"/>
      <c r="S27" s="270"/>
      <c r="T27" s="265"/>
      <c r="U27" s="266"/>
      <c r="V27" s="266"/>
      <c r="W27" s="266"/>
      <c r="X27" s="271"/>
      <c r="Y27" s="268"/>
      <c r="Z27" s="269"/>
      <c r="AA27" s="270"/>
      <c r="AB27" s="265"/>
      <c r="AC27" s="266"/>
      <c r="AD27" s="266"/>
      <c r="AE27" s="266"/>
      <c r="AF27" s="271"/>
      <c r="AG27" s="268"/>
      <c r="AH27" s="269"/>
      <c r="AI27" s="270"/>
      <c r="AJ27" s="265"/>
      <c r="AK27" s="266"/>
      <c r="AL27" s="266"/>
      <c r="AM27" s="266"/>
      <c r="AN27" s="271"/>
      <c r="AO27" s="268"/>
      <c r="AP27" s="269"/>
      <c r="AQ27" s="270"/>
      <c r="AR27" s="272"/>
      <c r="AS27" s="268"/>
      <c r="AT27" s="268"/>
      <c r="AU27" s="268"/>
      <c r="AV27" s="273"/>
      <c r="AW27" s="268"/>
      <c r="AX27" s="269"/>
      <c r="AY27" s="28"/>
      <c r="AZ27" s="316">
        <f t="shared" si="3"/>
        <v>37.232000000000006</v>
      </c>
      <c r="BA27" s="227">
        <f t="shared" si="1"/>
        <v>8</v>
      </c>
      <c r="BB27" s="173"/>
      <c r="BC27" s="173"/>
      <c r="BD27" s="173"/>
      <c r="BE27" s="173"/>
      <c r="BF27" s="173"/>
      <c r="BG27" s="173"/>
      <c r="BH27" s="173"/>
      <c r="BI27" s="173"/>
      <c r="BJ27" s="173"/>
      <c r="BK27" s="173"/>
      <c r="BL27" s="173"/>
      <c r="BM27" s="173"/>
      <c r="BN27" s="173"/>
      <c r="BO27" s="248">
        <f t="shared" si="2"/>
        <v>314</v>
      </c>
      <c r="BP27" s="319"/>
      <c r="BQ27" s="324">
        <v>158</v>
      </c>
      <c r="BR27" s="358"/>
      <c r="BS27" s="358">
        <v>3</v>
      </c>
      <c r="BT27" s="319"/>
      <c r="BU27" s="324">
        <v>281</v>
      </c>
      <c r="BV27" s="358"/>
      <c r="BW27" s="358">
        <v>5</v>
      </c>
      <c r="BX27" s="319">
        <v>40088</v>
      </c>
      <c r="BY27" s="217">
        <v>275</v>
      </c>
      <c r="BZ27" s="219"/>
      <c r="CA27" s="262">
        <v>6.2</v>
      </c>
      <c r="CB27" s="319">
        <v>39752</v>
      </c>
      <c r="CC27" s="217">
        <v>305</v>
      </c>
      <c r="CD27" s="219"/>
      <c r="CE27" s="253">
        <v>8</v>
      </c>
      <c r="CF27" s="321">
        <v>39386</v>
      </c>
      <c r="CG27" s="217">
        <v>304</v>
      </c>
      <c r="CH27" s="211"/>
      <c r="CI27" s="262">
        <v>8</v>
      </c>
      <c r="CJ27" s="319">
        <v>38996</v>
      </c>
      <c r="CK27" s="217">
        <v>279</v>
      </c>
      <c r="CL27" s="211"/>
      <c r="CM27" s="258">
        <v>5.2</v>
      </c>
      <c r="CN27" s="173"/>
      <c r="CO27" s="173"/>
      <c r="CP27" s="173"/>
      <c r="CQ27" s="173"/>
      <c r="CR27" s="173"/>
      <c r="CS27" s="173"/>
      <c r="CT27" s="173"/>
      <c r="CU27" s="173"/>
    </row>
    <row r="28" spans="1:99" s="4" customFormat="1">
      <c r="A28" s="16" t="s">
        <v>30</v>
      </c>
      <c r="B28" s="21"/>
      <c r="C28" s="22"/>
      <c r="D28" s="265"/>
      <c r="E28" s="266"/>
      <c r="F28" s="266"/>
      <c r="G28" s="266"/>
      <c r="H28" s="267"/>
      <c r="I28" s="268"/>
      <c r="J28" s="269"/>
      <c r="K28" s="270"/>
      <c r="L28" s="265"/>
      <c r="M28" s="266"/>
      <c r="N28" s="266"/>
      <c r="O28" s="266"/>
      <c r="P28" s="271"/>
      <c r="Q28" s="268"/>
      <c r="R28" s="269"/>
      <c r="S28" s="270"/>
      <c r="T28" s="265"/>
      <c r="U28" s="266"/>
      <c r="V28" s="266"/>
      <c r="W28" s="266"/>
      <c r="X28" s="271"/>
      <c r="Y28" s="268"/>
      <c r="Z28" s="269"/>
      <c r="AA28" s="270"/>
      <c r="AB28" s="265"/>
      <c r="AC28" s="266"/>
      <c r="AD28" s="266"/>
      <c r="AE28" s="266"/>
      <c r="AF28" s="271"/>
      <c r="AG28" s="268"/>
      <c r="AH28" s="269"/>
      <c r="AI28" s="270"/>
      <c r="AJ28" s="265"/>
      <c r="AK28" s="266"/>
      <c r="AL28" s="266"/>
      <c r="AM28" s="266"/>
      <c r="AN28" s="271"/>
      <c r="AO28" s="268"/>
      <c r="AP28" s="269"/>
      <c r="AQ28" s="270"/>
      <c r="AR28" s="272"/>
      <c r="AS28" s="268"/>
      <c r="AT28" s="268"/>
      <c r="AU28" s="268"/>
      <c r="AV28" s="273"/>
      <c r="AW28" s="268"/>
      <c r="AX28" s="269"/>
      <c r="AY28" s="28"/>
      <c r="AZ28" s="316">
        <f t="shared" si="3"/>
        <v>37.232000000000006</v>
      </c>
      <c r="BA28" s="227">
        <f t="shared" si="1"/>
        <v>8</v>
      </c>
      <c r="BB28" s="173"/>
      <c r="BC28" s="173"/>
      <c r="BD28" s="173"/>
      <c r="BE28" s="173"/>
      <c r="BF28" s="173"/>
      <c r="BG28" s="173"/>
      <c r="BH28" s="173"/>
      <c r="BI28" s="173"/>
      <c r="BJ28" s="173"/>
      <c r="BK28" s="173"/>
      <c r="BL28" s="173"/>
      <c r="BM28" s="173"/>
      <c r="BN28" s="173"/>
      <c r="BO28" s="248">
        <f t="shared" si="2"/>
        <v>314</v>
      </c>
      <c r="BP28" s="319"/>
      <c r="BQ28" s="324">
        <v>158</v>
      </c>
      <c r="BR28" s="358"/>
      <c r="BS28" s="358">
        <v>3</v>
      </c>
      <c r="BT28" s="319"/>
      <c r="BU28" s="324">
        <v>281</v>
      </c>
      <c r="BV28" s="358"/>
      <c r="BW28" s="358">
        <v>5</v>
      </c>
      <c r="BX28" s="319">
        <v>40095</v>
      </c>
      <c r="BY28" s="217">
        <v>282</v>
      </c>
      <c r="BZ28" s="219"/>
      <c r="CA28" s="262">
        <v>6.2</v>
      </c>
      <c r="CB28" s="319"/>
      <c r="CC28" s="217"/>
      <c r="CD28" s="219"/>
      <c r="CE28" s="253"/>
      <c r="CF28" s="321"/>
      <c r="CG28" s="211"/>
      <c r="CH28" s="211"/>
      <c r="CI28" s="262"/>
      <c r="CJ28" s="319">
        <v>39003</v>
      </c>
      <c r="CK28" s="217">
        <v>286</v>
      </c>
      <c r="CL28" s="211"/>
      <c r="CM28" s="258">
        <v>5.6</v>
      </c>
      <c r="CN28" s="173"/>
      <c r="CO28" s="173"/>
      <c r="CP28" s="173"/>
      <c r="CQ28" s="173"/>
      <c r="CR28" s="173"/>
      <c r="CS28" s="173"/>
      <c r="CT28" s="173"/>
      <c r="CU28" s="173"/>
    </row>
    <row r="29" spans="1:99" s="4" customFormat="1">
      <c r="A29" s="16" t="s">
        <v>30</v>
      </c>
      <c r="B29" s="21"/>
      <c r="C29" s="22"/>
      <c r="D29" s="265"/>
      <c r="E29" s="266"/>
      <c r="F29" s="266"/>
      <c r="G29" s="266"/>
      <c r="H29" s="267"/>
      <c r="I29" s="268"/>
      <c r="J29" s="269"/>
      <c r="K29" s="270"/>
      <c r="L29" s="265"/>
      <c r="M29" s="266"/>
      <c r="N29" s="266"/>
      <c r="O29" s="266"/>
      <c r="P29" s="271"/>
      <c r="Q29" s="268"/>
      <c r="R29" s="269"/>
      <c r="S29" s="270"/>
      <c r="T29" s="265"/>
      <c r="U29" s="266"/>
      <c r="V29" s="266"/>
      <c r="W29" s="266"/>
      <c r="X29" s="271"/>
      <c r="Y29" s="268"/>
      <c r="Z29" s="269"/>
      <c r="AA29" s="270"/>
      <c r="AB29" s="265"/>
      <c r="AC29" s="266"/>
      <c r="AD29" s="266"/>
      <c r="AE29" s="266"/>
      <c r="AF29" s="271"/>
      <c r="AG29" s="268"/>
      <c r="AH29" s="269"/>
      <c r="AI29" s="270"/>
      <c r="AJ29" s="265"/>
      <c r="AK29" s="266"/>
      <c r="AL29" s="266"/>
      <c r="AM29" s="266"/>
      <c r="AN29" s="271"/>
      <c r="AO29" s="268"/>
      <c r="AP29" s="269"/>
      <c r="AQ29" s="270"/>
      <c r="AR29" s="272"/>
      <c r="AS29" s="268"/>
      <c r="AT29" s="268"/>
      <c r="AU29" s="268"/>
      <c r="AV29" s="273"/>
      <c r="AW29" s="268"/>
      <c r="AX29" s="269"/>
      <c r="AY29" s="28"/>
      <c r="AZ29" s="316">
        <f t="shared" si="3"/>
        <v>37.232000000000006</v>
      </c>
      <c r="BA29" s="227">
        <f t="shared" si="1"/>
        <v>8</v>
      </c>
      <c r="BB29" s="173"/>
      <c r="BC29" s="173"/>
      <c r="BD29" s="173"/>
      <c r="BE29" s="173"/>
      <c r="BF29" s="173"/>
      <c r="BG29" s="173"/>
      <c r="BH29" s="173"/>
      <c r="BI29" s="173"/>
      <c r="BJ29" s="173"/>
      <c r="BK29" s="173"/>
      <c r="BL29" s="173"/>
      <c r="BM29" s="173"/>
      <c r="BN29" s="173"/>
      <c r="BO29" s="248">
        <f t="shared" si="2"/>
        <v>314</v>
      </c>
      <c r="BP29" s="319"/>
      <c r="BQ29" s="324">
        <v>158</v>
      </c>
      <c r="BR29" s="358"/>
      <c r="BS29" s="358">
        <v>3</v>
      </c>
      <c r="BT29" s="319"/>
      <c r="BU29" s="324">
        <v>281</v>
      </c>
      <c r="BV29" s="358"/>
      <c r="BW29" s="358">
        <v>5</v>
      </c>
      <c r="BX29" s="319">
        <v>40102</v>
      </c>
      <c r="BY29" s="217">
        <v>289</v>
      </c>
      <c r="BZ29" s="219"/>
      <c r="CA29" s="262">
        <v>6.6</v>
      </c>
      <c r="CB29" s="319"/>
      <c r="CC29" s="217"/>
      <c r="CD29" s="219"/>
      <c r="CE29" s="253"/>
      <c r="CF29" s="321"/>
      <c r="CG29" s="211"/>
      <c r="CH29" s="211"/>
      <c r="CI29" s="262"/>
      <c r="CJ29" s="319">
        <v>39010</v>
      </c>
      <c r="CK29" s="217">
        <v>293</v>
      </c>
      <c r="CL29" s="211"/>
      <c r="CM29" s="258">
        <v>7.2</v>
      </c>
      <c r="CN29" s="173"/>
      <c r="CO29" s="173"/>
      <c r="CP29" s="173"/>
      <c r="CQ29" s="173"/>
      <c r="CR29" s="173"/>
      <c r="CS29" s="173"/>
      <c r="CT29" s="173"/>
      <c r="CU29" s="173"/>
    </row>
    <row r="30" spans="1:99" s="4" customFormat="1">
      <c r="A30" s="16" t="s">
        <v>30</v>
      </c>
      <c r="B30" s="21"/>
      <c r="C30" s="22"/>
      <c r="D30" s="265"/>
      <c r="E30" s="266"/>
      <c r="F30" s="266"/>
      <c r="G30" s="266"/>
      <c r="H30" s="267"/>
      <c r="I30" s="268"/>
      <c r="J30" s="269"/>
      <c r="K30" s="270"/>
      <c r="L30" s="265"/>
      <c r="M30" s="266"/>
      <c r="N30" s="266"/>
      <c r="O30" s="266"/>
      <c r="P30" s="271"/>
      <c r="Q30" s="268"/>
      <c r="R30" s="269"/>
      <c r="S30" s="270"/>
      <c r="T30" s="265"/>
      <c r="U30" s="266"/>
      <c r="V30" s="266"/>
      <c r="W30" s="266"/>
      <c r="X30" s="271"/>
      <c r="Y30" s="268"/>
      <c r="Z30" s="269"/>
      <c r="AA30" s="270"/>
      <c r="AB30" s="265"/>
      <c r="AC30" s="266"/>
      <c r="AD30" s="266"/>
      <c r="AE30" s="266"/>
      <c r="AF30" s="271"/>
      <c r="AG30" s="268"/>
      <c r="AH30" s="269"/>
      <c r="AI30" s="270"/>
      <c r="AJ30" s="265"/>
      <c r="AK30" s="266"/>
      <c r="AL30" s="266"/>
      <c r="AM30" s="266"/>
      <c r="AN30" s="271"/>
      <c r="AO30" s="268"/>
      <c r="AP30" s="269"/>
      <c r="AQ30" s="270"/>
      <c r="AR30" s="272"/>
      <c r="AS30" s="268"/>
      <c r="AT30" s="268"/>
      <c r="AU30" s="268"/>
      <c r="AV30" s="273"/>
      <c r="AW30" s="268"/>
      <c r="AX30" s="269"/>
      <c r="AY30" s="28"/>
      <c r="AZ30" s="316">
        <f t="shared" si="3"/>
        <v>37.232000000000006</v>
      </c>
      <c r="BA30" s="227">
        <f t="shared" si="1"/>
        <v>8</v>
      </c>
      <c r="BB30" s="173"/>
      <c r="BC30" s="173"/>
      <c r="BD30" s="173"/>
      <c r="BE30" s="173"/>
      <c r="BF30" s="173"/>
      <c r="BG30" s="173"/>
      <c r="BH30" s="173"/>
      <c r="BI30" s="173"/>
      <c r="BJ30" s="173"/>
      <c r="BK30" s="173"/>
      <c r="BL30" s="173"/>
      <c r="BM30" s="173"/>
      <c r="BN30" s="173"/>
      <c r="BO30" s="248">
        <f t="shared" si="2"/>
        <v>314</v>
      </c>
      <c r="BP30" s="319"/>
      <c r="BQ30" s="324">
        <v>158</v>
      </c>
      <c r="BR30" s="358"/>
      <c r="BS30" s="358">
        <v>3</v>
      </c>
      <c r="BT30" s="319"/>
      <c r="BU30" s="324">
        <v>281</v>
      </c>
      <c r="BV30" s="358"/>
      <c r="BW30" s="358">
        <v>5</v>
      </c>
      <c r="BX30" s="319">
        <v>40109</v>
      </c>
      <c r="BY30" s="217">
        <v>296</v>
      </c>
      <c r="BZ30" s="219"/>
      <c r="CA30" s="262">
        <v>6.6</v>
      </c>
      <c r="CB30" s="319"/>
      <c r="CC30" s="217"/>
      <c r="CD30" s="219"/>
      <c r="CE30" s="253"/>
      <c r="CF30" s="321"/>
      <c r="CG30" s="211"/>
      <c r="CH30" s="211"/>
      <c r="CI30" s="262"/>
      <c r="CJ30" s="319">
        <v>39017</v>
      </c>
      <c r="CK30" s="217">
        <v>300</v>
      </c>
      <c r="CL30" s="211"/>
      <c r="CM30" s="258">
        <v>7.6</v>
      </c>
      <c r="CN30" s="173"/>
      <c r="CO30" s="173"/>
      <c r="CP30" s="173"/>
      <c r="CQ30" s="173"/>
      <c r="CR30" s="173"/>
      <c r="CS30" s="173"/>
      <c r="CT30" s="173"/>
      <c r="CU30" s="173"/>
    </row>
    <row r="31" spans="1:99" s="4" customFormat="1">
      <c r="A31" s="16" t="s">
        <v>30</v>
      </c>
      <c r="B31" s="21"/>
      <c r="C31" s="22"/>
      <c r="D31" s="265"/>
      <c r="E31" s="266"/>
      <c r="F31" s="266"/>
      <c r="G31" s="266"/>
      <c r="H31" s="267"/>
      <c r="I31" s="268"/>
      <c r="J31" s="269"/>
      <c r="K31" s="270"/>
      <c r="L31" s="265"/>
      <c r="M31" s="266"/>
      <c r="N31" s="266"/>
      <c r="O31" s="266"/>
      <c r="P31" s="271"/>
      <c r="Q31" s="268"/>
      <c r="R31" s="269"/>
      <c r="S31" s="270"/>
      <c r="T31" s="265"/>
      <c r="U31" s="266"/>
      <c r="V31" s="266"/>
      <c r="W31" s="266"/>
      <c r="X31" s="271"/>
      <c r="Y31" s="268"/>
      <c r="Z31" s="269"/>
      <c r="AA31" s="270"/>
      <c r="AB31" s="265"/>
      <c r="AC31" s="266"/>
      <c r="AD31" s="266"/>
      <c r="AE31" s="266"/>
      <c r="AF31" s="271"/>
      <c r="AG31" s="268"/>
      <c r="AH31" s="269"/>
      <c r="AI31" s="270"/>
      <c r="AJ31" s="265"/>
      <c r="AK31" s="266"/>
      <c r="AL31" s="266"/>
      <c r="AM31" s="266"/>
      <c r="AN31" s="271"/>
      <c r="AO31" s="268"/>
      <c r="AP31" s="269"/>
      <c r="AQ31" s="270"/>
      <c r="AR31" s="272"/>
      <c r="AS31" s="268"/>
      <c r="AT31" s="268"/>
      <c r="AU31" s="268"/>
      <c r="AV31" s="273"/>
      <c r="AW31" s="268"/>
      <c r="AX31" s="269"/>
      <c r="AY31" s="28"/>
      <c r="AZ31" s="316">
        <f t="shared" si="3"/>
        <v>37.232000000000006</v>
      </c>
      <c r="BA31" s="227">
        <f t="shared" si="1"/>
        <v>8</v>
      </c>
      <c r="BB31" s="173"/>
      <c r="BC31" s="173"/>
      <c r="BD31" s="173"/>
      <c r="BE31" s="173"/>
      <c r="BF31" s="173"/>
      <c r="BG31" s="173"/>
      <c r="BH31" s="173"/>
      <c r="BI31" s="173"/>
      <c r="BJ31" s="173"/>
      <c r="BK31" s="173"/>
      <c r="BL31" s="173"/>
      <c r="BM31" s="173"/>
      <c r="BN31" s="173"/>
      <c r="BO31" s="248">
        <f t="shared" si="2"/>
        <v>314</v>
      </c>
      <c r="BP31" s="319"/>
      <c r="BQ31" s="324">
        <v>158</v>
      </c>
      <c r="BR31" s="358"/>
      <c r="BS31" s="358">
        <v>3</v>
      </c>
      <c r="BT31" s="319"/>
      <c r="BU31" s="324">
        <v>281</v>
      </c>
      <c r="BV31" s="358"/>
      <c r="BW31" s="358">
        <v>5</v>
      </c>
      <c r="BX31" s="319">
        <v>40115</v>
      </c>
      <c r="BY31" s="217">
        <v>302</v>
      </c>
      <c r="BZ31" s="219"/>
      <c r="CA31" s="262">
        <v>7</v>
      </c>
      <c r="CB31" s="319"/>
      <c r="CC31" s="217"/>
      <c r="CD31" s="219"/>
      <c r="CE31" s="253"/>
      <c r="CF31" s="321"/>
      <c r="CG31" s="211"/>
      <c r="CH31" s="211"/>
      <c r="CI31" s="262"/>
      <c r="CJ31" s="319">
        <v>39023</v>
      </c>
      <c r="CK31" s="217">
        <v>306</v>
      </c>
      <c r="CL31" s="211"/>
      <c r="CM31" s="258">
        <v>7.6</v>
      </c>
      <c r="CN31" s="173"/>
      <c r="CO31" s="173"/>
      <c r="CP31" s="173"/>
      <c r="CQ31" s="173"/>
      <c r="CR31" s="173"/>
      <c r="CS31" s="173"/>
      <c r="CT31" s="173"/>
      <c r="CU31" s="173"/>
    </row>
    <row r="32" spans="1:99" s="4" customFormat="1">
      <c r="A32" s="16" t="s">
        <v>30</v>
      </c>
      <c r="B32" s="21"/>
      <c r="C32" s="22"/>
      <c r="D32" s="265"/>
      <c r="E32" s="266"/>
      <c r="F32" s="266"/>
      <c r="G32" s="266"/>
      <c r="H32" s="267"/>
      <c r="I32" s="268"/>
      <c r="J32" s="269"/>
      <c r="K32" s="270"/>
      <c r="L32" s="265"/>
      <c r="M32" s="266"/>
      <c r="N32" s="266"/>
      <c r="O32" s="266"/>
      <c r="P32" s="271"/>
      <c r="Q32" s="268"/>
      <c r="R32" s="269"/>
      <c r="S32" s="270"/>
      <c r="T32" s="265"/>
      <c r="U32" s="266"/>
      <c r="V32" s="266"/>
      <c r="W32" s="266"/>
      <c r="X32" s="271"/>
      <c r="Y32" s="268"/>
      <c r="Z32" s="269"/>
      <c r="AA32" s="270"/>
      <c r="AB32" s="265"/>
      <c r="AC32" s="266"/>
      <c r="AD32" s="266"/>
      <c r="AE32" s="266"/>
      <c r="AF32" s="271"/>
      <c r="AG32" s="268"/>
      <c r="AH32" s="269"/>
      <c r="AI32" s="270"/>
      <c r="AJ32" s="265"/>
      <c r="AK32" s="266"/>
      <c r="AL32" s="266"/>
      <c r="AM32" s="266"/>
      <c r="AN32" s="271"/>
      <c r="AO32" s="268"/>
      <c r="AP32" s="269"/>
      <c r="AQ32" s="270"/>
      <c r="AR32" s="272"/>
      <c r="AS32" s="268"/>
      <c r="AT32" s="268"/>
      <c r="AU32" s="268"/>
      <c r="AV32" s="273"/>
      <c r="AW32" s="268"/>
      <c r="AX32" s="269"/>
      <c r="AY32" s="28"/>
      <c r="AZ32" s="316">
        <f t="shared" si="3"/>
        <v>37.232000000000006</v>
      </c>
      <c r="BA32" s="227">
        <f t="shared" si="1"/>
        <v>8</v>
      </c>
      <c r="BB32" s="173"/>
      <c r="BC32" s="173"/>
      <c r="BD32" s="173"/>
      <c r="BE32" s="173"/>
      <c r="BF32" s="173"/>
      <c r="BG32" s="173"/>
      <c r="BH32" s="173"/>
      <c r="BI32" s="173"/>
      <c r="BJ32" s="173"/>
      <c r="BK32" s="173"/>
      <c r="BL32" s="173"/>
      <c r="BM32" s="173"/>
      <c r="BN32" s="173"/>
      <c r="BO32" s="248">
        <f t="shared" si="2"/>
        <v>314</v>
      </c>
      <c r="BP32" s="319"/>
      <c r="BQ32" s="324">
        <v>158</v>
      </c>
      <c r="BR32" s="358"/>
      <c r="BS32" s="358">
        <v>3</v>
      </c>
      <c r="BT32" s="319"/>
      <c r="BU32" s="324">
        <v>281</v>
      </c>
      <c r="BV32" s="358"/>
      <c r="BW32" s="358">
        <v>5</v>
      </c>
      <c r="BX32" s="319"/>
      <c r="BY32" s="217"/>
      <c r="BZ32" s="219"/>
      <c r="CA32" s="262"/>
      <c r="CB32" s="319"/>
      <c r="CC32" s="217"/>
      <c r="CD32" s="219"/>
      <c r="CE32" s="253"/>
      <c r="CF32" s="321"/>
      <c r="CG32" s="211"/>
      <c r="CH32" s="211"/>
      <c r="CI32" s="262"/>
      <c r="CJ32" s="319">
        <v>39031</v>
      </c>
      <c r="CK32" s="217">
        <v>314</v>
      </c>
      <c r="CL32" s="211"/>
      <c r="CM32" s="258">
        <v>8</v>
      </c>
      <c r="CN32" s="173"/>
      <c r="CO32" s="173"/>
      <c r="CP32" s="173"/>
      <c r="CQ32" s="173"/>
      <c r="CR32" s="173"/>
      <c r="CS32" s="173"/>
      <c r="CT32" s="173"/>
      <c r="CU32" s="173"/>
    </row>
    <row r="33" spans="1:99" s="4" customFormat="1">
      <c r="A33" s="16" t="s">
        <v>30</v>
      </c>
      <c r="B33" s="21"/>
      <c r="C33" s="22"/>
      <c r="D33" s="265"/>
      <c r="E33" s="266"/>
      <c r="F33" s="266"/>
      <c r="G33" s="266"/>
      <c r="H33" s="267"/>
      <c r="I33" s="268"/>
      <c r="J33" s="269"/>
      <c r="K33" s="290"/>
      <c r="L33" s="265"/>
      <c r="M33" s="266"/>
      <c r="N33" s="266"/>
      <c r="O33" s="266"/>
      <c r="P33" s="271"/>
      <c r="Q33" s="268"/>
      <c r="R33" s="269"/>
      <c r="S33" s="270"/>
      <c r="T33" s="265"/>
      <c r="U33" s="266"/>
      <c r="V33" s="266"/>
      <c r="W33" s="266"/>
      <c r="X33" s="271"/>
      <c r="Y33" s="268"/>
      <c r="Z33" s="269"/>
      <c r="AA33" s="270"/>
      <c r="AB33" s="265"/>
      <c r="AC33" s="266"/>
      <c r="AD33" s="266"/>
      <c r="AE33" s="266"/>
      <c r="AF33" s="271"/>
      <c r="AG33" s="268"/>
      <c r="AH33" s="269"/>
      <c r="AI33" s="270"/>
      <c r="AJ33" s="265"/>
      <c r="AK33" s="266"/>
      <c r="AL33" s="266"/>
      <c r="AM33" s="266"/>
      <c r="AN33" s="271"/>
      <c r="AO33" s="268"/>
      <c r="AP33" s="269"/>
      <c r="AQ33" s="270"/>
      <c r="AR33" s="272"/>
      <c r="AS33" s="268"/>
      <c r="AT33" s="268"/>
      <c r="AU33" s="268"/>
      <c r="AV33" s="273"/>
      <c r="AW33" s="268"/>
      <c r="AX33" s="269"/>
      <c r="AY33" s="28"/>
      <c r="AZ33" s="316">
        <f t="shared" si="3"/>
        <v>37.232000000000006</v>
      </c>
      <c r="BA33" s="227">
        <f t="shared" si="1"/>
        <v>8</v>
      </c>
      <c r="BB33" s="173"/>
      <c r="BC33" s="173"/>
      <c r="BD33" s="173"/>
      <c r="BE33" s="173"/>
      <c r="BF33" s="173"/>
      <c r="BG33" s="173"/>
      <c r="BH33" s="173"/>
      <c r="BI33" s="173"/>
      <c r="BJ33" s="173"/>
      <c r="BK33" s="173"/>
      <c r="BL33" s="173"/>
      <c r="BM33" s="173"/>
      <c r="BN33" s="173"/>
      <c r="BO33" s="248">
        <f t="shared" si="2"/>
        <v>314</v>
      </c>
      <c r="BP33" s="319"/>
      <c r="BQ33" s="324">
        <v>158</v>
      </c>
      <c r="BR33" s="358"/>
      <c r="BS33" s="358">
        <v>3</v>
      </c>
      <c r="BT33" s="319"/>
      <c r="BU33" s="324">
        <v>281</v>
      </c>
      <c r="BV33" s="358"/>
      <c r="BW33" s="358">
        <v>5</v>
      </c>
      <c r="BX33" s="319"/>
      <c r="BY33" s="217"/>
      <c r="BZ33" s="219"/>
      <c r="CA33" s="262"/>
      <c r="CB33" s="319"/>
      <c r="CC33" s="217"/>
      <c r="CD33" s="219"/>
      <c r="CE33" s="253"/>
      <c r="CF33" s="321"/>
      <c r="CG33" s="211"/>
      <c r="CH33" s="211"/>
      <c r="CI33" s="262"/>
      <c r="CJ33" s="319"/>
      <c r="CK33" s="211"/>
      <c r="CL33" s="211"/>
      <c r="CM33" s="258"/>
      <c r="CN33" s="173"/>
      <c r="CO33" s="173"/>
      <c r="CP33" s="173"/>
      <c r="CQ33" s="173"/>
      <c r="CR33" s="173"/>
      <c r="CS33" s="173"/>
      <c r="CT33" s="173"/>
      <c r="CU33" s="173"/>
    </row>
    <row r="34" spans="1:99" s="4" customFormat="1">
      <c r="A34" s="16" t="s">
        <v>30</v>
      </c>
      <c r="B34" s="21"/>
      <c r="C34" s="22"/>
      <c r="D34" s="265"/>
      <c r="E34" s="266"/>
      <c r="F34" s="266"/>
      <c r="G34" s="266"/>
      <c r="H34" s="267"/>
      <c r="I34" s="268"/>
      <c r="J34" s="269"/>
      <c r="K34" s="290"/>
      <c r="L34" s="265"/>
      <c r="M34" s="266"/>
      <c r="N34" s="266"/>
      <c r="O34" s="266"/>
      <c r="P34" s="271"/>
      <c r="Q34" s="268"/>
      <c r="R34" s="269"/>
      <c r="S34" s="290"/>
      <c r="T34" s="265"/>
      <c r="U34" s="266"/>
      <c r="V34" s="266"/>
      <c r="W34" s="266"/>
      <c r="X34" s="271"/>
      <c r="Y34" s="268"/>
      <c r="Z34" s="269"/>
      <c r="AA34" s="290"/>
      <c r="AB34" s="265"/>
      <c r="AC34" s="266"/>
      <c r="AD34" s="266"/>
      <c r="AE34" s="266"/>
      <c r="AF34" s="271"/>
      <c r="AG34" s="268"/>
      <c r="AH34" s="269"/>
      <c r="AI34" s="290"/>
      <c r="AJ34" s="265"/>
      <c r="AK34" s="266"/>
      <c r="AL34" s="266"/>
      <c r="AM34" s="266"/>
      <c r="AN34" s="271"/>
      <c r="AO34" s="268"/>
      <c r="AP34" s="269"/>
      <c r="AQ34" s="290"/>
      <c r="AR34" s="272"/>
      <c r="AS34" s="268"/>
      <c r="AT34" s="268"/>
      <c r="AU34" s="268"/>
      <c r="AV34" s="273"/>
      <c r="AW34" s="268"/>
      <c r="AX34" s="269"/>
      <c r="AY34" s="28"/>
      <c r="AZ34" s="316">
        <f t="shared" si="3"/>
        <v>37.232000000000006</v>
      </c>
      <c r="BA34" s="227">
        <f t="shared" si="1"/>
        <v>8</v>
      </c>
      <c r="BB34" s="173"/>
      <c r="BC34" s="173"/>
      <c r="BD34" s="173"/>
      <c r="BE34" s="173"/>
      <c r="BF34" s="173"/>
      <c r="BG34" s="173"/>
      <c r="BH34" s="173"/>
      <c r="BI34" s="173"/>
      <c r="BJ34" s="173"/>
      <c r="BK34" s="173"/>
      <c r="BL34" s="173"/>
      <c r="BM34" s="173"/>
      <c r="BN34" s="173"/>
      <c r="BO34" s="248">
        <f t="shared" si="2"/>
        <v>314</v>
      </c>
      <c r="BP34" s="319"/>
      <c r="BQ34" s="324">
        <v>158</v>
      </c>
      <c r="BR34" s="358"/>
      <c r="BS34" s="358">
        <v>3</v>
      </c>
      <c r="BT34" s="319"/>
      <c r="BU34" s="324">
        <v>281</v>
      </c>
      <c r="BV34" s="358"/>
      <c r="BW34" s="358">
        <v>5</v>
      </c>
      <c r="BX34" s="319"/>
      <c r="BY34" s="217"/>
      <c r="BZ34" s="219"/>
      <c r="CA34" s="262"/>
      <c r="CB34" s="319"/>
      <c r="CC34" s="217"/>
      <c r="CD34" s="219"/>
      <c r="CE34" s="253"/>
      <c r="CF34" s="321"/>
      <c r="CG34" s="211"/>
      <c r="CH34" s="211"/>
      <c r="CI34" s="262"/>
      <c r="CJ34" s="319"/>
      <c r="CK34" s="211"/>
      <c r="CL34" s="211"/>
      <c r="CM34" s="258"/>
      <c r="CN34" s="173"/>
      <c r="CO34" s="173"/>
      <c r="CP34" s="173"/>
      <c r="CQ34" s="173"/>
      <c r="CR34" s="173"/>
      <c r="CS34" s="173"/>
      <c r="CT34" s="173"/>
      <c r="CU34" s="173"/>
    </row>
    <row r="35" spans="1:99" s="13" customFormat="1" ht="13" thickBot="1">
      <c r="A35" s="17" t="s">
        <v>30</v>
      </c>
      <c r="B35" s="29"/>
      <c r="C35" s="30"/>
      <c r="D35" s="274"/>
      <c r="E35" s="275"/>
      <c r="F35" s="275"/>
      <c r="G35" s="275"/>
      <c r="H35" s="276"/>
      <c r="I35" s="277"/>
      <c r="J35" s="278"/>
      <c r="K35" s="291"/>
      <c r="L35" s="274"/>
      <c r="M35" s="275"/>
      <c r="N35" s="275"/>
      <c r="O35" s="275"/>
      <c r="P35" s="279"/>
      <c r="Q35" s="277"/>
      <c r="R35" s="278"/>
      <c r="S35" s="291"/>
      <c r="T35" s="274"/>
      <c r="U35" s="275"/>
      <c r="V35" s="275"/>
      <c r="W35" s="275"/>
      <c r="X35" s="279"/>
      <c r="Y35" s="277"/>
      <c r="Z35" s="278"/>
      <c r="AA35" s="291"/>
      <c r="AB35" s="274"/>
      <c r="AC35" s="275"/>
      <c r="AD35" s="275"/>
      <c r="AE35" s="275"/>
      <c r="AF35" s="279"/>
      <c r="AG35" s="277"/>
      <c r="AH35" s="278"/>
      <c r="AI35" s="291"/>
      <c r="AJ35" s="274"/>
      <c r="AK35" s="275"/>
      <c r="AL35" s="275"/>
      <c r="AM35" s="275"/>
      <c r="AN35" s="279"/>
      <c r="AO35" s="277"/>
      <c r="AP35" s="278"/>
      <c r="AQ35" s="291"/>
      <c r="AR35" s="280"/>
      <c r="AS35" s="277"/>
      <c r="AT35" s="277"/>
      <c r="AU35" s="277"/>
      <c r="AV35" s="281"/>
      <c r="AW35" s="277"/>
      <c r="AX35" s="278"/>
      <c r="AY35" s="36"/>
      <c r="AZ35" s="317"/>
      <c r="BA35" s="208">
        <f t="shared" si="1"/>
        <v>8</v>
      </c>
      <c r="BB35" s="176"/>
      <c r="BC35" s="176"/>
      <c r="BD35" s="176"/>
      <c r="BE35" s="176"/>
      <c r="BF35" s="176"/>
      <c r="BG35" s="176"/>
      <c r="BH35" s="176"/>
      <c r="BI35" s="176"/>
      <c r="BJ35" s="176"/>
      <c r="BK35" s="176"/>
      <c r="BL35" s="176"/>
      <c r="BM35" s="176"/>
      <c r="BN35" s="176"/>
      <c r="BO35" s="241">
        <f t="shared" si="2"/>
        <v>314</v>
      </c>
      <c r="BP35" s="238"/>
      <c r="BQ35" s="325">
        <v>158</v>
      </c>
      <c r="BR35" s="359"/>
      <c r="BS35" s="359">
        <v>3</v>
      </c>
      <c r="BT35" s="238"/>
      <c r="BU35" s="325">
        <v>281</v>
      </c>
      <c r="BV35" s="359"/>
      <c r="BW35" s="359">
        <v>5</v>
      </c>
      <c r="BX35" s="238"/>
      <c r="BY35" s="255"/>
      <c r="BZ35" s="244"/>
      <c r="CA35" s="264"/>
      <c r="CB35" s="238"/>
      <c r="CC35" s="255"/>
      <c r="CD35" s="244"/>
      <c r="CE35" s="256"/>
      <c r="CF35" s="322"/>
      <c r="CG35" s="239"/>
      <c r="CH35" s="239"/>
      <c r="CI35" s="264"/>
      <c r="CJ35" s="238"/>
      <c r="CK35" s="239"/>
      <c r="CL35" s="239"/>
      <c r="CM35" s="240"/>
      <c r="CN35" s="176"/>
      <c r="CO35" s="176"/>
      <c r="CP35" s="176"/>
      <c r="CQ35" s="176"/>
      <c r="CR35" s="176"/>
      <c r="CS35" s="176"/>
      <c r="CT35" s="176"/>
      <c r="CU35" s="176"/>
    </row>
    <row r="36" spans="1:99" s="4" customFormat="1">
      <c r="A36" s="15" t="s">
        <v>31</v>
      </c>
      <c r="B36" s="37">
        <v>40995</v>
      </c>
      <c r="C36" s="38" t="s">
        <v>77</v>
      </c>
      <c r="D36" s="282">
        <v>5.2</v>
      </c>
      <c r="E36" s="283">
        <v>4.4000000000000004</v>
      </c>
      <c r="F36" s="283">
        <v>4.8</v>
      </c>
      <c r="G36" s="283">
        <v>5.2</v>
      </c>
      <c r="H36" s="284">
        <v>7.2</v>
      </c>
      <c r="I36" s="285">
        <v>5.5</v>
      </c>
      <c r="J36" s="286">
        <v>5.5</v>
      </c>
      <c r="K36" s="292">
        <v>0</v>
      </c>
      <c r="L36" s="282">
        <v>2.9</v>
      </c>
      <c r="M36" s="283">
        <v>4.2</v>
      </c>
      <c r="N36" s="283">
        <v>5.6</v>
      </c>
      <c r="O36" s="283">
        <v>4.9000000000000004</v>
      </c>
      <c r="P36" s="287">
        <v>5.5</v>
      </c>
      <c r="Q36" s="285">
        <v>4.2</v>
      </c>
      <c r="R36" s="286">
        <v>5.5</v>
      </c>
      <c r="S36" s="292">
        <v>0</v>
      </c>
      <c r="T36" s="282">
        <v>4.7</v>
      </c>
      <c r="U36" s="283">
        <v>4.4000000000000004</v>
      </c>
      <c r="V36" s="283">
        <v>5.6</v>
      </c>
      <c r="W36" s="283">
        <v>6.5</v>
      </c>
      <c r="X36" s="287">
        <v>6.3</v>
      </c>
      <c r="Y36" s="285">
        <v>6.7</v>
      </c>
      <c r="Z36" s="286">
        <v>6.3</v>
      </c>
      <c r="AA36" s="292">
        <v>0</v>
      </c>
      <c r="AB36" s="282">
        <v>6.1</v>
      </c>
      <c r="AC36" s="283">
        <v>6.5</v>
      </c>
      <c r="AD36" s="283">
        <v>5.8</v>
      </c>
      <c r="AE36" s="283">
        <v>6.5</v>
      </c>
      <c r="AF36" s="287">
        <v>6.1</v>
      </c>
      <c r="AG36" s="285">
        <v>6</v>
      </c>
      <c r="AH36" s="286">
        <v>5.3</v>
      </c>
      <c r="AI36" s="292">
        <v>0</v>
      </c>
      <c r="AJ36" s="282">
        <v>5.6</v>
      </c>
      <c r="AK36" s="283">
        <v>5.7</v>
      </c>
      <c r="AL36" s="283">
        <v>5.0999999999999996</v>
      </c>
      <c r="AM36" s="283">
        <v>5.3</v>
      </c>
      <c r="AN36" s="287">
        <v>4.7</v>
      </c>
      <c r="AO36" s="285">
        <v>5.4</v>
      </c>
      <c r="AP36" s="286">
        <v>6.1</v>
      </c>
      <c r="AQ36" s="292">
        <v>0</v>
      </c>
      <c r="AR36" s="288">
        <v>6.4</v>
      </c>
      <c r="AS36" s="285">
        <v>5.5</v>
      </c>
      <c r="AT36" s="285">
        <v>4.2</v>
      </c>
      <c r="AU36" s="285">
        <v>6.5</v>
      </c>
      <c r="AV36" s="289">
        <v>5.6</v>
      </c>
      <c r="AW36" s="285">
        <v>6.3</v>
      </c>
      <c r="AX36" s="286">
        <v>5.8</v>
      </c>
      <c r="AY36" s="44">
        <v>0</v>
      </c>
      <c r="AZ36" s="18">
        <f t="shared" si="3"/>
        <v>5.4657142857142853</v>
      </c>
      <c r="BA36" s="200">
        <f t="shared" si="1"/>
        <v>0</v>
      </c>
      <c r="BB36" s="173"/>
      <c r="BC36" s="173"/>
      <c r="BD36" s="173"/>
      <c r="BE36" s="173"/>
      <c r="BF36" s="173"/>
      <c r="BG36" s="173"/>
      <c r="BH36" s="173"/>
      <c r="BI36" s="173"/>
      <c r="BJ36" s="173"/>
      <c r="BK36" s="173"/>
      <c r="BL36" s="173"/>
      <c r="BM36" s="173"/>
      <c r="BN36" s="173"/>
      <c r="BO36" s="323">
        <f>IF(B36=0,BO35,B36-DATE(YEAR(B36)-1,12,31))</f>
        <v>87</v>
      </c>
      <c r="BP36" s="318">
        <v>40652</v>
      </c>
      <c r="BQ36" s="323">
        <v>109</v>
      </c>
      <c r="BR36" s="360">
        <v>6.1542857142857148</v>
      </c>
      <c r="BS36" s="360">
        <v>0</v>
      </c>
      <c r="BT36" s="318">
        <v>40290</v>
      </c>
      <c r="BU36" s="323">
        <v>112</v>
      </c>
      <c r="BV36" s="360">
        <v>5.5342857142857138</v>
      </c>
      <c r="BW36" s="360">
        <v>0</v>
      </c>
      <c r="BX36" s="318">
        <v>39904</v>
      </c>
      <c r="BY36" s="250">
        <v>91</v>
      </c>
      <c r="BZ36" s="251">
        <v>0</v>
      </c>
      <c r="CA36" s="261">
        <v>0</v>
      </c>
      <c r="CB36" s="249">
        <v>39559</v>
      </c>
      <c r="CC36" s="250">
        <v>112</v>
      </c>
      <c r="CD36" s="251">
        <v>0</v>
      </c>
      <c r="CE36" s="250">
        <v>0</v>
      </c>
      <c r="CF36" s="259">
        <v>39199</v>
      </c>
      <c r="CG36" s="250">
        <v>117</v>
      </c>
      <c r="CH36" s="260">
        <v>7.5720000000000001</v>
      </c>
      <c r="CI36" s="261">
        <v>0</v>
      </c>
      <c r="CJ36" s="318">
        <v>38847</v>
      </c>
      <c r="CK36" s="250">
        <v>130</v>
      </c>
      <c r="CL36" s="260">
        <v>12.204000000000001</v>
      </c>
      <c r="CM36" s="257">
        <v>0.6</v>
      </c>
      <c r="CN36" s="173"/>
      <c r="CO36" s="173"/>
      <c r="CP36" s="173"/>
      <c r="CQ36" s="173"/>
      <c r="CR36" s="173"/>
      <c r="CS36" s="173"/>
      <c r="CT36" s="173"/>
      <c r="CU36" s="173"/>
    </row>
    <row r="37" spans="1:99" s="4" customFormat="1">
      <c r="A37" s="16" t="s">
        <v>31</v>
      </c>
      <c r="B37" s="21">
        <v>41037</v>
      </c>
      <c r="C37" s="22" t="s">
        <v>72</v>
      </c>
      <c r="D37" s="265">
        <v>6.5</v>
      </c>
      <c r="E37" s="266">
        <v>6.6</v>
      </c>
      <c r="F37" s="266">
        <v>8.1999999999999993</v>
      </c>
      <c r="G37" s="266">
        <v>7.8</v>
      </c>
      <c r="H37" s="267">
        <v>9.9</v>
      </c>
      <c r="I37" s="268">
        <v>8.1999999999999993</v>
      </c>
      <c r="J37" s="269">
        <v>6.9</v>
      </c>
      <c r="K37" s="290">
        <v>0</v>
      </c>
      <c r="L37" s="265">
        <v>5.2</v>
      </c>
      <c r="M37" s="266">
        <v>3.7</v>
      </c>
      <c r="N37" s="266">
        <v>6.4</v>
      </c>
      <c r="O37" s="266">
        <v>6.1</v>
      </c>
      <c r="P37" s="271">
        <v>8.6999999999999993</v>
      </c>
      <c r="Q37" s="268">
        <v>6.9</v>
      </c>
      <c r="R37" s="269">
        <v>8.3000000000000007</v>
      </c>
      <c r="S37" s="290">
        <v>0</v>
      </c>
      <c r="T37" s="265">
        <v>6</v>
      </c>
      <c r="U37" s="266">
        <v>5</v>
      </c>
      <c r="V37" s="266">
        <v>7.3</v>
      </c>
      <c r="W37" s="266">
        <v>9.1</v>
      </c>
      <c r="X37" s="271">
        <v>9.1</v>
      </c>
      <c r="Y37" s="268">
        <v>9.1</v>
      </c>
      <c r="Z37" s="269">
        <v>9</v>
      </c>
      <c r="AA37" s="290">
        <v>0</v>
      </c>
      <c r="AB37" s="265">
        <v>10.5</v>
      </c>
      <c r="AC37" s="266">
        <v>7.6</v>
      </c>
      <c r="AD37" s="266">
        <v>5.7</v>
      </c>
      <c r="AE37" s="266">
        <v>6.1</v>
      </c>
      <c r="AF37" s="271">
        <v>8</v>
      </c>
      <c r="AG37" s="268">
        <v>10.199999999999999</v>
      </c>
      <c r="AH37" s="269">
        <v>4.9000000000000004</v>
      </c>
      <c r="AI37" s="290">
        <v>0</v>
      </c>
      <c r="AJ37" s="265">
        <v>9.8000000000000007</v>
      </c>
      <c r="AK37" s="266">
        <v>9.4</v>
      </c>
      <c r="AL37" s="266">
        <v>8.3000000000000007</v>
      </c>
      <c r="AM37" s="266">
        <v>8.5</v>
      </c>
      <c r="AN37" s="271">
        <v>5.5</v>
      </c>
      <c r="AO37" s="268">
        <v>8.6</v>
      </c>
      <c r="AP37" s="269">
        <v>8.6999999999999993</v>
      </c>
      <c r="AQ37" s="290">
        <v>0</v>
      </c>
      <c r="AR37" s="272">
        <v>7.9</v>
      </c>
      <c r="AS37" s="268">
        <v>7.9</v>
      </c>
      <c r="AT37" s="268">
        <v>6.7</v>
      </c>
      <c r="AU37" s="268">
        <v>7.5</v>
      </c>
      <c r="AV37" s="273">
        <v>8.6999999999999993</v>
      </c>
      <c r="AW37" s="268">
        <v>10.1</v>
      </c>
      <c r="AX37" s="269">
        <v>6.6</v>
      </c>
      <c r="AY37" s="45">
        <v>0</v>
      </c>
      <c r="AZ37" s="19">
        <f t="shared" si="3"/>
        <v>7.5942857142857134</v>
      </c>
      <c r="BA37" s="227">
        <f t="shared" si="1"/>
        <v>0</v>
      </c>
      <c r="BB37" s="173"/>
      <c r="BC37" s="173"/>
      <c r="BD37" s="173"/>
      <c r="BE37" s="173"/>
      <c r="BF37" s="173"/>
      <c r="BG37" s="173"/>
      <c r="BH37" s="173"/>
      <c r="BI37" s="173"/>
      <c r="BJ37" s="173"/>
      <c r="BK37" s="173"/>
      <c r="BL37" s="173"/>
      <c r="BM37" s="173"/>
      <c r="BN37" s="173"/>
      <c r="BO37" s="324">
        <f>IF(B37=0,BO36,B37-DATE(YEAR(B37)-1,12,31))</f>
        <v>129</v>
      </c>
      <c r="BP37" s="319">
        <v>40659</v>
      </c>
      <c r="BQ37" s="324">
        <v>116</v>
      </c>
      <c r="BR37" s="358">
        <v>14.28857142857143</v>
      </c>
      <c r="BS37" s="358">
        <v>1</v>
      </c>
      <c r="BT37" s="319">
        <v>40294</v>
      </c>
      <c r="BU37" s="324">
        <v>116</v>
      </c>
      <c r="BV37" s="358">
        <v>5.74</v>
      </c>
      <c r="BW37" s="358">
        <v>0</v>
      </c>
      <c r="BX37" s="319"/>
      <c r="BY37" s="217"/>
      <c r="BZ37" s="219"/>
      <c r="CA37" s="262"/>
      <c r="CB37" s="218">
        <v>39562</v>
      </c>
      <c r="CC37" s="217">
        <v>115</v>
      </c>
      <c r="CD37" s="219">
        <v>5.5280000000000005</v>
      </c>
      <c r="CE37" s="217">
        <v>0</v>
      </c>
      <c r="CF37" s="220">
        <v>39202</v>
      </c>
      <c r="CG37" s="217">
        <v>120</v>
      </c>
      <c r="CH37" s="211">
        <v>8.3039999999999985</v>
      </c>
      <c r="CI37" s="262">
        <v>0</v>
      </c>
      <c r="CJ37" s="319">
        <v>38849</v>
      </c>
      <c r="CK37" s="217">
        <v>132</v>
      </c>
      <c r="CL37" s="211">
        <v>14.16</v>
      </c>
      <c r="CM37" s="258">
        <v>1</v>
      </c>
      <c r="CN37" s="173"/>
      <c r="CO37" s="173"/>
      <c r="CP37" s="173"/>
      <c r="CQ37" s="173"/>
      <c r="CR37" s="173"/>
      <c r="CS37" s="173"/>
      <c r="CT37" s="173"/>
      <c r="CU37" s="173"/>
    </row>
    <row r="38" spans="1:99" s="4" customFormat="1">
      <c r="A38" s="16" t="s">
        <v>31</v>
      </c>
      <c r="B38" s="21">
        <v>41041</v>
      </c>
      <c r="C38" s="365" t="s">
        <v>72</v>
      </c>
      <c r="D38" s="265">
        <v>8</v>
      </c>
      <c r="E38" s="266">
        <v>7.4</v>
      </c>
      <c r="F38" s="266">
        <v>11.5</v>
      </c>
      <c r="G38" s="266">
        <v>10.3</v>
      </c>
      <c r="H38" s="267">
        <v>13.8</v>
      </c>
      <c r="I38" s="268">
        <v>10.4</v>
      </c>
      <c r="J38" s="269">
        <v>8.4</v>
      </c>
      <c r="K38" s="290">
        <v>0</v>
      </c>
      <c r="L38" s="265">
        <v>5.7</v>
      </c>
      <c r="M38" s="266">
        <v>4.7</v>
      </c>
      <c r="N38" s="266">
        <v>10.5</v>
      </c>
      <c r="O38" s="266">
        <v>7.3</v>
      </c>
      <c r="P38" s="271">
        <v>11.5</v>
      </c>
      <c r="Q38" s="268">
        <v>11.6</v>
      </c>
      <c r="R38" s="269">
        <v>10.6</v>
      </c>
      <c r="S38" s="290">
        <v>0</v>
      </c>
      <c r="T38" s="265">
        <v>6.4</v>
      </c>
      <c r="U38" s="266">
        <v>5.6</v>
      </c>
      <c r="V38" s="266">
        <v>7.2</v>
      </c>
      <c r="W38" s="266">
        <v>10.9</v>
      </c>
      <c r="X38" s="271">
        <v>10.3</v>
      </c>
      <c r="Y38" s="268">
        <v>10.1</v>
      </c>
      <c r="Z38" s="269">
        <v>12.2</v>
      </c>
      <c r="AA38" s="290">
        <v>0</v>
      </c>
      <c r="AB38" s="265">
        <v>13.2</v>
      </c>
      <c r="AC38" s="266">
        <v>9.6999999999999993</v>
      </c>
      <c r="AD38" s="266">
        <v>7.2</v>
      </c>
      <c r="AE38" s="266">
        <v>7.1</v>
      </c>
      <c r="AF38" s="271">
        <v>12.1</v>
      </c>
      <c r="AG38" s="268">
        <v>13.1</v>
      </c>
      <c r="AH38" s="269">
        <v>10.5</v>
      </c>
      <c r="AI38" s="290">
        <v>0</v>
      </c>
      <c r="AJ38" s="265">
        <v>13.1</v>
      </c>
      <c r="AK38" s="266">
        <v>12.4</v>
      </c>
      <c r="AL38" s="266">
        <v>9.4</v>
      </c>
      <c r="AM38" s="266">
        <v>11.5</v>
      </c>
      <c r="AN38" s="271">
        <v>6.3</v>
      </c>
      <c r="AO38" s="268">
        <v>10.8</v>
      </c>
      <c r="AP38" s="269">
        <v>13.4</v>
      </c>
      <c r="AQ38" s="290">
        <v>0</v>
      </c>
      <c r="AR38" s="272">
        <v>9.6999999999999993</v>
      </c>
      <c r="AS38" s="268">
        <v>8.6999999999999993</v>
      </c>
      <c r="AT38" s="268">
        <v>8.9</v>
      </c>
      <c r="AU38" s="268">
        <v>8.1999999999999993</v>
      </c>
      <c r="AV38" s="273">
        <v>10</v>
      </c>
      <c r="AW38" s="268">
        <v>13</v>
      </c>
      <c r="AX38" s="269">
        <v>8.6</v>
      </c>
      <c r="AY38" s="45">
        <v>1</v>
      </c>
      <c r="AZ38" s="19">
        <f t="shared" si="3"/>
        <v>9.8342857142857145</v>
      </c>
      <c r="BA38" s="227">
        <f t="shared" si="1"/>
        <v>0</v>
      </c>
      <c r="BB38" s="173"/>
      <c r="BC38" s="173"/>
      <c r="BD38" s="173"/>
      <c r="BE38" s="173"/>
      <c r="BF38" s="173"/>
      <c r="BG38" s="173"/>
      <c r="BH38" s="173"/>
      <c r="BI38" s="173"/>
      <c r="BJ38" s="173"/>
      <c r="BK38" s="173"/>
      <c r="BL38" s="173"/>
      <c r="BM38" s="173"/>
      <c r="BN38" s="173"/>
      <c r="BO38" s="324">
        <f>IF(B38=0,BO37,B38-DATE(YEAR(B38)-1,12,31))</f>
        <v>133</v>
      </c>
      <c r="BP38" s="319">
        <v>40665</v>
      </c>
      <c r="BQ38" s="324">
        <v>122</v>
      </c>
      <c r="BR38" s="358">
        <v>17.220000000000002</v>
      </c>
      <c r="BS38" s="358">
        <v>1.8</v>
      </c>
      <c r="BT38" s="319">
        <v>40301</v>
      </c>
      <c r="BU38" s="324">
        <v>123</v>
      </c>
      <c r="BV38" s="358">
        <v>6.588571428571429</v>
      </c>
      <c r="BW38" s="358">
        <v>0</v>
      </c>
      <c r="BX38" s="319"/>
      <c r="BY38" s="217"/>
      <c r="BZ38" s="219"/>
      <c r="CA38" s="262"/>
      <c r="CB38" s="218">
        <v>39566</v>
      </c>
      <c r="CC38" s="217">
        <v>119</v>
      </c>
      <c r="CD38" s="219">
        <v>5.7520000000000007</v>
      </c>
      <c r="CE38" s="217">
        <v>0</v>
      </c>
      <c r="CF38" s="220">
        <v>39206</v>
      </c>
      <c r="CG38" s="217">
        <v>124</v>
      </c>
      <c r="CH38" s="211">
        <v>10.551999999999998</v>
      </c>
      <c r="CI38" s="262">
        <v>0.2</v>
      </c>
      <c r="CJ38" s="319">
        <v>38852</v>
      </c>
      <c r="CK38" s="217">
        <v>135</v>
      </c>
      <c r="CL38" s="211">
        <v>16.155999999999999</v>
      </c>
      <c r="CM38" s="258">
        <v>1</v>
      </c>
      <c r="CN38" s="173"/>
      <c r="CO38" s="173"/>
      <c r="CP38" s="173"/>
      <c r="CQ38" s="173"/>
      <c r="CR38" s="173"/>
      <c r="CS38" s="173"/>
      <c r="CT38" s="173"/>
      <c r="CU38" s="173"/>
    </row>
    <row r="39" spans="1:99" s="4" customFormat="1">
      <c r="A39" s="16" t="s">
        <v>31</v>
      </c>
      <c r="B39" s="21">
        <v>41046</v>
      </c>
      <c r="C39" s="22" t="s">
        <v>72</v>
      </c>
      <c r="D39" s="265">
        <v>10.5</v>
      </c>
      <c r="E39" s="266">
        <v>9.6</v>
      </c>
      <c r="F39" s="266">
        <v>17.100000000000001</v>
      </c>
      <c r="G39" s="266">
        <v>14</v>
      </c>
      <c r="H39" s="267">
        <v>19.100000000000001</v>
      </c>
      <c r="I39" s="268">
        <v>16.8</v>
      </c>
      <c r="J39" s="269">
        <v>11.4</v>
      </c>
      <c r="K39" s="290">
        <v>1</v>
      </c>
      <c r="L39" s="265">
        <v>7.1</v>
      </c>
      <c r="M39" s="266">
        <v>4.8</v>
      </c>
      <c r="N39" s="266">
        <v>15.5</v>
      </c>
      <c r="O39" s="266">
        <v>8.5</v>
      </c>
      <c r="P39" s="271">
        <v>17.399999999999999</v>
      </c>
      <c r="Q39" s="268">
        <v>15.6</v>
      </c>
      <c r="R39" s="269">
        <v>15.2</v>
      </c>
      <c r="S39" s="290">
        <v>1</v>
      </c>
      <c r="T39" s="265">
        <v>7.1</v>
      </c>
      <c r="U39" s="266">
        <v>6.4</v>
      </c>
      <c r="V39" s="266">
        <v>9</v>
      </c>
      <c r="W39" s="266">
        <v>15.5</v>
      </c>
      <c r="X39" s="271">
        <v>16.5</v>
      </c>
      <c r="Y39" s="268">
        <v>16.3</v>
      </c>
      <c r="Z39" s="269">
        <v>16.5</v>
      </c>
      <c r="AA39" s="290">
        <v>1</v>
      </c>
      <c r="AB39" s="265">
        <v>18.100000000000001</v>
      </c>
      <c r="AC39" s="266">
        <v>15.2</v>
      </c>
      <c r="AD39" s="266">
        <v>8.6</v>
      </c>
      <c r="AE39" s="266">
        <v>10.3</v>
      </c>
      <c r="AF39" s="271">
        <v>20.7</v>
      </c>
      <c r="AG39" s="268">
        <v>19.5</v>
      </c>
      <c r="AH39" s="269">
        <v>13.9</v>
      </c>
      <c r="AI39" s="290">
        <v>1</v>
      </c>
      <c r="AJ39" s="265">
        <v>17</v>
      </c>
      <c r="AK39" s="266">
        <v>17.3</v>
      </c>
      <c r="AL39" s="266">
        <v>13.2</v>
      </c>
      <c r="AM39" s="266">
        <v>15.2</v>
      </c>
      <c r="AN39" s="271">
        <v>7.5</v>
      </c>
      <c r="AO39" s="268">
        <v>14.1</v>
      </c>
      <c r="AP39" s="269">
        <v>18.100000000000001</v>
      </c>
      <c r="AQ39" s="290">
        <v>1</v>
      </c>
      <c r="AR39" s="272">
        <v>12.8</v>
      </c>
      <c r="AS39" s="268">
        <v>13.6</v>
      </c>
      <c r="AT39" s="268">
        <v>11.3</v>
      </c>
      <c r="AU39" s="268">
        <v>6.5</v>
      </c>
      <c r="AV39" s="273">
        <v>14.7</v>
      </c>
      <c r="AW39" s="268">
        <v>17.899999999999999</v>
      </c>
      <c r="AX39" s="269">
        <v>10</v>
      </c>
      <c r="AY39" s="45">
        <v>1</v>
      </c>
      <c r="AZ39" s="19">
        <f t="shared" si="3"/>
        <v>13.674285714285716</v>
      </c>
      <c r="BA39" s="227">
        <f t="shared" si="1"/>
        <v>1</v>
      </c>
      <c r="BB39" s="173"/>
      <c r="BC39" s="173"/>
      <c r="BD39" s="173"/>
      <c r="BE39" s="173"/>
      <c r="BF39" s="173"/>
      <c r="BG39" s="173"/>
      <c r="BH39" s="173"/>
      <c r="BI39" s="173"/>
      <c r="BJ39" s="173"/>
      <c r="BK39" s="173"/>
      <c r="BL39" s="173"/>
      <c r="BM39" s="173"/>
      <c r="BN39" s="173"/>
      <c r="BO39" s="324">
        <f>IF(B39=0,BO38,B39-DATE(YEAR(B39)-1,12,31))</f>
        <v>138</v>
      </c>
      <c r="BP39" s="319">
        <v>40673</v>
      </c>
      <c r="BQ39" s="324">
        <v>130</v>
      </c>
      <c r="BR39" s="358">
        <v>27.279999999999994</v>
      </c>
      <c r="BS39" s="358">
        <v>2</v>
      </c>
      <c r="BT39" s="319">
        <v>40308</v>
      </c>
      <c r="BU39" s="324">
        <v>130</v>
      </c>
      <c r="BV39" s="358">
        <v>7.3971428571428577</v>
      </c>
      <c r="BW39" s="358">
        <v>0</v>
      </c>
      <c r="BX39" s="319"/>
      <c r="BY39" s="217"/>
      <c r="BZ39" s="219"/>
      <c r="CA39" s="262"/>
      <c r="CB39" s="218">
        <v>39570</v>
      </c>
      <c r="CC39" s="217">
        <v>123</v>
      </c>
      <c r="CD39" s="219">
        <v>6.347999999999999</v>
      </c>
      <c r="CE39" s="217">
        <v>0</v>
      </c>
      <c r="CF39" s="220">
        <v>39210</v>
      </c>
      <c r="CG39" s="217">
        <v>128</v>
      </c>
      <c r="CH39" s="211">
        <v>14.375999999999999</v>
      </c>
      <c r="CI39" s="262">
        <v>0.8</v>
      </c>
      <c r="CJ39" s="319">
        <v>38856</v>
      </c>
      <c r="CK39" s="217">
        <v>139</v>
      </c>
      <c r="CL39" s="211">
        <v>18.38</v>
      </c>
      <c r="CM39" s="258">
        <v>1.6</v>
      </c>
      <c r="CN39" s="173"/>
      <c r="CO39" s="173"/>
      <c r="CP39" s="173"/>
      <c r="CQ39" s="173"/>
      <c r="CR39" s="173"/>
      <c r="CS39" s="173"/>
      <c r="CT39" s="173"/>
      <c r="CU39" s="173"/>
    </row>
    <row r="40" spans="1:99" s="4" customFormat="1">
      <c r="A40" s="16" t="s">
        <v>31</v>
      </c>
      <c r="B40" s="21">
        <v>41050</v>
      </c>
      <c r="C40" s="22" t="s">
        <v>78</v>
      </c>
      <c r="D40" s="265"/>
      <c r="E40" s="266">
        <v>16.399999999999999</v>
      </c>
      <c r="F40" s="266">
        <v>22.3</v>
      </c>
      <c r="G40" s="266">
        <v>18.100000000000001</v>
      </c>
      <c r="H40" s="267">
        <v>29.5</v>
      </c>
      <c r="I40" s="268">
        <v>23.1</v>
      </c>
      <c r="J40" s="269">
        <v>16.8</v>
      </c>
      <c r="K40" s="290">
        <v>1</v>
      </c>
      <c r="L40" s="265">
        <v>8.9</v>
      </c>
      <c r="M40" s="266">
        <v>10.5</v>
      </c>
      <c r="N40" s="266">
        <v>22.7</v>
      </c>
      <c r="O40" s="266">
        <v>8.9</v>
      </c>
      <c r="P40" s="271">
        <v>23.5</v>
      </c>
      <c r="Q40" s="268">
        <v>17.899999999999999</v>
      </c>
      <c r="R40" s="269">
        <v>21.3</v>
      </c>
      <c r="S40" s="290">
        <v>1</v>
      </c>
      <c r="T40" s="265">
        <v>8.3000000000000007</v>
      </c>
      <c r="U40" s="266">
        <v>5.9</v>
      </c>
      <c r="V40" s="266">
        <v>14.7</v>
      </c>
      <c r="W40" s="266">
        <v>21.4</v>
      </c>
      <c r="X40" s="271">
        <v>23.5</v>
      </c>
      <c r="Y40" s="268">
        <v>21.1</v>
      </c>
      <c r="Z40" s="269">
        <v>23.4</v>
      </c>
      <c r="AA40" s="290">
        <v>1</v>
      </c>
      <c r="AB40" s="265">
        <v>26.5</v>
      </c>
      <c r="AC40" s="266">
        <v>18.7</v>
      </c>
      <c r="AD40" s="266">
        <v>12.2</v>
      </c>
      <c r="AE40" s="266">
        <v>16.5</v>
      </c>
      <c r="AF40" s="271">
        <v>26.7</v>
      </c>
      <c r="AG40" s="268">
        <v>6.9</v>
      </c>
      <c r="AH40" s="269">
        <v>21.1</v>
      </c>
      <c r="AI40" s="290">
        <v>1</v>
      </c>
      <c r="AJ40" s="265">
        <v>25.8</v>
      </c>
      <c r="AK40" s="266">
        <v>23.4</v>
      </c>
      <c r="AL40" s="266">
        <v>16.600000000000001</v>
      </c>
      <c r="AM40" s="266">
        <v>20.8</v>
      </c>
      <c r="AN40" s="271">
        <v>9.6</v>
      </c>
      <c r="AO40" s="268">
        <v>29.1</v>
      </c>
      <c r="AP40" s="269">
        <v>23.2</v>
      </c>
      <c r="AQ40" s="290">
        <v>1</v>
      </c>
      <c r="AR40" s="272">
        <v>16.8</v>
      </c>
      <c r="AS40" s="268">
        <v>16</v>
      </c>
      <c r="AT40" s="268">
        <v>17.100000000000001</v>
      </c>
      <c r="AU40" s="268">
        <v>17.8</v>
      </c>
      <c r="AV40" s="273">
        <v>19.399999999999999</v>
      </c>
      <c r="AW40" s="268">
        <v>27.9</v>
      </c>
      <c r="AX40" s="269">
        <v>15.3</v>
      </c>
      <c r="AY40" s="45">
        <v>1</v>
      </c>
      <c r="AZ40" s="19">
        <f t="shared" si="3"/>
        <v>18.752380952380957</v>
      </c>
      <c r="BA40" s="227">
        <f t="shared" si="1"/>
        <v>1</v>
      </c>
      <c r="BB40" s="173"/>
      <c r="BC40" s="173"/>
      <c r="BD40" s="173"/>
      <c r="BE40" s="173"/>
      <c r="BF40" s="173"/>
      <c r="BG40" s="173"/>
      <c r="BH40" s="173"/>
      <c r="BI40" s="173"/>
      <c r="BJ40" s="173"/>
      <c r="BK40" s="173"/>
      <c r="BL40" s="173"/>
      <c r="BM40" s="173"/>
      <c r="BN40" s="173"/>
      <c r="BO40" s="324">
        <f t="shared" si="2"/>
        <v>142</v>
      </c>
      <c r="BP40" s="319">
        <v>40679</v>
      </c>
      <c r="BQ40" s="324">
        <v>136</v>
      </c>
      <c r="BR40" s="358">
        <v>39.757142857142853</v>
      </c>
      <c r="BS40" s="358">
        <v>2</v>
      </c>
      <c r="BT40" s="319">
        <v>40315</v>
      </c>
      <c r="BU40" s="324">
        <v>137</v>
      </c>
      <c r="BV40" s="358">
        <v>11.434285714285712</v>
      </c>
      <c r="BW40" s="358">
        <v>0.8</v>
      </c>
      <c r="BX40" s="319"/>
      <c r="BY40" s="217"/>
      <c r="BZ40" s="219"/>
      <c r="CA40" s="262"/>
      <c r="CB40" s="218">
        <v>39574</v>
      </c>
      <c r="CC40" s="217">
        <v>127</v>
      </c>
      <c r="CD40" s="219">
        <v>7.6519999999999984</v>
      </c>
      <c r="CE40" s="217">
        <v>0</v>
      </c>
      <c r="CF40" s="220">
        <v>39213</v>
      </c>
      <c r="CG40" s="217">
        <v>131</v>
      </c>
      <c r="CH40" s="211">
        <v>16.151999999999997</v>
      </c>
      <c r="CI40" s="262">
        <v>1</v>
      </c>
      <c r="CJ40" s="319">
        <v>38859</v>
      </c>
      <c r="CK40" s="217">
        <v>142</v>
      </c>
      <c r="CL40" s="211">
        <v>21.015999999999998</v>
      </c>
      <c r="CM40" s="258">
        <v>2</v>
      </c>
      <c r="CN40" s="173"/>
      <c r="CO40" s="173"/>
      <c r="CP40" s="173"/>
      <c r="CQ40" s="173"/>
      <c r="CR40" s="173"/>
      <c r="CS40" s="173"/>
      <c r="CT40" s="173"/>
      <c r="CU40" s="173"/>
    </row>
    <row r="41" spans="1:99" s="4" customFormat="1">
      <c r="A41" s="16" t="s">
        <v>31</v>
      </c>
      <c r="B41" s="21">
        <v>41054</v>
      </c>
      <c r="C41" s="22" t="s">
        <v>72</v>
      </c>
      <c r="D41" s="265">
        <v>28.6</v>
      </c>
      <c r="E41" s="266">
        <v>29.5</v>
      </c>
      <c r="F41" s="266">
        <v>44.3</v>
      </c>
      <c r="G41" s="266">
        <v>28.9</v>
      </c>
      <c r="H41" s="267">
        <v>51.8</v>
      </c>
      <c r="I41" s="268">
        <v>41.3</v>
      </c>
      <c r="J41" s="269">
        <v>34.5</v>
      </c>
      <c r="K41" s="290">
        <v>2</v>
      </c>
      <c r="L41" s="265">
        <v>5.0999999999999996</v>
      </c>
      <c r="M41" s="266">
        <v>8.3000000000000007</v>
      </c>
      <c r="N41" s="266">
        <v>36</v>
      </c>
      <c r="O41" s="266">
        <v>18.100000000000001</v>
      </c>
      <c r="P41" s="271">
        <v>37.200000000000003</v>
      </c>
      <c r="Q41" s="268">
        <v>22.9</v>
      </c>
      <c r="R41" s="269">
        <v>35.299999999999997</v>
      </c>
      <c r="S41" s="290">
        <v>2</v>
      </c>
      <c r="T41" s="265">
        <v>15.5</v>
      </c>
      <c r="U41" s="266">
        <v>15.2</v>
      </c>
      <c r="V41" s="266">
        <v>27.1</v>
      </c>
      <c r="W41" s="266">
        <v>35.299999999999997</v>
      </c>
      <c r="X41" s="271">
        <v>40.700000000000003</v>
      </c>
      <c r="Y41" s="268">
        <v>31.7</v>
      </c>
      <c r="Z41" s="269">
        <v>34.299999999999997</v>
      </c>
      <c r="AA41" s="290">
        <v>2</v>
      </c>
      <c r="AB41" s="265">
        <v>46.9</v>
      </c>
      <c r="AC41" s="266">
        <v>47.8</v>
      </c>
      <c r="AD41" s="266">
        <v>25.2</v>
      </c>
      <c r="AE41" s="266">
        <v>25</v>
      </c>
      <c r="AF41" s="271">
        <v>46</v>
      </c>
      <c r="AG41" s="268">
        <v>9.1999999999999993</v>
      </c>
      <c r="AH41" s="269">
        <v>11.2</v>
      </c>
      <c r="AI41" s="290">
        <v>2</v>
      </c>
      <c r="AJ41" s="265">
        <v>44.9</v>
      </c>
      <c r="AK41" s="266">
        <v>47</v>
      </c>
      <c r="AL41" s="266">
        <v>29</v>
      </c>
      <c r="AM41" s="266">
        <v>38</v>
      </c>
      <c r="AN41" s="271">
        <v>15.9</v>
      </c>
      <c r="AO41" s="268">
        <v>26.2</v>
      </c>
      <c r="AP41" s="269">
        <v>45.2</v>
      </c>
      <c r="AQ41" s="290">
        <v>2</v>
      </c>
      <c r="AR41" s="272">
        <v>29.7</v>
      </c>
      <c r="AS41" s="268">
        <v>31.6</v>
      </c>
      <c r="AT41" s="268">
        <v>32.6</v>
      </c>
      <c r="AU41" s="268">
        <v>34.6</v>
      </c>
      <c r="AV41" s="273">
        <v>32.700000000000003</v>
      </c>
      <c r="AW41" s="268">
        <v>42.3</v>
      </c>
      <c r="AX41" s="269">
        <v>28.5</v>
      </c>
      <c r="AY41" s="45">
        <v>2</v>
      </c>
      <c r="AZ41" s="19">
        <f t="shared" si="3"/>
        <v>30.831428571428567</v>
      </c>
      <c r="BA41" s="227">
        <f t="shared" si="1"/>
        <v>2</v>
      </c>
      <c r="BB41" s="173"/>
      <c r="BC41" s="173"/>
      <c r="BD41" s="173"/>
      <c r="BE41" s="173"/>
      <c r="BF41" s="173"/>
      <c r="BG41" s="173"/>
      <c r="BH41" s="173"/>
      <c r="BI41" s="173"/>
      <c r="BJ41" s="173"/>
      <c r="BK41" s="173"/>
      <c r="BL41" s="173"/>
      <c r="BM41" s="173"/>
      <c r="BN41" s="173"/>
      <c r="BO41" s="324">
        <f t="shared" si="2"/>
        <v>146</v>
      </c>
      <c r="BP41" s="319">
        <v>40683</v>
      </c>
      <c r="BQ41" s="324">
        <v>140</v>
      </c>
      <c r="BR41" s="358">
        <v>42.734285714285718</v>
      </c>
      <c r="BS41" s="358">
        <v>2</v>
      </c>
      <c r="BT41" s="319">
        <v>40319</v>
      </c>
      <c r="BU41" s="324">
        <v>141</v>
      </c>
      <c r="BV41" s="358">
        <v>18.39142857142857</v>
      </c>
      <c r="BW41" s="358">
        <v>1.8</v>
      </c>
      <c r="BX41" s="319"/>
      <c r="BY41" s="217"/>
      <c r="BZ41" s="219"/>
      <c r="CA41" s="262"/>
      <c r="CB41" s="218">
        <v>39577</v>
      </c>
      <c r="CC41" s="217">
        <v>130</v>
      </c>
      <c r="CD41" s="219">
        <v>11.548</v>
      </c>
      <c r="CE41" s="217">
        <v>0.4</v>
      </c>
      <c r="CF41" s="220">
        <v>39217</v>
      </c>
      <c r="CG41" s="217">
        <v>135</v>
      </c>
      <c r="CH41" s="211">
        <v>19.279999999999998</v>
      </c>
      <c r="CI41" s="262">
        <v>1</v>
      </c>
      <c r="CJ41" s="319">
        <v>38861</v>
      </c>
      <c r="CK41" s="217">
        <v>144</v>
      </c>
      <c r="CL41" s="211">
        <v>23.588000000000001</v>
      </c>
      <c r="CM41" s="258">
        <v>2</v>
      </c>
      <c r="CN41" s="173"/>
      <c r="CO41" s="173"/>
      <c r="CP41" s="173"/>
      <c r="CQ41" s="173"/>
      <c r="CR41" s="173"/>
      <c r="CS41" s="173"/>
      <c r="CT41" s="173"/>
      <c r="CU41" s="173"/>
    </row>
    <row r="42" spans="1:99" s="4" customFormat="1">
      <c r="A42" s="16" t="s">
        <v>31</v>
      </c>
      <c r="B42" s="21">
        <v>41058</v>
      </c>
      <c r="C42" s="22" t="s">
        <v>72</v>
      </c>
      <c r="D42" s="265">
        <v>39.9</v>
      </c>
      <c r="E42" s="266">
        <v>38.299999999999997</v>
      </c>
      <c r="F42" s="266">
        <v>56.7</v>
      </c>
      <c r="G42" s="266">
        <v>39.5</v>
      </c>
      <c r="H42" s="267">
        <v>63.7</v>
      </c>
      <c r="I42" s="268">
        <v>51.1</v>
      </c>
      <c r="J42" s="269">
        <v>45.8</v>
      </c>
      <c r="K42" s="290">
        <v>2</v>
      </c>
      <c r="L42" s="265">
        <v>4.9000000000000004</v>
      </c>
      <c r="M42" s="266">
        <v>43.3</v>
      </c>
      <c r="N42" s="266">
        <v>42.5</v>
      </c>
      <c r="O42" s="266">
        <v>21.2</v>
      </c>
      <c r="P42" s="271">
        <v>43.6</v>
      </c>
      <c r="Q42" s="268">
        <v>0</v>
      </c>
      <c r="R42" s="269">
        <v>45.3</v>
      </c>
      <c r="S42" s="290">
        <v>2</v>
      </c>
      <c r="T42" s="265">
        <v>20.2</v>
      </c>
      <c r="U42" s="266">
        <v>22.7</v>
      </c>
      <c r="V42" s="266">
        <v>36.6</v>
      </c>
      <c r="W42" s="266">
        <v>46.8</v>
      </c>
      <c r="X42" s="271">
        <v>49</v>
      </c>
      <c r="Y42" s="268">
        <v>44.1</v>
      </c>
      <c r="Z42" s="269">
        <v>43.7</v>
      </c>
      <c r="AA42" s="290">
        <v>2</v>
      </c>
      <c r="AB42" s="265">
        <v>59.6</v>
      </c>
      <c r="AC42" s="266">
        <v>53.4</v>
      </c>
      <c r="AD42" s="266">
        <v>31.8</v>
      </c>
      <c r="AE42" s="266">
        <v>44.4</v>
      </c>
      <c r="AF42" s="271">
        <v>56.1</v>
      </c>
      <c r="AG42" s="268">
        <v>17.8</v>
      </c>
      <c r="AH42" s="269">
        <v>10</v>
      </c>
      <c r="AI42" s="290">
        <v>2</v>
      </c>
      <c r="AJ42" s="265">
        <v>57.8</v>
      </c>
      <c r="AK42" s="266">
        <v>60.8</v>
      </c>
      <c r="AL42" s="266">
        <v>34.1</v>
      </c>
      <c r="AM42" s="266">
        <v>46.5</v>
      </c>
      <c r="AN42" s="271">
        <v>23.8</v>
      </c>
      <c r="AO42" s="268">
        <v>31.4</v>
      </c>
      <c r="AP42" s="269">
        <v>57.4</v>
      </c>
      <c r="AQ42" s="290">
        <v>2</v>
      </c>
      <c r="AR42" s="272">
        <v>34.799999999999997</v>
      </c>
      <c r="AS42" s="268">
        <v>41</v>
      </c>
      <c r="AT42" s="268">
        <v>39.299999999999997</v>
      </c>
      <c r="AU42" s="268">
        <v>45.1</v>
      </c>
      <c r="AV42" s="273">
        <v>40.6</v>
      </c>
      <c r="AW42" s="268">
        <v>55.9</v>
      </c>
      <c r="AX42" s="269">
        <v>37.200000000000003</v>
      </c>
      <c r="AY42" s="45">
        <v>2</v>
      </c>
      <c r="AZ42" s="19">
        <f t="shared" si="3"/>
        <v>39.537142857142861</v>
      </c>
      <c r="BA42" s="227">
        <f t="shared" si="1"/>
        <v>2</v>
      </c>
      <c r="BB42" s="173"/>
      <c r="BC42" s="173"/>
      <c r="BD42" s="173"/>
      <c r="BE42" s="173"/>
      <c r="BF42" s="173"/>
      <c r="BG42" s="173"/>
      <c r="BH42" s="173"/>
      <c r="BI42" s="173"/>
      <c r="BJ42" s="173"/>
      <c r="BK42" s="173"/>
      <c r="BL42" s="173"/>
      <c r="BM42" s="173"/>
      <c r="BN42" s="173"/>
      <c r="BO42" s="324">
        <f t="shared" si="2"/>
        <v>150</v>
      </c>
      <c r="BP42" s="319">
        <v>40689</v>
      </c>
      <c r="BQ42" s="324">
        <v>146</v>
      </c>
      <c r="BR42" s="358">
        <v>48.978571428571435</v>
      </c>
      <c r="BS42" s="358">
        <v>2</v>
      </c>
      <c r="BT42" s="319">
        <v>40323</v>
      </c>
      <c r="BU42" s="324">
        <v>145</v>
      </c>
      <c r="BV42" s="358">
        <v>24.775714285714287</v>
      </c>
      <c r="BW42" s="358">
        <v>2</v>
      </c>
      <c r="BX42" s="319"/>
      <c r="BY42" s="217"/>
      <c r="BZ42" s="219"/>
      <c r="CA42" s="262"/>
      <c r="CB42" s="218">
        <v>39581</v>
      </c>
      <c r="CC42" s="217">
        <v>134</v>
      </c>
      <c r="CD42" s="219">
        <v>16.351999999999997</v>
      </c>
      <c r="CE42" s="217">
        <v>1</v>
      </c>
      <c r="CF42" s="220">
        <v>39220</v>
      </c>
      <c r="CG42" s="217">
        <v>138</v>
      </c>
      <c r="CH42" s="211">
        <v>22.015999999999998</v>
      </c>
      <c r="CI42" s="262">
        <v>1.6</v>
      </c>
      <c r="CJ42" s="319">
        <v>38866</v>
      </c>
      <c r="CK42" s="217">
        <v>149</v>
      </c>
      <c r="CL42" s="211">
        <v>29.3</v>
      </c>
      <c r="CM42" s="258">
        <v>2</v>
      </c>
      <c r="CN42" s="173"/>
      <c r="CO42" s="173"/>
      <c r="CP42" s="173"/>
      <c r="CQ42" s="173"/>
      <c r="CR42" s="173"/>
      <c r="CS42" s="173"/>
      <c r="CT42" s="173"/>
      <c r="CU42" s="173"/>
    </row>
    <row r="43" spans="1:99" s="4" customFormat="1">
      <c r="A43" s="16" t="s">
        <v>31</v>
      </c>
      <c r="B43" s="21">
        <v>41061</v>
      </c>
      <c r="C43" s="22" t="s">
        <v>72</v>
      </c>
      <c r="D43" s="265">
        <v>42.2</v>
      </c>
      <c r="E43" s="266">
        <v>38.6</v>
      </c>
      <c r="F43" s="266">
        <v>58.3</v>
      </c>
      <c r="G43" s="266">
        <v>37.299999999999997</v>
      </c>
      <c r="H43" s="267">
        <v>68.8</v>
      </c>
      <c r="I43" s="268">
        <v>53.2</v>
      </c>
      <c r="J43" s="269">
        <v>43.6</v>
      </c>
      <c r="K43" s="290">
        <v>2</v>
      </c>
      <c r="L43" s="265">
        <v>0</v>
      </c>
      <c r="M43" s="266">
        <v>43.4</v>
      </c>
      <c r="N43" s="266">
        <v>44.1</v>
      </c>
      <c r="O43" s="266">
        <v>47.6</v>
      </c>
      <c r="P43" s="271">
        <v>48.5</v>
      </c>
      <c r="Q43" s="268">
        <v>0</v>
      </c>
      <c r="R43" s="269">
        <v>47.4</v>
      </c>
      <c r="S43" s="290">
        <v>2</v>
      </c>
      <c r="T43" s="265">
        <v>20.9</v>
      </c>
      <c r="U43" s="266">
        <v>20.7</v>
      </c>
      <c r="V43" s="266">
        <v>37.200000000000003</v>
      </c>
      <c r="W43" s="266">
        <v>50.1</v>
      </c>
      <c r="X43" s="271">
        <v>51.6</v>
      </c>
      <c r="Y43" s="268">
        <v>44.7</v>
      </c>
      <c r="Z43" s="269">
        <v>44.2</v>
      </c>
      <c r="AA43" s="290">
        <v>2</v>
      </c>
      <c r="AB43" s="265">
        <v>60.3</v>
      </c>
      <c r="AC43" s="266">
        <v>56.3</v>
      </c>
      <c r="AD43" s="266">
        <v>31.1</v>
      </c>
      <c r="AE43" s="266">
        <v>44.7</v>
      </c>
      <c r="AF43" s="271">
        <v>57.7</v>
      </c>
      <c r="AG43" s="268">
        <v>17.600000000000001</v>
      </c>
      <c r="AH43" s="269">
        <v>13.2</v>
      </c>
      <c r="AI43" s="290">
        <v>2</v>
      </c>
      <c r="AJ43" s="265">
        <v>58.7</v>
      </c>
      <c r="AK43" s="266">
        <v>63.9</v>
      </c>
      <c r="AL43" s="266">
        <v>38.700000000000003</v>
      </c>
      <c r="AM43" s="266">
        <v>51.5</v>
      </c>
      <c r="AN43" s="271">
        <v>21</v>
      </c>
      <c r="AO43" s="268">
        <v>32.700000000000003</v>
      </c>
      <c r="AP43" s="269">
        <v>59.7</v>
      </c>
      <c r="AQ43" s="290">
        <v>2</v>
      </c>
      <c r="AR43" s="272">
        <v>37.4</v>
      </c>
      <c r="AS43" s="268">
        <v>40.799999999999997</v>
      </c>
      <c r="AT43" s="268">
        <v>41.7</v>
      </c>
      <c r="AU43" s="268">
        <v>46.6</v>
      </c>
      <c r="AV43" s="273">
        <v>42.7</v>
      </c>
      <c r="AW43" s="268">
        <v>56.6</v>
      </c>
      <c r="AX43" s="269">
        <v>38.200000000000003</v>
      </c>
      <c r="AY43" s="45">
        <v>2</v>
      </c>
      <c r="AZ43" s="19">
        <f t="shared" si="3"/>
        <v>41.414285714285711</v>
      </c>
      <c r="BA43" s="227">
        <f t="shared" si="1"/>
        <v>2</v>
      </c>
      <c r="BB43" s="173"/>
      <c r="BC43" s="173"/>
      <c r="BD43" s="173"/>
      <c r="BE43" s="173"/>
      <c r="BF43" s="173"/>
      <c r="BG43" s="173"/>
      <c r="BH43" s="173"/>
      <c r="BI43" s="173"/>
      <c r="BJ43" s="173"/>
      <c r="BK43" s="173"/>
      <c r="BL43" s="173"/>
      <c r="BM43" s="173"/>
      <c r="BN43" s="173"/>
      <c r="BO43" s="324">
        <f t="shared" si="2"/>
        <v>153</v>
      </c>
      <c r="BP43" s="319">
        <v>40697</v>
      </c>
      <c r="BQ43" s="324">
        <v>154</v>
      </c>
      <c r="BR43" s="358">
        <v>50.94047619047619</v>
      </c>
      <c r="BS43" s="358">
        <v>2</v>
      </c>
      <c r="BT43" s="319">
        <v>40326</v>
      </c>
      <c r="BU43" s="324">
        <v>148</v>
      </c>
      <c r="BV43" s="358">
        <v>25.777142857142859</v>
      </c>
      <c r="BW43" s="358">
        <v>2</v>
      </c>
      <c r="BX43" s="319"/>
      <c r="BY43" s="217"/>
      <c r="BZ43" s="219"/>
      <c r="CA43" s="262"/>
      <c r="CB43" s="218">
        <v>39584</v>
      </c>
      <c r="CC43" s="217">
        <v>137</v>
      </c>
      <c r="CD43" s="219">
        <v>19.675999999999998</v>
      </c>
      <c r="CE43" s="217">
        <v>1.4</v>
      </c>
      <c r="CF43" s="220">
        <v>39223</v>
      </c>
      <c r="CG43" s="217">
        <v>141</v>
      </c>
      <c r="CH43" s="211">
        <v>26.592000000000002</v>
      </c>
      <c r="CI43" s="262">
        <v>2</v>
      </c>
      <c r="CJ43" s="319">
        <v>38870</v>
      </c>
      <c r="CK43" s="217">
        <v>153</v>
      </c>
      <c r="CL43" s="211">
        <v>33.851999999999997</v>
      </c>
      <c r="CM43" s="258">
        <v>2</v>
      </c>
      <c r="CN43" s="173"/>
      <c r="CO43" s="173"/>
      <c r="CP43" s="173"/>
      <c r="CQ43" s="173"/>
      <c r="CR43" s="173"/>
      <c r="CS43" s="173"/>
      <c r="CT43" s="173"/>
      <c r="CU43" s="173"/>
    </row>
    <row r="44" spans="1:99" s="4" customFormat="1">
      <c r="A44" s="16" t="s">
        <v>31</v>
      </c>
      <c r="B44" s="21">
        <v>41067</v>
      </c>
      <c r="C44" s="22" t="s">
        <v>72</v>
      </c>
      <c r="D44" s="265">
        <v>45.4</v>
      </c>
      <c r="E44" s="266">
        <v>40.6</v>
      </c>
      <c r="F44" s="266">
        <v>60.5</v>
      </c>
      <c r="G44" s="266">
        <v>38.6</v>
      </c>
      <c r="H44" s="267">
        <v>64.599999999999994</v>
      </c>
      <c r="I44" s="268">
        <v>55.9</v>
      </c>
      <c r="J44" s="269">
        <v>46.8</v>
      </c>
      <c r="K44" s="290">
        <v>2</v>
      </c>
      <c r="L44" s="265">
        <v>0</v>
      </c>
      <c r="M44" s="266">
        <v>14.5</v>
      </c>
      <c r="N44" s="266">
        <v>47.9</v>
      </c>
      <c r="O44" s="266">
        <v>22.4</v>
      </c>
      <c r="P44" s="271">
        <v>49.1</v>
      </c>
      <c r="Q44" s="268">
        <v>0</v>
      </c>
      <c r="R44" s="269">
        <v>49.1</v>
      </c>
      <c r="S44" s="290">
        <v>2</v>
      </c>
      <c r="T44" s="265">
        <v>22.3</v>
      </c>
      <c r="U44" s="266">
        <v>26.3</v>
      </c>
      <c r="V44" s="266">
        <v>41.2</v>
      </c>
      <c r="W44" s="266">
        <v>53.5</v>
      </c>
      <c r="X44" s="271">
        <v>55.3</v>
      </c>
      <c r="Y44" s="268">
        <v>46.3</v>
      </c>
      <c r="Z44" s="269">
        <v>46.5</v>
      </c>
      <c r="AA44" s="290">
        <v>2</v>
      </c>
      <c r="AB44" s="265">
        <v>63.4</v>
      </c>
      <c r="AC44" s="266">
        <v>57.1</v>
      </c>
      <c r="AD44" s="266">
        <v>35.799999999999997</v>
      </c>
      <c r="AE44" s="266">
        <v>52.9</v>
      </c>
      <c r="AF44" s="271">
        <v>58.3</v>
      </c>
      <c r="AG44" s="268">
        <v>19.2</v>
      </c>
      <c r="AH44" s="269">
        <v>13.7</v>
      </c>
      <c r="AI44" s="290">
        <v>2</v>
      </c>
      <c r="AJ44" s="265">
        <v>59.9</v>
      </c>
      <c r="AK44" s="266">
        <v>61.2</v>
      </c>
      <c r="AL44" s="266">
        <v>39.9</v>
      </c>
      <c r="AM44" s="266">
        <v>55.1</v>
      </c>
      <c r="AN44" s="271">
        <v>15.6</v>
      </c>
      <c r="AO44" s="268">
        <v>34.4</v>
      </c>
      <c r="AP44" s="269">
        <v>62</v>
      </c>
      <c r="AQ44" s="290">
        <v>2</v>
      </c>
      <c r="AR44" s="272">
        <v>40</v>
      </c>
      <c r="AS44" s="268">
        <v>41.5</v>
      </c>
      <c r="AT44" s="268">
        <v>43.4</v>
      </c>
      <c r="AU44" s="268">
        <v>50.6</v>
      </c>
      <c r="AV44" s="273">
        <v>43.9</v>
      </c>
      <c r="AW44" s="268">
        <v>58.1</v>
      </c>
      <c r="AX44" s="269">
        <v>40.5</v>
      </c>
      <c r="AY44" s="45">
        <v>2</v>
      </c>
      <c r="AZ44" s="19">
        <f t="shared" si="3"/>
        <v>41.58</v>
      </c>
      <c r="BA44" s="227">
        <f t="shared" si="1"/>
        <v>2</v>
      </c>
      <c r="BB44" s="173"/>
      <c r="BC44" s="173"/>
      <c r="BD44" s="173"/>
      <c r="BE44" s="173"/>
      <c r="BF44" s="173"/>
      <c r="BG44" s="173"/>
      <c r="BH44" s="173"/>
      <c r="BI44" s="173"/>
      <c r="BJ44" s="173"/>
      <c r="BK44" s="173"/>
      <c r="BL44" s="173"/>
      <c r="BM44" s="173"/>
      <c r="BN44" s="173"/>
      <c r="BO44" s="324">
        <f t="shared" si="2"/>
        <v>159</v>
      </c>
      <c r="BP44" s="319">
        <v>40703</v>
      </c>
      <c r="BQ44" s="324">
        <v>160</v>
      </c>
      <c r="BR44" s="358">
        <v>51.723333333333336</v>
      </c>
      <c r="BS44" s="358">
        <v>3</v>
      </c>
      <c r="BT44" s="319">
        <v>40332</v>
      </c>
      <c r="BU44" s="324">
        <v>154</v>
      </c>
      <c r="BV44" s="358">
        <v>33.333809523809521</v>
      </c>
      <c r="BW44" s="358">
        <v>2</v>
      </c>
      <c r="BX44" s="319"/>
      <c r="BY44" s="217"/>
      <c r="BZ44" s="219"/>
      <c r="CA44" s="262"/>
      <c r="CB44" s="218">
        <v>39588</v>
      </c>
      <c r="CC44" s="217">
        <v>141</v>
      </c>
      <c r="CD44" s="219">
        <v>20.143999999999998</v>
      </c>
      <c r="CE44" s="217">
        <v>1.4</v>
      </c>
      <c r="CF44" s="220">
        <v>39227</v>
      </c>
      <c r="CG44" s="217">
        <v>145</v>
      </c>
      <c r="CH44" s="211">
        <v>34.463999999999999</v>
      </c>
      <c r="CI44" s="262">
        <v>2</v>
      </c>
      <c r="CJ44" s="319">
        <v>38873</v>
      </c>
      <c r="CK44" s="217">
        <v>156</v>
      </c>
      <c r="CL44" s="211">
        <v>39.947999999999993</v>
      </c>
      <c r="CM44" s="258">
        <v>2.6</v>
      </c>
      <c r="CN44" s="173"/>
      <c r="CO44" s="173"/>
      <c r="CP44" s="173"/>
      <c r="CQ44" s="173"/>
      <c r="CR44" s="173"/>
      <c r="CS44" s="173"/>
      <c r="CT44" s="173"/>
      <c r="CU44" s="173"/>
    </row>
    <row r="45" spans="1:99" s="4" customFormat="1">
      <c r="A45" s="16" t="s">
        <v>31</v>
      </c>
      <c r="B45" s="21">
        <v>41074</v>
      </c>
      <c r="C45" s="22" t="s">
        <v>72</v>
      </c>
      <c r="D45" s="265">
        <v>46</v>
      </c>
      <c r="E45" s="266">
        <v>41.9</v>
      </c>
      <c r="F45" s="266">
        <v>62.2</v>
      </c>
      <c r="G45" s="266">
        <v>36.299999999999997</v>
      </c>
      <c r="H45" s="267">
        <v>65.400000000000006</v>
      </c>
      <c r="I45" s="268">
        <v>55.9</v>
      </c>
      <c r="J45" s="269">
        <v>51.2</v>
      </c>
      <c r="K45" s="290">
        <v>2</v>
      </c>
      <c r="L45" s="265">
        <v>0</v>
      </c>
      <c r="M45" s="266">
        <v>19.7</v>
      </c>
      <c r="N45" s="266">
        <v>49.6</v>
      </c>
      <c r="O45" s="266">
        <v>27.6</v>
      </c>
      <c r="P45" s="271">
        <v>51.3</v>
      </c>
      <c r="Q45" s="268">
        <v>0</v>
      </c>
      <c r="R45" s="269">
        <v>52.8</v>
      </c>
      <c r="S45" s="290">
        <v>2</v>
      </c>
      <c r="T45" s="265">
        <v>24.3</v>
      </c>
      <c r="U45" s="266">
        <v>30.6</v>
      </c>
      <c r="V45" s="266">
        <v>39.9</v>
      </c>
      <c r="W45" s="266">
        <v>58.2</v>
      </c>
      <c r="X45" s="271">
        <v>58.5</v>
      </c>
      <c r="Y45" s="268">
        <v>50.8</v>
      </c>
      <c r="Z45" s="269">
        <v>49.1</v>
      </c>
      <c r="AA45" s="290">
        <v>2</v>
      </c>
      <c r="AB45" s="265">
        <v>65.099999999999994</v>
      </c>
      <c r="AC45" s="266">
        <v>60.8</v>
      </c>
      <c r="AD45" s="266">
        <v>34.4</v>
      </c>
      <c r="AE45" s="266">
        <v>56.7</v>
      </c>
      <c r="AF45" s="271">
        <v>58.1</v>
      </c>
      <c r="AG45" s="268">
        <v>22.6</v>
      </c>
      <c r="AH45" s="269">
        <v>0</v>
      </c>
      <c r="AI45" s="290">
        <v>2</v>
      </c>
      <c r="AJ45" s="265">
        <v>57.2</v>
      </c>
      <c r="AK45" s="266">
        <v>60.8</v>
      </c>
      <c r="AL45" s="266">
        <v>42.1</v>
      </c>
      <c r="AM45" s="266">
        <v>57.6</v>
      </c>
      <c r="AN45" s="271">
        <v>0</v>
      </c>
      <c r="AO45" s="268">
        <v>35.200000000000003</v>
      </c>
      <c r="AP45" s="269">
        <v>65</v>
      </c>
      <c r="AQ45" s="290">
        <v>2</v>
      </c>
      <c r="AR45" s="272">
        <v>42.5</v>
      </c>
      <c r="AS45" s="268">
        <v>44.4</v>
      </c>
      <c r="AT45" s="268">
        <v>44.4</v>
      </c>
      <c r="AU45" s="268">
        <v>42.4</v>
      </c>
      <c r="AV45" s="273">
        <v>44.5</v>
      </c>
      <c r="AW45" s="268">
        <v>58.4</v>
      </c>
      <c r="AX45" s="269">
        <v>43.8</v>
      </c>
      <c r="AY45" s="45">
        <v>2</v>
      </c>
      <c r="AZ45" s="19">
        <f t="shared" si="3"/>
        <v>42.482857142857149</v>
      </c>
      <c r="BA45" s="227">
        <f t="shared" si="1"/>
        <v>2</v>
      </c>
      <c r="BB45" s="173"/>
      <c r="BC45" s="173"/>
      <c r="BD45" s="173"/>
      <c r="BE45" s="173"/>
      <c r="BF45" s="173"/>
      <c r="BG45" s="173"/>
      <c r="BH45" s="173"/>
      <c r="BI45" s="173"/>
      <c r="BJ45" s="173"/>
      <c r="BK45" s="173"/>
      <c r="BL45" s="173"/>
      <c r="BM45" s="173"/>
      <c r="BN45" s="173"/>
      <c r="BO45" s="324">
        <f t="shared" si="2"/>
        <v>166</v>
      </c>
      <c r="BP45" s="319">
        <v>40711</v>
      </c>
      <c r="BQ45" s="324">
        <v>168</v>
      </c>
      <c r="BR45" s="358">
        <v>51.6052380952381</v>
      </c>
      <c r="BS45" s="358">
        <v>3</v>
      </c>
      <c r="BT45" s="319">
        <v>40339</v>
      </c>
      <c r="BU45" s="324">
        <v>161</v>
      </c>
      <c r="BV45" s="358">
        <v>35.81428571428571</v>
      </c>
      <c r="BW45" s="358">
        <v>2</v>
      </c>
      <c r="BX45" s="319"/>
      <c r="BY45" s="217"/>
      <c r="BZ45" s="219"/>
      <c r="CA45" s="262"/>
      <c r="CB45" s="218">
        <v>39591</v>
      </c>
      <c r="CC45" s="217">
        <v>144</v>
      </c>
      <c r="CD45" s="219">
        <v>22.071999999999999</v>
      </c>
      <c r="CE45" s="217">
        <v>1.8</v>
      </c>
      <c r="CF45" s="220">
        <v>39230</v>
      </c>
      <c r="CG45" s="217">
        <v>148</v>
      </c>
      <c r="CH45" s="211">
        <v>40.491999999999997</v>
      </c>
      <c r="CI45" s="262">
        <v>2</v>
      </c>
      <c r="CJ45" s="319"/>
      <c r="CK45" s="211"/>
      <c r="CL45" s="211"/>
      <c r="CM45" s="258"/>
      <c r="CN45" s="173"/>
      <c r="CO45" s="173"/>
      <c r="CP45" s="173"/>
      <c r="CQ45" s="173"/>
      <c r="CR45" s="173"/>
      <c r="CS45" s="173"/>
      <c r="CT45" s="173"/>
      <c r="CU45" s="173"/>
    </row>
    <row r="46" spans="1:99" s="4" customFormat="1">
      <c r="A46" s="16" t="s">
        <v>31</v>
      </c>
      <c r="B46" s="21">
        <v>41081</v>
      </c>
      <c r="C46" s="22" t="s">
        <v>72</v>
      </c>
      <c r="D46" s="265">
        <v>46.3</v>
      </c>
      <c r="E46" s="266">
        <v>43.1</v>
      </c>
      <c r="F46" s="266">
        <v>69.3</v>
      </c>
      <c r="G46" s="266">
        <v>35.5</v>
      </c>
      <c r="H46" s="267">
        <v>67.3</v>
      </c>
      <c r="I46" s="268">
        <v>55.7</v>
      </c>
      <c r="J46" s="269">
        <v>51.9</v>
      </c>
      <c r="K46" s="290">
        <v>2</v>
      </c>
      <c r="L46" s="265">
        <v>0</v>
      </c>
      <c r="M46" s="266">
        <v>18.5</v>
      </c>
      <c r="N46" s="266">
        <v>49.9</v>
      </c>
      <c r="O46" s="266">
        <v>28</v>
      </c>
      <c r="P46" s="271">
        <v>52.4</v>
      </c>
      <c r="Q46" s="268">
        <v>0</v>
      </c>
      <c r="R46" s="269">
        <v>53.3</v>
      </c>
      <c r="S46" s="290">
        <v>2</v>
      </c>
      <c r="T46" s="265">
        <v>24.3</v>
      </c>
      <c r="U46" s="266">
        <v>31.9</v>
      </c>
      <c r="V46" s="266">
        <v>43.9</v>
      </c>
      <c r="W46" s="266">
        <v>58.2</v>
      </c>
      <c r="X46" s="271">
        <v>59.3</v>
      </c>
      <c r="Y46" s="268">
        <v>49.1</v>
      </c>
      <c r="Z46" s="269">
        <v>47.2</v>
      </c>
      <c r="AA46" s="290">
        <v>3</v>
      </c>
      <c r="AB46" s="265">
        <v>64.599999999999994</v>
      </c>
      <c r="AC46" s="266">
        <v>62</v>
      </c>
      <c r="AD46" s="266">
        <v>34.799999999999997</v>
      </c>
      <c r="AE46" s="266">
        <v>58.6</v>
      </c>
      <c r="AF46" s="271">
        <v>60.2</v>
      </c>
      <c r="AG46" s="268">
        <v>23.7</v>
      </c>
      <c r="AH46" s="269">
        <v>0</v>
      </c>
      <c r="AI46" s="290">
        <v>2</v>
      </c>
      <c r="AJ46" s="265">
        <v>62.4</v>
      </c>
      <c r="AK46" s="266">
        <v>58.6</v>
      </c>
      <c r="AL46" s="266">
        <v>42.7</v>
      </c>
      <c r="AM46" s="266">
        <v>55.9</v>
      </c>
      <c r="AN46" s="271">
        <v>0</v>
      </c>
      <c r="AO46" s="268">
        <v>36.6</v>
      </c>
      <c r="AP46" s="269">
        <v>65.599999999999994</v>
      </c>
      <c r="AQ46" s="290">
        <v>2</v>
      </c>
      <c r="AR46" s="272">
        <v>44.9</v>
      </c>
      <c r="AS46" s="268">
        <v>45.4</v>
      </c>
      <c r="AT46" s="268">
        <v>45.5</v>
      </c>
      <c r="AU46" s="268">
        <v>53.3</v>
      </c>
      <c r="AV46" s="273">
        <v>45.8</v>
      </c>
      <c r="AW46" s="268">
        <v>59.7</v>
      </c>
      <c r="AX46" s="269">
        <v>46.5</v>
      </c>
      <c r="AY46" s="45">
        <v>2</v>
      </c>
      <c r="AZ46" s="19">
        <f t="shared" si="3"/>
        <v>43.165714285714287</v>
      </c>
      <c r="BA46" s="227">
        <f t="shared" si="1"/>
        <v>2.2000000000000002</v>
      </c>
      <c r="BB46" s="173"/>
      <c r="BC46" s="173"/>
      <c r="BD46" s="173"/>
      <c r="BE46" s="173"/>
      <c r="BF46" s="173"/>
      <c r="BG46" s="173"/>
      <c r="BH46" s="173"/>
      <c r="BI46" s="173"/>
      <c r="BJ46" s="173"/>
      <c r="BK46" s="173"/>
      <c r="BL46" s="173"/>
      <c r="BM46" s="173"/>
      <c r="BN46" s="173"/>
      <c r="BO46" s="324">
        <f t="shared" si="2"/>
        <v>173</v>
      </c>
      <c r="BP46" s="319">
        <v>40781</v>
      </c>
      <c r="BQ46" s="324">
        <v>238</v>
      </c>
      <c r="BR46" s="358"/>
      <c r="BS46" s="358">
        <v>4</v>
      </c>
      <c r="BT46" s="319">
        <v>40346</v>
      </c>
      <c r="BU46" s="324">
        <v>168</v>
      </c>
      <c r="BV46" s="358">
        <v>36.949047619047619</v>
      </c>
      <c r="BW46" s="358">
        <v>3</v>
      </c>
      <c r="BX46" s="319"/>
      <c r="BY46" s="217"/>
      <c r="BZ46" s="219"/>
      <c r="CA46" s="262"/>
      <c r="CB46" s="218">
        <v>39595</v>
      </c>
      <c r="CC46" s="217">
        <v>148</v>
      </c>
      <c r="CD46" s="219">
        <v>25.856000000000002</v>
      </c>
      <c r="CE46" s="217">
        <v>1.8</v>
      </c>
      <c r="CF46" s="220">
        <v>39234</v>
      </c>
      <c r="CG46" s="217">
        <v>152</v>
      </c>
      <c r="CH46" s="211">
        <v>43.943999999999996</v>
      </c>
      <c r="CI46" s="262">
        <v>2</v>
      </c>
      <c r="CJ46" s="319"/>
      <c r="CK46" s="211"/>
      <c r="CL46" s="211"/>
      <c r="CM46" s="258"/>
      <c r="CN46" s="173"/>
      <c r="CO46" s="173"/>
      <c r="CP46" s="173"/>
      <c r="CQ46" s="173"/>
      <c r="CR46" s="173"/>
      <c r="CS46" s="173"/>
      <c r="CT46" s="173"/>
      <c r="CU46" s="173"/>
    </row>
    <row r="47" spans="1:99" s="4" customFormat="1">
      <c r="A47" s="16" t="s">
        <v>31</v>
      </c>
      <c r="B47" s="21">
        <v>41089</v>
      </c>
      <c r="C47" s="22" t="s">
        <v>80</v>
      </c>
      <c r="D47" s="265">
        <v>45.8</v>
      </c>
      <c r="E47" s="266">
        <v>44.4</v>
      </c>
      <c r="F47" s="266">
        <v>63.6</v>
      </c>
      <c r="G47" s="266">
        <v>35.200000000000003</v>
      </c>
      <c r="H47" s="267">
        <v>69.5</v>
      </c>
      <c r="I47" s="268">
        <v>46.2</v>
      </c>
      <c r="J47" s="269">
        <v>52.5</v>
      </c>
      <c r="K47" s="290">
        <v>3</v>
      </c>
      <c r="L47" s="265">
        <v>0</v>
      </c>
      <c r="M47" s="266">
        <v>19.600000000000001</v>
      </c>
      <c r="N47" s="266">
        <v>50</v>
      </c>
      <c r="O47" s="266">
        <v>27.9</v>
      </c>
      <c r="P47" s="271">
        <v>51.4</v>
      </c>
      <c r="Q47" s="268">
        <v>0</v>
      </c>
      <c r="R47" s="269">
        <v>51.8</v>
      </c>
      <c r="S47" s="290">
        <v>3</v>
      </c>
      <c r="T47" s="265">
        <v>24.8</v>
      </c>
      <c r="U47" s="266">
        <v>32</v>
      </c>
      <c r="V47" s="266">
        <v>44.1</v>
      </c>
      <c r="W47" s="266">
        <v>59.2</v>
      </c>
      <c r="X47" s="271">
        <v>59.2</v>
      </c>
      <c r="Y47" s="268">
        <v>50</v>
      </c>
      <c r="Z47" s="269">
        <v>49.6</v>
      </c>
      <c r="AA47" s="290">
        <v>3</v>
      </c>
      <c r="AB47" s="265">
        <v>64.900000000000006</v>
      </c>
      <c r="AC47" s="266">
        <v>61.5</v>
      </c>
      <c r="AD47" s="266">
        <v>35.6</v>
      </c>
      <c r="AE47" s="266">
        <v>58.7</v>
      </c>
      <c r="AF47" s="271">
        <v>60</v>
      </c>
      <c r="AG47" s="268">
        <v>24.5</v>
      </c>
      <c r="AH47" s="269">
        <v>0</v>
      </c>
      <c r="AI47" s="290">
        <v>3</v>
      </c>
      <c r="AJ47" s="265">
        <v>60.3</v>
      </c>
      <c r="AK47" s="266">
        <v>58.6</v>
      </c>
      <c r="AL47" s="266">
        <v>42.7</v>
      </c>
      <c r="AM47" s="266">
        <v>54.4</v>
      </c>
      <c r="AN47" s="271">
        <v>0</v>
      </c>
      <c r="AO47" s="268">
        <v>45.4</v>
      </c>
      <c r="AP47" s="269">
        <v>67.3</v>
      </c>
      <c r="AQ47" s="290">
        <v>3</v>
      </c>
      <c r="AR47" s="272">
        <v>45</v>
      </c>
      <c r="AS47" s="268">
        <v>45</v>
      </c>
      <c r="AT47" s="268">
        <v>45.7</v>
      </c>
      <c r="AU47" s="268">
        <v>53.7</v>
      </c>
      <c r="AV47" s="273">
        <v>45.3</v>
      </c>
      <c r="AW47" s="268">
        <v>59.1</v>
      </c>
      <c r="AX47" s="269">
        <v>46.7</v>
      </c>
      <c r="AY47" s="45">
        <v>3</v>
      </c>
      <c r="AZ47" s="19">
        <f t="shared" si="3"/>
        <v>43.162857142857142</v>
      </c>
      <c r="BA47" s="227">
        <f t="shared" si="1"/>
        <v>3</v>
      </c>
      <c r="BB47" s="173"/>
      <c r="BC47" s="173"/>
      <c r="BD47" s="173"/>
      <c r="BE47" s="173"/>
      <c r="BF47" s="173"/>
      <c r="BG47" s="173"/>
      <c r="BH47" s="173"/>
      <c r="BI47" s="173"/>
      <c r="BJ47" s="173"/>
      <c r="BK47" s="173"/>
      <c r="BL47" s="173"/>
      <c r="BM47" s="173"/>
      <c r="BN47" s="173"/>
      <c r="BO47" s="324">
        <f t="shared" si="2"/>
        <v>181</v>
      </c>
      <c r="BP47" s="319">
        <v>40788</v>
      </c>
      <c r="BQ47" s="324">
        <v>245</v>
      </c>
      <c r="BR47" s="358"/>
      <c r="BS47" s="358">
        <v>4.8</v>
      </c>
      <c r="BT47" s="319">
        <v>40353</v>
      </c>
      <c r="BU47" s="324">
        <v>175</v>
      </c>
      <c r="BV47" s="358">
        <v>36.661428571428573</v>
      </c>
      <c r="BW47" s="358">
        <v>3</v>
      </c>
      <c r="BX47" s="319"/>
      <c r="BY47" s="217"/>
      <c r="BZ47" s="219"/>
      <c r="CA47" s="262"/>
      <c r="CB47" s="218">
        <v>39597</v>
      </c>
      <c r="CC47" s="217">
        <v>150</v>
      </c>
      <c r="CD47" s="219">
        <v>33.260000000000005</v>
      </c>
      <c r="CE47" s="217">
        <v>2</v>
      </c>
      <c r="CF47" s="220">
        <v>39237</v>
      </c>
      <c r="CG47" s="217">
        <v>155</v>
      </c>
      <c r="CH47" s="211">
        <v>47.291999999999994</v>
      </c>
      <c r="CI47" s="262">
        <v>2</v>
      </c>
      <c r="CJ47" s="319"/>
      <c r="CK47" s="211"/>
      <c r="CL47" s="211"/>
      <c r="CM47" s="258"/>
      <c r="CN47" s="173"/>
      <c r="CO47" s="173"/>
      <c r="CP47" s="173"/>
      <c r="CQ47" s="173"/>
      <c r="CR47" s="173"/>
      <c r="CS47" s="173"/>
      <c r="CT47" s="173"/>
      <c r="CU47" s="173"/>
    </row>
    <row r="48" spans="1:99" s="4" customFormat="1">
      <c r="A48" s="16" t="s">
        <v>31</v>
      </c>
      <c r="B48" s="21">
        <v>41141</v>
      </c>
      <c r="C48" s="22" t="s">
        <v>72</v>
      </c>
      <c r="D48" s="265"/>
      <c r="E48" s="266"/>
      <c r="F48" s="266"/>
      <c r="G48" s="266"/>
      <c r="H48" s="267"/>
      <c r="I48" s="268"/>
      <c r="J48" s="269"/>
      <c r="K48" s="290">
        <v>4</v>
      </c>
      <c r="L48" s="265"/>
      <c r="M48" s="266"/>
      <c r="N48" s="266"/>
      <c r="O48" s="266"/>
      <c r="P48" s="271"/>
      <c r="Q48" s="268"/>
      <c r="R48" s="269"/>
      <c r="S48" s="290">
        <v>4</v>
      </c>
      <c r="T48" s="265"/>
      <c r="U48" s="266"/>
      <c r="V48" s="266"/>
      <c r="W48" s="266"/>
      <c r="X48" s="271"/>
      <c r="Y48" s="268"/>
      <c r="Z48" s="269"/>
      <c r="AA48" s="290">
        <v>4</v>
      </c>
      <c r="AB48" s="265"/>
      <c r="AC48" s="266"/>
      <c r="AD48" s="266"/>
      <c r="AE48" s="266"/>
      <c r="AF48" s="271"/>
      <c r="AG48" s="268"/>
      <c r="AH48" s="269"/>
      <c r="AI48" s="290">
        <v>4</v>
      </c>
      <c r="AJ48" s="265"/>
      <c r="AK48" s="266"/>
      <c r="AL48" s="266"/>
      <c r="AM48" s="266"/>
      <c r="AN48" s="271"/>
      <c r="AO48" s="268"/>
      <c r="AP48" s="269"/>
      <c r="AQ48" s="290">
        <v>4</v>
      </c>
      <c r="AR48" s="272"/>
      <c r="AS48" s="268"/>
      <c r="AT48" s="268"/>
      <c r="AU48" s="268"/>
      <c r="AV48" s="273"/>
      <c r="AW48" s="268"/>
      <c r="AX48" s="269"/>
      <c r="AY48" s="45">
        <v>4</v>
      </c>
      <c r="AZ48" s="19">
        <f t="shared" si="3"/>
        <v>43.162857142857142</v>
      </c>
      <c r="BA48" s="227">
        <f t="shared" si="1"/>
        <v>4</v>
      </c>
      <c r="BB48" s="173"/>
      <c r="BC48" s="173"/>
      <c r="BD48" s="173"/>
      <c r="BE48" s="173"/>
      <c r="BF48" s="173"/>
      <c r="BG48" s="173"/>
      <c r="BH48" s="173"/>
      <c r="BI48" s="173"/>
      <c r="BJ48" s="173"/>
      <c r="BK48" s="173"/>
      <c r="BL48" s="173"/>
      <c r="BM48" s="173"/>
      <c r="BN48" s="173"/>
      <c r="BO48" s="324">
        <f t="shared" si="2"/>
        <v>233</v>
      </c>
      <c r="BP48" s="319">
        <v>40795</v>
      </c>
      <c r="BQ48" s="324">
        <v>252</v>
      </c>
      <c r="BR48" s="358"/>
      <c r="BS48" s="358">
        <v>5.8</v>
      </c>
      <c r="BT48" s="319">
        <v>40429</v>
      </c>
      <c r="BU48" s="324">
        <v>251</v>
      </c>
      <c r="BV48" s="358">
        <v>36.661428571428573</v>
      </c>
      <c r="BW48" s="358">
        <v>4</v>
      </c>
      <c r="BX48" s="319"/>
      <c r="BY48" s="217"/>
      <c r="BZ48" s="219"/>
      <c r="CA48" s="262"/>
      <c r="CB48" s="218">
        <v>39601</v>
      </c>
      <c r="CC48" s="217">
        <v>154</v>
      </c>
      <c r="CD48" s="219">
        <v>42.875999999999991</v>
      </c>
      <c r="CE48" s="217">
        <v>2</v>
      </c>
      <c r="CF48" s="220">
        <v>39241</v>
      </c>
      <c r="CG48" s="217">
        <v>159</v>
      </c>
      <c r="CH48" s="211">
        <v>49.947999999999993</v>
      </c>
      <c r="CI48" s="262">
        <v>2.8</v>
      </c>
      <c r="CJ48" s="319"/>
      <c r="CK48" s="211"/>
      <c r="CL48" s="211"/>
      <c r="CM48" s="258"/>
      <c r="CN48" s="173"/>
      <c r="CO48" s="173"/>
      <c r="CP48" s="173"/>
      <c r="CQ48" s="173"/>
      <c r="CR48" s="173"/>
      <c r="CS48" s="173"/>
      <c r="CT48" s="173"/>
      <c r="CU48" s="173"/>
    </row>
    <row r="49" spans="1:99" s="4" customFormat="1">
      <c r="A49" s="16" t="s">
        <v>31</v>
      </c>
      <c r="B49" s="21">
        <v>41158</v>
      </c>
      <c r="C49" s="22" t="s">
        <v>72</v>
      </c>
      <c r="D49" s="265"/>
      <c r="E49" s="266"/>
      <c r="F49" s="266"/>
      <c r="G49" s="266"/>
      <c r="H49" s="267"/>
      <c r="I49" s="268"/>
      <c r="J49" s="269"/>
      <c r="K49" s="290">
        <v>5</v>
      </c>
      <c r="L49" s="265"/>
      <c r="M49" s="266"/>
      <c r="N49" s="266"/>
      <c r="O49" s="266"/>
      <c r="P49" s="271"/>
      <c r="Q49" s="268"/>
      <c r="R49" s="269"/>
      <c r="S49" s="290">
        <v>4</v>
      </c>
      <c r="T49" s="265"/>
      <c r="U49" s="266"/>
      <c r="V49" s="266"/>
      <c r="W49" s="266"/>
      <c r="X49" s="271"/>
      <c r="Y49" s="268"/>
      <c r="Z49" s="269"/>
      <c r="AA49" s="290">
        <v>4</v>
      </c>
      <c r="AB49" s="265"/>
      <c r="AC49" s="266"/>
      <c r="AD49" s="266"/>
      <c r="AE49" s="266"/>
      <c r="AF49" s="271"/>
      <c r="AG49" s="268"/>
      <c r="AH49" s="269"/>
      <c r="AI49" s="290">
        <v>5</v>
      </c>
      <c r="AJ49" s="265"/>
      <c r="AK49" s="266"/>
      <c r="AL49" s="266"/>
      <c r="AM49" s="266"/>
      <c r="AN49" s="271"/>
      <c r="AO49" s="268"/>
      <c r="AP49" s="269"/>
      <c r="AQ49" s="290">
        <v>5</v>
      </c>
      <c r="AR49" s="272"/>
      <c r="AS49" s="268"/>
      <c r="AT49" s="268"/>
      <c r="AU49" s="268"/>
      <c r="AV49" s="273"/>
      <c r="AW49" s="268"/>
      <c r="AX49" s="269"/>
      <c r="AY49" s="45">
        <v>4</v>
      </c>
      <c r="AZ49" s="19">
        <f t="shared" si="3"/>
        <v>43.162857142857142</v>
      </c>
      <c r="BA49" s="227">
        <f t="shared" si="1"/>
        <v>4.5999999999999996</v>
      </c>
      <c r="BB49" s="173"/>
      <c r="BC49" s="173"/>
      <c r="BD49" s="173"/>
      <c r="BE49" s="173"/>
      <c r="BF49" s="173"/>
      <c r="BG49" s="173"/>
      <c r="BH49" s="173"/>
      <c r="BI49" s="173"/>
      <c r="BJ49" s="173"/>
      <c r="BK49" s="173"/>
      <c r="BL49" s="173"/>
      <c r="BM49" s="173"/>
      <c r="BN49" s="173"/>
      <c r="BO49" s="324">
        <f t="shared" si="2"/>
        <v>250</v>
      </c>
      <c r="BP49" s="319">
        <v>40802</v>
      </c>
      <c r="BQ49" s="324">
        <v>259</v>
      </c>
      <c r="BR49" s="358"/>
      <c r="BS49" s="358">
        <v>7</v>
      </c>
      <c r="BT49" s="319">
        <v>40438</v>
      </c>
      <c r="BU49" s="324">
        <v>260</v>
      </c>
      <c r="BV49" s="358">
        <v>36.661428571428573</v>
      </c>
      <c r="BW49" s="358">
        <v>4.4000000000000004</v>
      </c>
      <c r="BX49" s="319"/>
      <c r="BY49" s="217"/>
      <c r="BZ49" s="219"/>
      <c r="CA49" s="262"/>
      <c r="CB49" s="218">
        <v>39604</v>
      </c>
      <c r="CC49" s="217">
        <v>157</v>
      </c>
      <c r="CD49" s="219">
        <v>46.631999999999991</v>
      </c>
      <c r="CE49" s="217">
        <v>2</v>
      </c>
      <c r="CF49" s="220">
        <v>39245</v>
      </c>
      <c r="CG49" s="217">
        <v>163</v>
      </c>
      <c r="CH49" s="211">
        <v>51.047999999999995</v>
      </c>
      <c r="CI49" s="262">
        <v>3</v>
      </c>
      <c r="CJ49" s="319"/>
      <c r="CK49" s="211"/>
      <c r="CL49" s="211"/>
      <c r="CM49" s="258"/>
      <c r="CN49" s="173"/>
      <c r="CO49" s="173"/>
      <c r="CP49" s="173"/>
      <c r="CQ49" s="173"/>
      <c r="CR49" s="173"/>
      <c r="CS49" s="173"/>
      <c r="CT49" s="173"/>
      <c r="CU49" s="173"/>
    </row>
    <row r="50" spans="1:99" s="4" customFormat="1">
      <c r="A50" s="16" t="s">
        <v>31</v>
      </c>
      <c r="B50" s="21">
        <v>41170</v>
      </c>
      <c r="C50" s="22" t="s">
        <v>72</v>
      </c>
      <c r="D50" s="265"/>
      <c r="E50" s="266"/>
      <c r="F50" s="266"/>
      <c r="G50" s="266"/>
      <c r="H50" s="267"/>
      <c r="I50" s="268"/>
      <c r="J50" s="269"/>
      <c r="K50" s="290">
        <v>5</v>
      </c>
      <c r="L50" s="265"/>
      <c r="M50" s="266"/>
      <c r="N50" s="266"/>
      <c r="O50" s="266"/>
      <c r="P50" s="271"/>
      <c r="Q50" s="268"/>
      <c r="R50" s="269"/>
      <c r="S50" s="290">
        <v>5</v>
      </c>
      <c r="T50" s="265"/>
      <c r="U50" s="266"/>
      <c r="V50" s="266"/>
      <c r="W50" s="266"/>
      <c r="X50" s="271"/>
      <c r="Y50" s="268"/>
      <c r="Z50" s="269"/>
      <c r="AA50" s="290">
        <v>4</v>
      </c>
      <c r="AB50" s="265"/>
      <c r="AC50" s="266"/>
      <c r="AD50" s="266"/>
      <c r="AE50" s="266"/>
      <c r="AF50" s="271"/>
      <c r="AG50" s="268"/>
      <c r="AH50" s="269"/>
      <c r="AI50" s="290">
        <v>5</v>
      </c>
      <c r="AJ50" s="265"/>
      <c r="AK50" s="266"/>
      <c r="AL50" s="266"/>
      <c r="AM50" s="266"/>
      <c r="AN50" s="271"/>
      <c r="AO50" s="268"/>
      <c r="AP50" s="269"/>
      <c r="AQ50" s="290">
        <v>5</v>
      </c>
      <c r="AR50" s="272"/>
      <c r="AS50" s="268"/>
      <c r="AT50" s="268"/>
      <c r="AU50" s="268"/>
      <c r="AV50" s="273"/>
      <c r="AW50" s="268"/>
      <c r="AX50" s="269"/>
      <c r="AY50" s="45">
        <v>5</v>
      </c>
      <c r="AZ50" s="19">
        <f t="shared" si="3"/>
        <v>43.162857142857142</v>
      </c>
      <c r="BA50" s="227">
        <f t="shared" si="1"/>
        <v>4.8</v>
      </c>
      <c r="BB50" s="173"/>
      <c r="BC50" s="173"/>
      <c r="BD50" s="173"/>
      <c r="BE50" s="173"/>
      <c r="BF50" s="173"/>
      <c r="BG50" s="173"/>
      <c r="BH50" s="173"/>
      <c r="BI50" s="173"/>
      <c r="BJ50" s="173"/>
      <c r="BK50" s="173"/>
      <c r="BL50" s="173"/>
      <c r="BM50" s="173"/>
      <c r="BN50" s="173"/>
      <c r="BO50" s="324">
        <f t="shared" si="2"/>
        <v>262</v>
      </c>
      <c r="BP50" s="319">
        <v>40815</v>
      </c>
      <c r="BQ50" s="324">
        <v>272</v>
      </c>
      <c r="BR50" s="358"/>
      <c r="BS50" s="358">
        <v>7</v>
      </c>
      <c r="BT50" s="319">
        <v>40445</v>
      </c>
      <c r="BU50" s="324">
        <v>267</v>
      </c>
      <c r="BV50" s="358">
        <v>36.661428571428573</v>
      </c>
      <c r="BW50" s="358">
        <v>4.5999999999999996</v>
      </c>
      <c r="BX50" s="319"/>
      <c r="BY50" s="217"/>
      <c r="BZ50" s="219"/>
      <c r="CA50" s="262"/>
      <c r="CB50" s="218">
        <v>39608</v>
      </c>
      <c r="CC50" s="217">
        <v>161</v>
      </c>
      <c r="CD50" s="219">
        <v>48.048000000000002</v>
      </c>
      <c r="CE50" s="217">
        <v>3</v>
      </c>
      <c r="CF50" s="220">
        <v>39248</v>
      </c>
      <c r="CG50" s="217">
        <v>166</v>
      </c>
      <c r="CH50" s="211">
        <v>51.224000000000004</v>
      </c>
      <c r="CI50" s="262">
        <v>3</v>
      </c>
      <c r="CJ50" s="319"/>
      <c r="CK50" s="211"/>
      <c r="CL50" s="211"/>
      <c r="CM50" s="258"/>
      <c r="CN50" s="173"/>
      <c r="CO50" s="173"/>
      <c r="CP50" s="173"/>
      <c r="CQ50" s="173"/>
      <c r="CR50" s="173"/>
      <c r="CS50" s="173"/>
      <c r="CT50" s="173"/>
      <c r="CU50" s="173"/>
    </row>
    <row r="51" spans="1:99" s="4" customFormat="1">
      <c r="A51" s="16" t="s">
        <v>31</v>
      </c>
      <c r="B51" s="21">
        <v>41177</v>
      </c>
      <c r="C51" s="22" t="s">
        <v>72</v>
      </c>
      <c r="D51" s="265"/>
      <c r="E51" s="266"/>
      <c r="F51" s="266"/>
      <c r="G51" s="266"/>
      <c r="H51" s="267"/>
      <c r="I51" s="268"/>
      <c r="J51" s="269"/>
      <c r="K51" s="290">
        <v>7</v>
      </c>
      <c r="L51" s="265"/>
      <c r="M51" s="266"/>
      <c r="N51" s="266"/>
      <c r="O51" s="266"/>
      <c r="P51" s="271"/>
      <c r="Q51" s="268"/>
      <c r="R51" s="269"/>
      <c r="S51" s="290">
        <v>5</v>
      </c>
      <c r="T51" s="265"/>
      <c r="U51" s="266"/>
      <c r="V51" s="266"/>
      <c r="W51" s="266"/>
      <c r="X51" s="271"/>
      <c r="Y51" s="268"/>
      <c r="Z51" s="269"/>
      <c r="AA51" s="290">
        <v>5</v>
      </c>
      <c r="AB51" s="265"/>
      <c r="AC51" s="266"/>
      <c r="AD51" s="266"/>
      <c r="AE51" s="266"/>
      <c r="AF51" s="271"/>
      <c r="AG51" s="268"/>
      <c r="AH51" s="269"/>
      <c r="AI51" s="290">
        <v>7</v>
      </c>
      <c r="AJ51" s="265"/>
      <c r="AK51" s="266"/>
      <c r="AL51" s="266"/>
      <c r="AM51" s="266"/>
      <c r="AN51" s="271"/>
      <c r="AO51" s="268"/>
      <c r="AP51" s="269"/>
      <c r="AQ51" s="290">
        <v>7</v>
      </c>
      <c r="AR51" s="272"/>
      <c r="AS51" s="268"/>
      <c r="AT51" s="268"/>
      <c r="AU51" s="268"/>
      <c r="AV51" s="273"/>
      <c r="AW51" s="268"/>
      <c r="AX51" s="269"/>
      <c r="AY51" s="45">
        <v>6</v>
      </c>
      <c r="AZ51" s="19">
        <f t="shared" si="3"/>
        <v>43.162857142857142</v>
      </c>
      <c r="BA51" s="227">
        <f t="shared" si="1"/>
        <v>6.2</v>
      </c>
      <c r="BB51" s="173"/>
      <c r="BC51" s="173"/>
      <c r="BD51" s="173"/>
      <c r="BE51" s="173"/>
      <c r="BF51" s="173"/>
      <c r="BG51" s="173"/>
      <c r="BH51" s="173"/>
      <c r="BI51" s="173"/>
      <c r="BJ51" s="173"/>
      <c r="BK51" s="173"/>
      <c r="BL51" s="173"/>
      <c r="BM51" s="173"/>
      <c r="BN51" s="173"/>
      <c r="BO51" s="324">
        <f t="shared" si="2"/>
        <v>269</v>
      </c>
      <c r="BP51" s="319">
        <v>40823</v>
      </c>
      <c r="BQ51" s="324">
        <v>280</v>
      </c>
      <c r="BR51" s="358"/>
      <c r="BS51" s="358">
        <v>8</v>
      </c>
      <c r="BT51" s="319">
        <v>40456</v>
      </c>
      <c r="BU51" s="324">
        <v>278</v>
      </c>
      <c r="BV51" s="358">
        <v>36.661428571428573</v>
      </c>
      <c r="BW51" s="358">
        <v>6.4</v>
      </c>
      <c r="BX51" s="319"/>
      <c r="BY51" s="217"/>
      <c r="BZ51" s="219"/>
      <c r="CA51" s="262"/>
      <c r="CB51" s="218">
        <v>39612</v>
      </c>
      <c r="CC51" s="217">
        <v>165</v>
      </c>
      <c r="CD51" s="219">
        <v>50.287999999999997</v>
      </c>
      <c r="CE51" s="217">
        <v>3</v>
      </c>
      <c r="CF51" s="220">
        <v>39254</v>
      </c>
      <c r="CG51" s="217">
        <v>172</v>
      </c>
      <c r="CH51" s="211">
        <v>51.308000000000007</v>
      </c>
      <c r="CI51" s="262">
        <v>3</v>
      </c>
      <c r="CJ51" s="319"/>
      <c r="CK51" s="211"/>
      <c r="CL51" s="211"/>
      <c r="CM51" s="258"/>
      <c r="CN51" s="173"/>
      <c r="CO51" s="173"/>
      <c r="CP51" s="173"/>
      <c r="CQ51" s="173"/>
      <c r="CR51" s="173"/>
      <c r="CS51" s="173"/>
      <c r="CT51" s="173"/>
      <c r="CU51" s="173"/>
    </row>
    <row r="52" spans="1:99" s="4" customFormat="1">
      <c r="A52" s="16" t="s">
        <v>31</v>
      </c>
      <c r="B52" s="21">
        <v>41180</v>
      </c>
      <c r="C52" s="22" t="s">
        <v>72</v>
      </c>
      <c r="D52" s="265"/>
      <c r="E52" s="266"/>
      <c r="F52" s="266"/>
      <c r="G52" s="266"/>
      <c r="H52" s="267"/>
      <c r="I52" s="268"/>
      <c r="J52" s="269"/>
      <c r="K52" s="290">
        <v>7</v>
      </c>
      <c r="L52" s="265"/>
      <c r="M52" s="266"/>
      <c r="N52" s="266"/>
      <c r="O52" s="266"/>
      <c r="P52" s="271"/>
      <c r="Q52" s="268"/>
      <c r="R52" s="269"/>
      <c r="S52" s="290">
        <v>6</v>
      </c>
      <c r="T52" s="265"/>
      <c r="U52" s="266"/>
      <c r="V52" s="266"/>
      <c r="W52" s="266"/>
      <c r="X52" s="271"/>
      <c r="Y52" s="268"/>
      <c r="Z52" s="269"/>
      <c r="AA52" s="290">
        <v>5</v>
      </c>
      <c r="AB52" s="265"/>
      <c r="AC52" s="266"/>
      <c r="AD52" s="266"/>
      <c r="AE52" s="266"/>
      <c r="AF52" s="271"/>
      <c r="AG52" s="268"/>
      <c r="AH52" s="269"/>
      <c r="AI52" s="290">
        <v>7</v>
      </c>
      <c r="AJ52" s="265"/>
      <c r="AK52" s="266"/>
      <c r="AL52" s="266"/>
      <c r="AM52" s="266"/>
      <c r="AN52" s="271"/>
      <c r="AO52" s="268"/>
      <c r="AP52" s="269"/>
      <c r="AQ52" s="290">
        <v>7</v>
      </c>
      <c r="AR52" s="272"/>
      <c r="AS52" s="268"/>
      <c r="AT52" s="268"/>
      <c r="AU52" s="268"/>
      <c r="AV52" s="273"/>
      <c r="AW52" s="268"/>
      <c r="AX52" s="269"/>
      <c r="AY52" s="45">
        <v>6</v>
      </c>
      <c r="AZ52" s="19">
        <f t="shared" si="3"/>
        <v>43.162857142857142</v>
      </c>
      <c r="BA52" s="227">
        <f t="shared" si="1"/>
        <v>6.4</v>
      </c>
      <c r="BB52" s="173"/>
      <c r="BC52" s="173"/>
      <c r="BD52" s="173"/>
      <c r="BE52" s="173"/>
      <c r="BF52" s="173"/>
      <c r="BG52" s="173"/>
      <c r="BH52" s="173"/>
      <c r="BI52" s="173"/>
      <c r="BJ52" s="173"/>
      <c r="BK52" s="173"/>
      <c r="BL52" s="173"/>
      <c r="BM52" s="173"/>
      <c r="BN52" s="173"/>
      <c r="BO52" s="324">
        <f t="shared" si="2"/>
        <v>272</v>
      </c>
      <c r="BP52" s="319"/>
      <c r="BQ52" s="324">
        <v>280</v>
      </c>
      <c r="BR52" s="358"/>
      <c r="BS52" s="358">
        <v>8</v>
      </c>
      <c r="BT52" s="319">
        <v>40469</v>
      </c>
      <c r="BU52" s="324">
        <v>291</v>
      </c>
      <c r="BV52" s="358">
        <v>36.661428571428573</v>
      </c>
      <c r="BW52" s="358">
        <v>7.2</v>
      </c>
      <c r="BX52" s="319"/>
      <c r="BY52" s="217"/>
      <c r="BZ52" s="219"/>
      <c r="CA52" s="262"/>
      <c r="CB52" s="218">
        <v>39616</v>
      </c>
      <c r="CC52" s="217">
        <v>169</v>
      </c>
      <c r="CD52" s="219">
        <v>51.155999999999999</v>
      </c>
      <c r="CE52" s="217">
        <v>3</v>
      </c>
      <c r="CF52" s="220">
        <v>39328</v>
      </c>
      <c r="CG52" s="217">
        <v>246</v>
      </c>
      <c r="CH52" s="211"/>
      <c r="CI52" s="262">
        <v>3.4</v>
      </c>
      <c r="CJ52" s="319"/>
      <c r="CK52" s="211"/>
      <c r="CL52" s="211"/>
      <c r="CM52" s="258"/>
      <c r="CN52" s="173"/>
      <c r="CO52" s="173"/>
      <c r="CP52" s="173"/>
      <c r="CQ52" s="173"/>
      <c r="CR52" s="173"/>
      <c r="CS52" s="173"/>
      <c r="CT52" s="173"/>
      <c r="CU52" s="173"/>
    </row>
    <row r="53" spans="1:99" s="4" customFormat="1">
      <c r="A53" s="16" t="s">
        <v>31</v>
      </c>
      <c r="B53" s="21">
        <v>41190</v>
      </c>
      <c r="C53" s="22" t="s">
        <v>72</v>
      </c>
      <c r="D53" s="265"/>
      <c r="E53" s="266"/>
      <c r="F53" s="266"/>
      <c r="G53" s="266"/>
      <c r="H53" s="267"/>
      <c r="I53" s="268"/>
      <c r="J53" s="269"/>
      <c r="K53" s="290">
        <v>7</v>
      </c>
      <c r="L53" s="265"/>
      <c r="M53" s="266"/>
      <c r="N53" s="266"/>
      <c r="O53" s="266"/>
      <c r="P53" s="271"/>
      <c r="Q53" s="268"/>
      <c r="R53" s="269"/>
      <c r="S53" s="290">
        <v>7</v>
      </c>
      <c r="T53" s="265"/>
      <c r="U53" s="266"/>
      <c r="V53" s="266"/>
      <c r="W53" s="266"/>
      <c r="X53" s="271"/>
      <c r="Y53" s="268"/>
      <c r="Z53" s="269"/>
      <c r="AA53" s="290">
        <v>6</v>
      </c>
      <c r="AB53" s="265"/>
      <c r="AC53" s="266"/>
      <c r="AD53" s="266"/>
      <c r="AE53" s="266"/>
      <c r="AF53" s="271"/>
      <c r="AG53" s="268"/>
      <c r="AH53" s="269"/>
      <c r="AI53" s="290">
        <v>7</v>
      </c>
      <c r="AJ53" s="265"/>
      <c r="AK53" s="266"/>
      <c r="AL53" s="266"/>
      <c r="AM53" s="266"/>
      <c r="AN53" s="271"/>
      <c r="AO53" s="268"/>
      <c r="AP53" s="269"/>
      <c r="AQ53" s="290">
        <v>7</v>
      </c>
      <c r="AR53" s="272"/>
      <c r="AS53" s="268"/>
      <c r="AT53" s="268"/>
      <c r="AU53" s="268"/>
      <c r="AV53" s="273"/>
      <c r="AW53" s="268"/>
      <c r="AX53" s="269"/>
      <c r="AY53" s="45">
        <v>7</v>
      </c>
      <c r="AZ53" s="19">
        <f t="shared" si="3"/>
        <v>43.162857142857142</v>
      </c>
      <c r="BA53" s="227">
        <f t="shared" si="1"/>
        <v>6.8</v>
      </c>
      <c r="BB53" s="173"/>
      <c r="BC53" s="173"/>
      <c r="BD53" s="173"/>
      <c r="BE53" s="173"/>
      <c r="BF53" s="173"/>
      <c r="BG53" s="173"/>
      <c r="BH53" s="173"/>
      <c r="BI53" s="173"/>
      <c r="BJ53" s="173"/>
      <c r="BK53" s="173"/>
      <c r="BL53" s="173"/>
      <c r="BM53" s="173"/>
      <c r="BN53" s="173"/>
      <c r="BO53" s="324">
        <f t="shared" si="2"/>
        <v>282</v>
      </c>
      <c r="BP53" s="319"/>
      <c r="BQ53" s="324">
        <v>280</v>
      </c>
      <c r="BR53" s="358"/>
      <c r="BS53" s="358">
        <v>8</v>
      </c>
      <c r="BT53" s="319">
        <v>40476</v>
      </c>
      <c r="BU53" s="324">
        <v>298</v>
      </c>
      <c r="BV53" s="358">
        <v>36.661428571428573</v>
      </c>
      <c r="BW53" s="358">
        <v>8</v>
      </c>
      <c r="BX53" s="319"/>
      <c r="BY53" s="217"/>
      <c r="BZ53" s="219"/>
      <c r="CA53" s="262"/>
      <c r="CB53" s="218">
        <v>39624</v>
      </c>
      <c r="CC53" s="217">
        <v>177</v>
      </c>
      <c r="CD53" s="219">
        <v>48.496000000000002</v>
      </c>
      <c r="CE53" s="217">
        <v>3</v>
      </c>
      <c r="CF53" s="220">
        <v>39335</v>
      </c>
      <c r="CG53" s="217">
        <v>253</v>
      </c>
      <c r="CH53" s="211"/>
      <c r="CI53" s="262">
        <v>4</v>
      </c>
      <c r="CJ53" s="319"/>
      <c r="CK53" s="211"/>
      <c r="CL53" s="211"/>
      <c r="CM53" s="258"/>
      <c r="CN53" s="173"/>
      <c r="CO53" s="173"/>
      <c r="CP53" s="173"/>
      <c r="CQ53" s="173"/>
      <c r="CR53" s="173"/>
      <c r="CS53" s="173"/>
      <c r="CT53" s="173"/>
      <c r="CU53" s="173"/>
    </row>
    <row r="54" spans="1:99" s="4" customFormat="1">
      <c r="A54" s="16" t="s">
        <v>31</v>
      </c>
      <c r="B54" s="21">
        <v>41197</v>
      </c>
      <c r="C54" s="22" t="s">
        <v>72</v>
      </c>
      <c r="D54" s="265"/>
      <c r="E54" s="266"/>
      <c r="F54" s="266"/>
      <c r="G54" s="266"/>
      <c r="H54" s="267"/>
      <c r="I54" s="268"/>
      <c r="J54" s="269"/>
      <c r="K54" s="290">
        <v>8</v>
      </c>
      <c r="L54" s="265"/>
      <c r="M54" s="266"/>
      <c r="N54" s="266"/>
      <c r="O54" s="266"/>
      <c r="P54" s="271"/>
      <c r="Q54" s="268"/>
      <c r="R54" s="269"/>
      <c r="S54" s="290">
        <v>8</v>
      </c>
      <c r="T54" s="265"/>
      <c r="U54" s="266"/>
      <c r="V54" s="266"/>
      <c r="W54" s="266"/>
      <c r="X54" s="271"/>
      <c r="Y54" s="268"/>
      <c r="Z54" s="269"/>
      <c r="AA54" s="290">
        <v>7</v>
      </c>
      <c r="AB54" s="265"/>
      <c r="AC54" s="266"/>
      <c r="AD54" s="266"/>
      <c r="AE54" s="266"/>
      <c r="AF54" s="271"/>
      <c r="AG54" s="268"/>
      <c r="AH54" s="269"/>
      <c r="AI54" s="290">
        <v>8</v>
      </c>
      <c r="AJ54" s="265"/>
      <c r="AK54" s="266"/>
      <c r="AL54" s="266"/>
      <c r="AM54" s="266"/>
      <c r="AN54" s="271"/>
      <c r="AO54" s="268"/>
      <c r="AP54" s="269"/>
      <c r="AQ54" s="290">
        <v>8</v>
      </c>
      <c r="AR54" s="272"/>
      <c r="AS54" s="268"/>
      <c r="AT54" s="268"/>
      <c r="AU54" s="268"/>
      <c r="AV54" s="273"/>
      <c r="AW54" s="268"/>
      <c r="AX54" s="269"/>
      <c r="AY54" s="45">
        <v>8</v>
      </c>
      <c r="AZ54" s="19">
        <f t="shared" si="3"/>
        <v>43.162857142857142</v>
      </c>
      <c r="BA54" s="227">
        <f t="shared" si="1"/>
        <v>7.8</v>
      </c>
      <c r="BB54" s="173"/>
      <c r="BC54" s="173"/>
      <c r="BD54" s="173"/>
      <c r="BE54" s="173"/>
      <c r="BF54" s="173"/>
      <c r="BG54" s="173"/>
      <c r="BH54" s="173"/>
      <c r="BI54" s="173"/>
      <c r="BJ54" s="173"/>
      <c r="BK54" s="173"/>
      <c r="BL54" s="173"/>
      <c r="BM54" s="173"/>
      <c r="BN54" s="173"/>
      <c r="BO54" s="324">
        <f t="shared" si="2"/>
        <v>289</v>
      </c>
      <c r="BP54" s="319"/>
      <c r="BQ54" s="324">
        <v>280</v>
      </c>
      <c r="BR54" s="358"/>
      <c r="BS54" s="358">
        <v>8</v>
      </c>
      <c r="BT54" s="319"/>
      <c r="BU54" s="324">
        <v>298</v>
      </c>
      <c r="BV54" s="358">
        <v>36.661428571428573</v>
      </c>
      <c r="BW54" s="358">
        <v>8</v>
      </c>
      <c r="BX54" s="319"/>
      <c r="BY54" s="217"/>
      <c r="BZ54" s="219"/>
      <c r="CA54" s="262"/>
      <c r="CB54" s="218">
        <v>39693</v>
      </c>
      <c r="CC54" s="217">
        <v>246</v>
      </c>
      <c r="CD54" s="219"/>
      <c r="CE54" s="217">
        <v>3.4</v>
      </c>
      <c r="CF54" s="220">
        <v>39342</v>
      </c>
      <c r="CG54" s="217">
        <v>260</v>
      </c>
      <c r="CH54" s="211"/>
      <c r="CI54" s="262">
        <v>4.4000000000000004</v>
      </c>
      <c r="CJ54" s="319"/>
      <c r="CK54" s="211"/>
      <c r="CL54" s="211"/>
      <c r="CM54" s="258"/>
      <c r="CN54" s="173"/>
      <c r="CO54" s="173"/>
      <c r="CP54" s="173"/>
      <c r="CQ54" s="173"/>
      <c r="CR54" s="173"/>
      <c r="CS54" s="173"/>
      <c r="CT54" s="173"/>
      <c r="CU54" s="173"/>
    </row>
    <row r="55" spans="1:99" s="4" customFormat="1">
      <c r="A55" s="16" t="s">
        <v>31</v>
      </c>
      <c r="B55" s="21">
        <v>41204</v>
      </c>
      <c r="C55" s="22" t="s">
        <v>72</v>
      </c>
      <c r="D55" s="265"/>
      <c r="E55" s="266"/>
      <c r="F55" s="266"/>
      <c r="G55" s="266"/>
      <c r="H55" s="267"/>
      <c r="I55" s="268"/>
      <c r="J55" s="269"/>
      <c r="K55" s="290">
        <v>8</v>
      </c>
      <c r="L55" s="265"/>
      <c r="M55" s="266"/>
      <c r="N55" s="266"/>
      <c r="O55" s="266"/>
      <c r="P55" s="271"/>
      <c r="Q55" s="268"/>
      <c r="R55" s="269"/>
      <c r="S55" s="290">
        <v>8</v>
      </c>
      <c r="T55" s="265"/>
      <c r="U55" s="266"/>
      <c r="V55" s="266"/>
      <c r="W55" s="266"/>
      <c r="X55" s="271"/>
      <c r="Y55" s="268"/>
      <c r="Z55" s="269"/>
      <c r="AA55" s="290">
        <v>8</v>
      </c>
      <c r="AB55" s="265"/>
      <c r="AC55" s="266"/>
      <c r="AD55" s="266"/>
      <c r="AE55" s="266"/>
      <c r="AF55" s="271"/>
      <c r="AG55" s="268"/>
      <c r="AH55" s="269"/>
      <c r="AI55" s="290">
        <v>8</v>
      </c>
      <c r="AJ55" s="265"/>
      <c r="AK55" s="266"/>
      <c r="AL55" s="266"/>
      <c r="AM55" s="266"/>
      <c r="AN55" s="271"/>
      <c r="AO55" s="268"/>
      <c r="AP55" s="269"/>
      <c r="AQ55" s="290">
        <v>8</v>
      </c>
      <c r="AR55" s="272"/>
      <c r="AS55" s="268"/>
      <c r="AT55" s="268"/>
      <c r="AU55" s="268"/>
      <c r="AV55" s="273"/>
      <c r="AW55" s="268"/>
      <c r="AX55" s="269"/>
      <c r="AY55" s="45">
        <v>8</v>
      </c>
      <c r="AZ55" s="19">
        <f t="shared" si="3"/>
        <v>43.162857142857142</v>
      </c>
      <c r="BA55" s="227">
        <f t="shared" si="1"/>
        <v>8</v>
      </c>
      <c r="BB55" s="173"/>
      <c r="BC55" s="173"/>
      <c r="BD55" s="173"/>
      <c r="BE55" s="173"/>
      <c r="BF55" s="173"/>
      <c r="BG55" s="173"/>
      <c r="BH55" s="173"/>
      <c r="BI55" s="173"/>
      <c r="BJ55" s="173"/>
      <c r="BK55" s="173"/>
      <c r="BL55" s="173"/>
      <c r="BM55" s="173"/>
      <c r="BN55" s="173"/>
      <c r="BO55" s="324">
        <f t="shared" si="2"/>
        <v>296</v>
      </c>
      <c r="BP55" s="319"/>
      <c r="BQ55" s="324">
        <v>280</v>
      </c>
      <c r="BR55" s="358"/>
      <c r="BS55" s="358">
        <v>8</v>
      </c>
      <c r="BT55" s="319"/>
      <c r="BU55" s="324">
        <v>298</v>
      </c>
      <c r="BV55" s="358">
        <v>36.661428571428573</v>
      </c>
      <c r="BW55" s="358">
        <v>8</v>
      </c>
      <c r="BX55" s="319"/>
      <c r="BY55" s="217"/>
      <c r="BZ55" s="219"/>
      <c r="CA55" s="262"/>
      <c r="CB55" s="218">
        <v>39699</v>
      </c>
      <c r="CC55" s="217">
        <v>252</v>
      </c>
      <c r="CD55" s="219"/>
      <c r="CE55" s="217">
        <v>4</v>
      </c>
      <c r="CF55" s="220">
        <v>39346</v>
      </c>
      <c r="CG55" s="217">
        <v>264</v>
      </c>
      <c r="CH55" s="211"/>
      <c r="CI55" s="262">
        <v>5</v>
      </c>
      <c r="CJ55" s="319"/>
      <c r="CK55" s="211"/>
      <c r="CL55" s="211"/>
      <c r="CM55" s="258"/>
      <c r="CN55" s="173"/>
      <c r="CO55" s="173"/>
      <c r="CP55" s="173"/>
      <c r="CQ55" s="173"/>
      <c r="CR55" s="173"/>
      <c r="CS55" s="173"/>
      <c r="CT55" s="173"/>
      <c r="CU55" s="173"/>
    </row>
    <row r="56" spans="1:99" s="4" customFormat="1">
      <c r="A56" s="16" t="s">
        <v>31</v>
      </c>
      <c r="B56" s="21"/>
      <c r="C56" s="22"/>
      <c r="D56" s="265"/>
      <c r="E56" s="266"/>
      <c r="F56" s="266"/>
      <c r="G56" s="266"/>
      <c r="H56" s="267"/>
      <c r="I56" s="268"/>
      <c r="J56" s="269"/>
      <c r="K56" s="290"/>
      <c r="L56" s="265"/>
      <c r="M56" s="266"/>
      <c r="N56" s="266"/>
      <c r="O56" s="266"/>
      <c r="P56" s="271"/>
      <c r="Q56" s="268"/>
      <c r="R56" s="269"/>
      <c r="S56" s="290"/>
      <c r="T56" s="265"/>
      <c r="U56" s="266"/>
      <c r="V56" s="266"/>
      <c r="W56" s="266"/>
      <c r="X56" s="271"/>
      <c r="Y56" s="268"/>
      <c r="Z56" s="269"/>
      <c r="AA56" s="290"/>
      <c r="AB56" s="265"/>
      <c r="AC56" s="266"/>
      <c r="AD56" s="266"/>
      <c r="AE56" s="266"/>
      <c r="AF56" s="271"/>
      <c r="AG56" s="268"/>
      <c r="AH56" s="269"/>
      <c r="AI56" s="290"/>
      <c r="AJ56" s="265"/>
      <c r="AK56" s="266"/>
      <c r="AL56" s="266"/>
      <c r="AM56" s="266"/>
      <c r="AN56" s="271"/>
      <c r="AO56" s="268"/>
      <c r="AP56" s="269"/>
      <c r="AQ56" s="290"/>
      <c r="AR56" s="272"/>
      <c r="AS56" s="268"/>
      <c r="AT56" s="268"/>
      <c r="AU56" s="268"/>
      <c r="AV56" s="273"/>
      <c r="AW56" s="268"/>
      <c r="AX56" s="269"/>
      <c r="AY56" s="45"/>
      <c r="AZ56" s="19">
        <f t="shared" si="3"/>
        <v>43.162857142857142</v>
      </c>
      <c r="BA56" s="227">
        <f t="shared" si="1"/>
        <v>8</v>
      </c>
      <c r="BB56" s="173"/>
      <c r="BC56" s="173"/>
      <c r="BD56" s="173"/>
      <c r="BE56" s="173"/>
      <c r="BF56" s="173"/>
      <c r="BG56" s="173"/>
      <c r="BH56" s="173"/>
      <c r="BI56" s="173"/>
      <c r="BJ56" s="173"/>
      <c r="BK56" s="173"/>
      <c r="BL56" s="173"/>
      <c r="BM56" s="173"/>
      <c r="BN56" s="173"/>
      <c r="BO56" s="324">
        <f t="shared" si="2"/>
        <v>296</v>
      </c>
      <c r="BP56" s="319"/>
      <c r="BQ56" s="324">
        <v>280</v>
      </c>
      <c r="BR56" s="358"/>
      <c r="BS56" s="358">
        <v>8</v>
      </c>
      <c r="BT56" s="319"/>
      <c r="BU56" s="324">
        <v>298</v>
      </c>
      <c r="BV56" s="358">
        <v>36.661428571428573</v>
      </c>
      <c r="BW56" s="358">
        <v>8</v>
      </c>
      <c r="BX56" s="319"/>
      <c r="BY56" s="217"/>
      <c r="BZ56" s="219"/>
      <c r="CA56" s="262"/>
      <c r="CB56" s="218">
        <v>39710</v>
      </c>
      <c r="CC56" s="217">
        <v>263</v>
      </c>
      <c r="CD56" s="219"/>
      <c r="CE56" s="217">
        <v>5</v>
      </c>
      <c r="CF56" s="220">
        <v>39360</v>
      </c>
      <c r="CG56" s="217">
        <v>278</v>
      </c>
      <c r="CH56" s="211"/>
      <c r="CI56" s="262">
        <v>7.8</v>
      </c>
      <c r="CJ56" s="319"/>
      <c r="CK56" s="211"/>
      <c r="CL56" s="211"/>
      <c r="CM56" s="258"/>
      <c r="CN56" s="173"/>
      <c r="CO56" s="173"/>
      <c r="CP56" s="173"/>
      <c r="CQ56" s="173"/>
      <c r="CR56" s="173"/>
      <c r="CS56" s="173"/>
      <c r="CT56" s="173"/>
      <c r="CU56" s="173"/>
    </row>
    <row r="57" spans="1:99" s="4" customFormat="1">
      <c r="A57" s="16" t="s">
        <v>31</v>
      </c>
      <c r="B57" s="21"/>
      <c r="C57" s="22"/>
      <c r="D57" s="265"/>
      <c r="E57" s="266"/>
      <c r="F57" s="266"/>
      <c r="G57" s="266"/>
      <c r="H57" s="267"/>
      <c r="I57" s="268"/>
      <c r="J57" s="269"/>
      <c r="K57" s="290"/>
      <c r="L57" s="265"/>
      <c r="M57" s="266"/>
      <c r="N57" s="266"/>
      <c r="O57" s="266"/>
      <c r="P57" s="271"/>
      <c r="Q57" s="268"/>
      <c r="R57" s="269"/>
      <c r="S57" s="290"/>
      <c r="T57" s="265"/>
      <c r="U57" s="266"/>
      <c r="V57" s="266"/>
      <c r="W57" s="266"/>
      <c r="X57" s="271"/>
      <c r="Y57" s="268"/>
      <c r="Z57" s="269"/>
      <c r="AA57" s="290"/>
      <c r="AB57" s="265"/>
      <c r="AC57" s="266"/>
      <c r="AD57" s="266"/>
      <c r="AE57" s="266"/>
      <c r="AF57" s="271"/>
      <c r="AG57" s="268"/>
      <c r="AH57" s="269"/>
      <c r="AI57" s="290"/>
      <c r="AJ57" s="265"/>
      <c r="AK57" s="266"/>
      <c r="AL57" s="266"/>
      <c r="AM57" s="266"/>
      <c r="AN57" s="271"/>
      <c r="AO57" s="268"/>
      <c r="AP57" s="269"/>
      <c r="AQ57" s="290"/>
      <c r="AR57" s="272"/>
      <c r="AS57" s="268"/>
      <c r="AT57" s="268"/>
      <c r="AU57" s="268"/>
      <c r="AV57" s="273"/>
      <c r="AW57" s="268"/>
      <c r="AX57" s="269"/>
      <c r="AY57" s="45"/>
      <c r="AZ57" s="19">
        <f t="shared" si="3"/>
        <v>43.162857142857142</v>
      </c>
      <c r="BA57" s="227">
        <f t="shared" si="1"/>
        <v>8</v>
      </c>
      <c r="BB57" s="173"/>
      <c r="BC57" s="173"/>
      <c r="BD57" s="173"/>
      <c r="BE57" s="173"/>
      <c r="BF57" s="173"/>
      <c r="BG57" s="173"/>
      <c r="BH57" s="173"/>
      <c r="BI57" s="173"/>
      <c r="BJ57" s="173"/>
      <c r="BK57" s="173"/>
      <c r="BL57" s="173"/>
      <c r="BM57" s="173"/>
      <c r="BN57" s="173"/>
      <c r="BO57" s="324">
        <f t="shared" si="2"/>
        <v>296</v>
      </c>
      <c r="BP57" s="319"/>
      <c r="BQ57" s="324">
        <v>280</v>
      </c>
      <c r="BR57" s="358"/>
      <c r="BS57" s="358">
        <v>8</v>
      </c>
      <c r="BT57" s="319"/>
      <c r="BU57" s="324">
        <v>298</v>
      </c>
      <c r="BV57" s="358">
        <v>36.661428571428573</v>
      </c>
      <c r="BW57" s="358">
        <v>8</v>
      </c>
      <c r="BX57" s="319"/>
      <c r="BY57" s="217"/>
      <c r="BZ57" s="219"/>
      <c r="CA57" s="262"/>
      <c r="CB57" s="218">
        <v>39717</v>
      </c>
      <c r="CC57" s="217">
        <v>270</v>
      </c>
      <c r="CD57" s="219"/>
      <c r="CE57" s="217">
        <v>6</v>
      </c>
      <c r="CF57" s="220">
        <v>39363</v>
      </c>
      <c r="CG57" s="217">
        <v>281</v>
      </c>
      <c r="CH57" s="211"/>
      <c r="CI57" s="262">
        <v>8</v>
      </c>
      <c r="CJ57" s="319"/>
      <c r="CK57" s="211"/>
      <c r="CL57" s="211"/>
      <c r="CM57" s="258"/>
      <c r="CN57" s="173"/>
      <c r="CO57" s="173"/>
      <c r="CP57" s="173"/>
      <c r="CQ57" s="173"/>
      <c r="CR57" s="173"/>
      <c r="CS57" s="173"/>
      <c r="CT57" s="173"/>
      <c r="CU57" s="173"/>
    </row>
    <row r="58" spans="1:99" s="4" customFormat="1">
      <c r="A58" s="16" t="s">
        <v>31</v>
      </c>
      <c r="B58" s="21"/>
      <c r="C58" s="22"/>
      <c r="D58" s="265"/>
      <c r="E58" s="266"/>
      <c r="F58" s="266"/>
      <c r="G58" s="266"/>
      <c r="H58" s="267"/>
      <c r="I58" s="268"/>
      <c r="J58" s="269"/>
      <c r="K58" s="290"/>
      <c r="L58" s="265"/>
      <c r="M58" s="266"/>
      <c r="N58" s="266"/>
      <c r="O58" s="266"/>
      <c r="P58" s="271"/>
      <c r="Q58" s="268"/>
      <c r="R58" s="269"/>
      <c r="S58" s="290"/>
      <c r="T58" s="265"/>
      <c r="U58" s="266"/>
      <c r="V58" s="266"/>
      <c r="W58" s="266"/>
      <c r="X58" s="271"/>
      <c r="Y58" s="268"/>
      <c r="Z58" s="269"/>
      <c r="AA58" s="290"/>
      <c r="AB58" s="265"/>
      <c r="AC58" s="266"/>
      <c r="AD58" s="266"/>
      <c r="AE58" s="266"/>
      <c r="AF58" s="271"/>
      <c r="AG58" s="268"/>
      <c r="AH58" s="269"/>
      <c r="AI58" s="290"/>
      <c r="AJ58" s="265"/>
      <c r="AK58" s="266"/>
      <c r="AL58" s="266"/>
      <c r="AM58" s="266"/>
      <c r="AN58" s="271"/>
      <c r="AO58" s="268"/>
      <c r="AP58" s="269"/>
      <c r="AQ58" s="290"/>
      <c r="AR58" s="272"/>
      <c r="AS58" s="268"/>
      <c r="AT58" s="268"/>
      <c r="AU58" s="268"/>
      <c r="AV58" s="273"/>
      <c r="AW58" s="268"/>
      <c r="AX58" s="269"/>
      <c r="AY58" s="45"/>
      <c r="AZ58" s="19">
        <f t="shared" si="3"/>
        <v>43.162857142857142</v>
      </c>
      <c r="BA58" s="227">
        <f t="shared" si="1"/>
        <v>8</v>
      </c>
      <c r="BB58" s="173"/>
      <c r="BC58" s="173"/>
      <c r="BD58" s="173"/>
      <c r="BE58" s="173"/>
      <c r="BF58" s="173"/>
      <c r="BG58" s="173"/>
      <c r="BH58" s="173"/>
      <c r="BI58" s="173"/>
      <c r="BJ58" s="173"/>
      <c r="BK58" s="173"/>
      <c r="BL58" s="173"/>
      <c r="BM58" s="173"/>
      <c r="BN58" s="173"/>
      <c r="BO58" s="324">
        <f t="shared" si="2"/>
        <v>296</v>
      </c>
      <c r="BP58" s="319"/>
      <c r="BQ58" s="324">
        <v>280</v>
      </c>
      <c r="BR58" s="358"/>
      <c r="BS58" s="358">
        <v>8</v>
      </c>
      <c r="BT58" s="319"/>
      <c r="BU58" s="324">
        <v>298</v>
      </c>
      <c r="BV58" s="358">
        <v>36.661428571428573</v>
      </c>
      <c r="BW58" s="358">
        <v>8</v>
      </c>
      <c r="BX58" s="319"/>
      <c r="BY58" s="217"/>
      <c r="BZ58" s="219"/>
      <c r="CA58" s="262"/>
      <c r="CB58" s="218">
        <v>39721</v>
      </c>
      <c r="CC58" s="217">
        <v>274</v>
      </c>
      <c r="CD58" s="219"/>
      <c r="CE58" s="217">
        <v>6.8</v>
      </c>
      <c r="CF58" s="220"/>
      <c r="CG58" s="211"/>
      <c r="CH58" s="211"/>
      <c r="CI58" s="262"/>
      <c r="CJ58" s="319"/>
      <c r="CK58" s="211"/>
      <c r="CL58" s="211"/>
      <c r="CM58" s="258"/>
      <c r="CN58" s="173"/>
      <c r="CO58" s="173"/>
      <c r="CP58" s="173"/>
      <c r="CQ58" s="173"/>
      <c r="CR58" s="173"/>
      <c r="CS58" s="173"/>
      <c r="CT58" s="173"/>
      <c r="CU58" s="173"/>
    </row>
    <row r="59" spans="1:99" s="4" customFormat="1">
      <c r="A59" s="16" t="s">
        <v>31</v>
      </c>
      <c r="B59" s="21"/>
      <c r="C59" s="22"/>
      <c r="D59" s="265"/>
      <c r="E59" s="266"/>
      <c r="F59" s="266"/>
      <c r="G59" s="266"/>
      <c r="H59" s="267"/>
      <c r="I59" s="268"/>
      <c r="J59" s="269"/>
      <c r="K59" s="290"/>
      <c r="L59" s="265"/>
      <c r="M59" s="266"/>
      <c r="N59" s="266"/>
      <c r="O59" s="266"/>
      <c r="P59" s="271"/>
      <c r="Q59" s="268"/>
      <c r="R59" s="269"/>
      <c r="S59" s="290"/>
      <c r="T59" s="265"/>
      <c r="U59" s="266"/>
      <c r="V59" s="266"/>
      <c r="W59" s="266"/>
      <c r="X59" s="271"/>
      <c r="Y59" s="268"/>
      <c r="Z59" s="269"/>
      <c r="AA59" s="290"/>
      <c r="AB59" s="265"/>
      <c r="AC59" s="266"/>
      <c r="AD59" s="266"/>
      <c r="AE59" s="266"/>
      <c r="AF59" s="271"/>
      <c r="AG59" s="268"/>
      <c r="AH59" s="269"/>
      <c r="AI59" s="290"/>
      <c r="AJ59" s="265"/>
      <c r="AK59" s="266"/>
      <c r="AL59" s="266"/>
      <c r="AM59" s="266"/>
      <c r="AN59" s="271"/>
      <c r="AO59" s="268"/>
      <c r="AP59" s="269"/>
      <c r="AQ59" s="290"/>
      <c r="AR59" s="272"/>
      <c r="AS59" s="268"/>
      <c r="AT59" s="268"/>
      <c r="AU59" s="268"/>
      <c r="AV59" s="273"/>
      <c r="AW59" s="268"/>
      <c r="AX59" s="269"/>
      <c r="AY59" s="45"/>
      <c r="AZ59" s="19">
        <f t="shared" si="3"/>
        <v>43.162857142857142</v>
      </c>
      <c r="BA59" s="227">
        <f t="shared" si="1"/>
        <v>8</v>
      </c>
      <c r="BB59" s="173"/>
      <c r="BC59" s="173"/>
      <c r="BD59" s="173"/>
      <c r="BE59" s="173"/>
      <c r="BF59" s="173"/>
      <c r="BG59" s="173"/>
      <c r="BH59" s="173"/>
      <c r="BI59" s="173"/>
      <c r="BJ59" s="173"/>
      <c r="BK59" s="173"/>
      <c r="BL59" s="173"/>
      <c r="BM59" s="173"/>
      <c r="BN59" s="173"/>
      <c r="BO59" s="324">
        <f t="shared" si="2"/>
        <v>296</v>
      </c>
      <c r="BP59" s="319"/>
      <c r="BQ59" s="324">
        <v>280</v>
      </c>
      <c r="BR59" s="358"/>
      <c r="BS59" s="358">
        <v>8</v>
      </c>
      <c r="BT59" s="319"/>
      <c r="BU59" s="324">
        <v>298</v>
      </c>
      <c r="BV59" s="358">
        <v>36.661428571428573</v>
      </c>
      <c r="BW59" s="358">
        <v>8</v>
      </c>
      <c r="BX59" s="319"/>
      <c r="BY59" s="217"/>
      <c r="BZ59" s="219"/>
      <c r="CA59" s="262"/>
      <c r="CB59" s="218">
        <v>39727</v>
      </c>
      <c r="CC59" s="217">
        <v>280</v>
      </c>
      <c r="CD59" s="219"/>
      <c r="CE59" s="217">
        <v>7.4</v>
      </c>
      <c r="CF59" s="220"/>
      <c r="CG59" s="211"/>
      <c r="CH59" s="211"/>
      <c r="CI59" s="262"/>
      <c r="CJ59" s="319"/>
      <c r="CK59" s="211"/>
      <c r="CL59" s="211"/>
      <c r="CM59" s="258"/>
      <c r="CN59" s="173"/>
      <c r="CO59" s="173"/>
      <c r="CP59" s="173"/>
      <c r="CQ59" s="173"/>
      <c r="CR59" s="173"/>
      <c r="CS59" s="173"/>
      <c r="CT59" s="173"/>
      <c r="CU59" s="173"/>
    </row>
    <row r="60" spans="1:99" s="4" customFormat="1">
      <c r="A60" s="16" t="s">
        <v>31</v>
      </c>
      <c r="B60" s="21"/>
      <c r="C60" s="22"/>
      <c r="D60" s="265"/>
      <c r="E60" s="266"/>
      <c r="F60" s="266"/>
      <c r="G60" s="266"/>
      <c r="H60" s="267"/>
      <c r="I60" s="268"/>
      <c r="J60" s="269"/>
      <c r="K60" s="290"/>
      <c r="L60" s="265"/>
      <c r="M60" s="266"/>
      <c r="N60" s="266"/>
      <c r="O60" s="266"/>
      <c r="P60" s="271"/>
      <c r="Q60" s="268"/>
      <c r="R60" s="269"/>
      <c r="S60" s="290"/>
      <c r="T60" s="265"/>
      <c r="U60" s="266"/>
      <c r="V60" s="266"/>
      <c r="W60" s="266"/>
      <c r="X60" s="271"/>
      <c r="Y60" s="268"/>
      <c r="Z60" s="269"/>
      <c r="AA60" s="290"/>
      <c r="AB60" s="265"/>
      <c r="AC60" s="266"/>
      <c r="AD60" s="266"/>
      <c r="AE60" s="266"/>
      <c r="AF60" s="271"/>
      <c r="AG60" s="268"/>
      <c r="AH60" s="269"/>
      <c r="AI60" s="290"/>
      <c r="AJ60" s="265"/>
      <c r="AK60" s="266"/>
      <c r="AL60" s="266"/>
      <c r="AM60" s="266"/>
      <c r="AN60" s="271"/>
      <c r="AO60" s="268"/>
      <c r="AP60" s="269"/>
      <c r="AQ60" s="290"/>
      <c r="AR60" s="272"/>
      <c r="AS60" s="268"/>
      <c r="AT60" s="268"/>
      <c r="AU60" s="268"/>
      <c r="AV60" s="273"/>
      <c r="AW60" s="268"/>
      <c r="AX60" s="269"/>
      <c r="AY60" s="45"/>
      <c r="AZ60" s="19">
        <f t="shared" si="3"/>
        <v>43.162857142857142</v>
      </c>
      <c r="BA60" s="227">
        <f t="shared" si="1"/>
        <v>8</v>
      </c>
      <c r="BB60" s="173"/>
      <c r="BC60" s="173"/>
      <c r="BD60" s="173"/>
      <c r="BE60" s="173"/>
      <c r="BF60" s="173"/>
      <c r="BG60" s="173"/>
      <c r="BH60" s="173"/>
      <c r="BI60" s="173"/>
      <c r="BJ60" s="173"/>
      <c r="BK60" s="173"/>
      <c r="BL60" s="173"/>
      <c r="BM60" s="173"/>
      <c r="BN60" s="173"/>
      <c r="BO60" s="324">
        <f t="shared" si="2"/>
        <v>296</v>
      </c>
      <c r="BP60" s="319"/>
      <c r="BQ60" s="324">
        <v>280</v>
      </c>
      <c r="BR60" s="358"/>
      <c r="BS60" s="358">
        <v>8</v>
      </c>
      <c r="BT60" s="319"/>
      <c r="BU60" s="324">
        <v>298</v>
      </c>
      <c r="BV60" s="358">
        <v>36.661428571428573</v>
      </c>
      <c r="BW60" s="358">
        <v>8</v>
      </c>
      <c r="BX60" s="319"/>
      <c r="BY60" s="217"/>
      <c r="BZ60" s="219"/>
      <c r="CA60" s="262"/>
      <c r="CB60" s="218">
        <v>39734</v>
      </c>
      <c r="CC60" s="217">
        <v>287</v>
      </c>
      <c r="CD60" s="219"/>
      <c r="CE60" s="217">
        <v>8</v>
      </c>
      <c r="CF60" s="220"/>
      <c r="CG60" s="211"/>
      <c r="CH60" s="211"/>
      <c r="CI60" s="262"/>
      <c r="CJ60" s="319"/>
      <c r="CK60" s="211"/>
      <c r="CL60" s="211"/>
      <c r="CM60" s="258"/>
      <c r="CN60" s="173"/>
      <c r="CO60" s="173"/>
      <c r="CP60" s="173"/>
      <c r="CQ60" s="173"/>
      <c r="CR60" s="173"/>
      <c r="CS60" s="173"/>
      <c r="CT60" s="173"/>
      <c r="CU60" s="173"/>
    </row>
    <row r="61" spans="1:99" s="4" customFormat="1">
      <c r="A61" s="16" t="s">
        <v>31</v>
      </c>
      <c r="B61" s="21"/>
      <c r="C61" s="22"/>
      <c r="D61" s="265"/>
      <c r="E61" s="266"/>
      <c r="F61" s="266"/>
      <c r="G61" s="266"/>
      <c r="H61" s="267"/>
      <c r="I61" s="268"/>
      <c r="J61" s="269"/>
      <c r="K61" s="290"/>
      <c r="L61" s="265"/>
      <c r="M61" s="266"/>
      <c r="N61" s="266"/>
      <c r="O61" s="266"/>
      <c r="P61" s="271"/>
      <c r="Q61" s="268"/>
      <c r="R61" s="269"/>
      <c r="S61" s="290"/>
      <c r="T61" s="265"/>
      <c r="U61" s="266"/>
      <c r="V61" s="266"/>
      <c r="W61" s="266"/>
      <c r="X61" s="271"/>
      <c r="Y61" s="268"/>
      <c r="Z61" s="269"/>
      <c r="AA61" s="290"/>
      <c r="AB61" s="265"/>
      <c r="AC61" s="266"/>
      <c r="AD61" s="266"/>
      <c r="AE61" s="266"/>
      <c r="AF61" s="271"/>
      <c r="AG61" s="268"/>
      <c r="AH61" s="269"/>
      <c r="AI61" s="290"/>
      <c r="AJ61" s="265"/>
      <c r="AK61" s="266"/>
      <c r="AL61" s="266"/>
      <c r="AM61" s="266"/>
      <c r="AN61" s="271"/>
      <c r="AO61" s="268"/>
      <c r="AP61" s="269"/>
      <c r="AQ61" s="290"/>
      <c r="AR61" s="272"/>
      <c r="AS61" s="268"/>
      <c r="AT61" s="268"/>
      <c r="AU61" s="268"/>
      <c r="AV61" s="273"/>
      <c r="AW61" s="268"/>
      <c r="AX61" s="269"/>
      <c r="AY61" s="45"/>
      <c r="AZ61" s="19">
        <f t="shared" si="3"/>
        <v>43.162857142857142</v>
      </c>
      <c r="BA61" s="227">
        <f t="shared" si="1"/>
        <v>8</v>
      </c>
      <c r="BB61" s="173"/>
      <c r="BC61" s="173"/>
      <c r="BD61" s="173"/>
      <c r="BE61" s="173"/>
      <c r="BF61" s="173"/>
      <c r="BG61" s="173"/>
      <c r="BH61" s="173"/>
      <c r="BI61" s="173"/>
      <c r="BJ61" s="173"/>
      <c r="BK61" s="173"/>
      <c r="BL61" s="173"/>
      <c r="BM61" s="173"/>
      <c r="BN61" s="173"/>
      <c r="BO61" s="324">
        <f t="shared" si="2"/>
        <v>296</v>
      </c>
      <c r="BP61" s="319"/>
      <c r="BQ61" s="324">
        <v>280</v>
      </c>
      <c r="BR61" s="358"/>
      <c r="BS61" s="358">
        <v>8</v>
      </c>
      <c r="BT61" s="319"/>
      <c r="BU61" s="324">
        <v>298</v>
      </c>
      <c r="BV61" s="358">
        <v>36.661428571428573</v>
      </c>
      <c r="BW61" s="358">
        <v>8</v>
      </c>
      <c r="BX61" s="319"/>
      <c r="BY61" s="217"/>
      <c r="BZ61" s="219"/>
      <c r="CA61" s="262"/>
      <c r="CB61" s="218"/>
      <c r="CC61" s="217"/>
      <c r="CD61" s="219"/>
      <c r="CE61" s="217"/>
      <c r="CF61" s="220"/>
      <c r="CG61" s="211"/>
      <c r="CH61" s="211"/>
      <c r="CI61" s="262"/>
      <c r="CJ61" s="319"/>
      <c r="CK61" s="211"/>
      <c r="CL61" s="211"/>
      <c r="CM61" s="258"/>
      <c r="CN61" s="173"/>
      <c r="CO61" s="173"/>
      <c r="CP61" s="173"/>
      <c r="CQ61" s="173"/>
      <c r="CR61" s="173"/>
      <c r="CS61" s="173"/>
      <c r="CT61" s="173"/>
      <c r="CU61" s="173"/>
    </row>
    <row r="62" spans="1:99" s="4" customFormat="1">
      <c r="A62" s="16" t="s">
        <v>31</v>
      </c>
      <c r="B62" s="21"/>
      <c r="C62" s="22"/>
      <c r="D62" s="265"/>
      <c r="E62" s="266"/>
      <c r="F62" s="266"/>
      <c r="G62" s="266"/>
      <c r="H62" s="267"/>
      <c r="I62" s="268"/>
      <c r="J62" s="269"/>
      <c r="K62" s="290"/>
      <c r="L62" s="265"/>
      <c r="M62" s="266"/>
      <c r="N62" s="266"/>
      <c r="O62" s="266"/>
      <c r="P62" s="271"/>
      <c r="Q62" s="268"/>
      <c r="R62" s="269"/>
      <c r="S62" s="290"/>
      <c r="T62" s="265"/>
      <c r="U62" s="266"/>
      <c r="V62" s="266"/>
      <c r="W62" s="266"/>
      <c r="X62" s="271"/>
      <c r="Y62" s="268"/>
      <c r="Z62" s="269"/>
      <c r="AA62" s="290"/>
      <c r="AB62" s="265"/>
      <c r="AC62" s="266"/>
      <c r="AD62" s="266"/>
      <c r="AE62" s="266"/>
      <c r="AF62" s="271"/>
      <c r="AG62" s="268"/>
      <c r="AH62" s="269"/>
      <c r="AI62" s="290"/>
      <c r="AJ62" s="265"/>
      <c r="AK62" s="266"/>
      <c r="AL62" s="266"/>
      <c r="AM62" s="266"/>
      <c r="AN62" s="271"/>
      <c r="AO62" s="268"/>
      <c r="AP62" s="269"/>
      <c r="AQ62" s="290"/>
      <c r="AR62" s="272"/>
      <c r="AS62" s="268"/>
      <c r="AT62" s="268"/>
      <c r="AU62" s="268"/>
      <c r="AV62" s="273"/>
      <c r="AW62" s="268"/>
      <c r="AX62" s="269"/>
      <c r="AY62" s="45"/>
      <c r="AZ62" s="19">
        <f t="shared" si="3"/>
        <v>43.162857142857142</v>
      </c>
      <c r="BA62" s="227">
        <f t="shared" si="1"/>
        <v>8</v>
      </c>
      <c r="BB62" s="173"/>
      <c r="BC62" s="173"/>
      <c r="BD62" s="173"/>
      <c r="BE62" s="173"/>
      <c r="BF62" s="173"/>
      <c r="BG62" s="173"/>
      <c r="BH62" s="173"/>
      <c r="BI62" s="173"/>
      <c r="BJ62" s="173"/>
      <c r="BK62" s="173"/>
      <c r="BL62" s="173"/>
      <c r="BM62" s="173"/>
      <c r="BN62" s="173"/>
      <c r="BO62" s="324">
        <f t="shared" si="2"/>
        <v>296</v>
      </c>
      <c r="BP62" s="319"/>
      <c r="BQ62" s="324">
        <v>280</v>
      </c>
      <c r="BR62" s="358"/>
      <c r="BS62" s="358">
        <v>8</v>
      </c>
      <c r="BT62" s="319"/>
      <c r="BU62" s="324">
        <v>298</v>
      </c>
      <c r="BV62" s="358">
        <v>36.661428571428573</v>
      </c>
      <c r="BW62" s="358">
        <v>8</v>
      </c>
      <c r="BX62" s="319"/>
      <c r="BY62" s="217"/>
      <c r="BZ62" s="219"/>
      <c r="CA62" s="262"/>
      <c r="CB62" s="218"/>
      <c r="CC62" s="217"/>
      <c r="CD62" s="219"/>
      <c r="CE62" s="217"/>
      <c r="CF62" s="220"/>
      <c r="CG62" s="211"/>
      <c r="CH62" s="211"/>
      <c r="CI62" s="262"/>
      <c r="CJ62" s="319"/>
      <c r="CK62" s="211"/>
      <c r="CL62" s="211"/>
      <c r="CM62" s="258"/>
      <c r="CN62" s="173"/>
      <c r="CO62" s="173"/>
      <c r="CP62" s="173"/>
      <c r="CQ62" s="173"/>
      <c r="CR62" s="173"/>
      <c r="CS62" s="173"/>
      <c r="CT62" s="173"/>
      <c r="CU62" s="173"/>
    </row>
    <row r="63" spans="1:99" s="4" customFormat="1">
      <c r="A63" s="16" t="s">
        <v>31</v>
      </c>
      <c r="B63" s="21"/>
      <c r="C63" s="22"/>
      <c r="D63" s="265"/>
      <c r="E63" s="266"/>
      <c r="F63" s="266"/>
      <c r="G63" s="266"/>
      <c r="H63" s="267"/>
      <c r="I63" s="268"/>
      <c r="J63" s="269"/>
      <c r="K63" s="290"/>
      <c r="L63" s="265"/>
      <c r="M63" s="266"/>
      <c r="N63" s="266"/>
      <c r="O63" s="266"/>
      <c r="P63" s="271"/>
      <c r="Q63" s="268"/>
      <c r="R63" s="269"/>
      <c r="S63" s="290"/>
      <c r="T63" s="265"/>
      <c r="U63" s="266"/>
      <c r="V63" s="266"/>
      <c r="W63" s="266"/>
      <c r="X63" s="271"/>
      <c r="Y63" s="268"/>
      <c r="Z63" s="269"/>
      <c r="AA63" s="290"/>
      <c r="AB63" s="265"/>
      <c r="AC63" s="266"/>
      <c r="AD63" s="266"/>
      <c r="AE63" s="266"/>
      <c r="AF63" s="271"/>
      <c r="AG63" s="268"/>
      <c r="AH63" s="269"/>
      <c r="AI63" s="290"/>
      <c r="AJ63" s="265"/>
      <c r="AK63" s="266"/>
      <c r="AL63" s="266"/>
      <c r="AM63" s="266"/>
      <c r="AN63" s="271"/>
      <c r="AO63" s="268"/>
      <c r="AP63" s="269"/>
      <c r="AQ63" s="290"/>
      <c r="AR63" s="272"/>
      <c r="AS63" s="268"/>
      <c r="AT63" s="268"/>
      <c r="AU63" s="268"/>
      <c r="AV63" s="273"/>
      <c r="AW63" s="268"/>
      <c r="AX63" s="269"/>
      <c r="AY63" s="45"/>
      <c r="AZ63" s="19">
        <f t="shared" si="3"/>
        <v>43.162857142857142</v>
      </c>
      <c r="BA63" s="227">
        <f t="shared" si="1"/>
        <v>8</v>
      </c>
      <c r="BB63" s="173"/>
      <c r="BC63" s="173"/>
      <c r="BD63" s="173"/>
      <c r="BE63" s="173"/>
      <c r="BF63" s="173"/>
      <c r="BG63" s="173"/>
      <c r="BH63" s="173"/>
      <c r="BI63" s="173"/>
      <c r="BJ63" s="173"/>
      <c r="BK63" s="173"/>
      <c r="BL63" s="173"/>
      <c r="BM63" s="173"/>
      <c r="BN63" s="173"/>
      <c r="BO63" s="324">
        <f t="shared" si="2"/>
        <v>296</v>
      </c>
      <c r="BP63" s="319"/>
      <c r="BQ63" s="324">
        <v>280</v>
      </c>
      <c r="BR63" s="358"/>
      <c r="BS63" s="358">
        <v>8</v>
      </c>
      <c r="BT63" s="319"/>
      <c r="BU63" s="324">
        <v>298</v>
      </c>
      <c r="BV63" s="358">
        <v>36.661428571428573</v>
      </c>
      <c r="BW63" s="358">
        <v>8</v>
      </c>
      <c r="BX63" s="319"/>
      <c r="BY63" s="217"/>
      <c r="BZ63" s="219"/>
      <c r="CA63" s="262"/>
      <c r="CB63" s="218"/>
      <c r="CC63" s="217"/>
      <c r="CD63" s="219"/>
      <c r="CE63" s="217"/>
      <c r="CF63" s="220"/>
      <c r="CG63" s="211"/>
      <c r="CH63" s="211"/>
      <c r="CI63" s="262"/>
      <c r="CJ63" s="319"/>
      <c r="CK63" s="211"/>
      <c r="CL63" s="211"/>
      <c r="CM63" s="258"/>
      <c r="CN63" s="173"/>
      <c r="CO63" s="173"/>
      <c r="CP63" s="173"/>
      <c r="CQ63" s="173"/>
      <c r="CR63" s="173"/>
      <c r="CS63" s="173"/>
      <c r="CT63" s="173"/>
      <c r="CU63" s="173"/>
    </row>
    <row r="64" spans="1:99" s="4" customFormat="1">
      <c r="A64" s="16" t="s">
        <v>31</v>
      </c>
      <c r="B64" s="21"/>
      <c r="C64" s="22"/>
      <c r="D64" s="265"/>
      <c r="E64" s="266"/>
      <c r="F64" s="266"/>
      <c r="G64" s="266"/>
      <c r="H64" s="267"/>
      <c r="I64" s="268"/>
      <c r="J64" s="269"/>
      <c r="K64" s="290"/>
      <c r="L64" s="265"/>
      <c r="M64" s="266"/>
      <c r="N64" s="266"/>
      <c r="O64" s="266"/>
      <c r="P64" s="271"/>
      <c r="Q64" s="268"/>
      <c r="R64" s="269"/>
      <c r="S64" s="290"/>
      <c r="T64" s="265"/>
      <c r="U64" s="266"/>
      <c r="V64" s="266"/>
      <c r="W64" s="266"/>
      <c r="X64" s="271"/>
      <c r="Y64" s="268"/>
      <c r="Z64" s="269"/>
      <c r="AA64" s="290"/>
      <c r="AB64" s="265"/>
      <c r="AC64" s="266"/>
      <c r="AD64" s="266"/>
      <c r="AE64" s="266"/>
      <c r="AF64" s="271"/>
      <c r="AG64" s="268"/>
      <c r="AH64" s="269"/>
      <c r="AI64" s="290"/>
      <c r="AJ64" s="265"/>
      <c r="AK64" s="266"/>
      <c r="AL64" s="266"/>
      <c r="AM64" s="266"/>
      <c r="AN64" s="271"/>
      <c r="AO64" s="268"/>
      <c r="AP64" s="269"/>
      <c r="AQ64" s="290"/>
      <c r="AR64" s="272"/>
      <c r="AS64" s="268"/>
      <c r="AT64" s="268"/>
      <c r="AU64" s="268"/>
      <c r="AV64" s="273"/>
      <c r="AW64" s="268"/>
      <c r="AX64" s="269"/>
      <c r="AY64" s="45"/>
      <c r="AZ64" s="19">
        <f t="shared" si="3"/>
        <v>43.162857142857142</v>
      </c>
      <c r="BA64" s="227">
        <f t="shared" si="1"/>
        <v>8</v>
      </c>
      <c r="BB64" s="173"/>
      <c r="BC64" s="173"/>
      <c r="BD64" s="173"/>
      <c r="BE64" s="173"/>
      <c r="BF64" s="173"/>
      <c r="BG64" s="173"/>
      <c r="BH64" s="173"/>
      <c r="BI64" s="173"/>
      <c r="BJ64" s="173"/>
      <c r="BK64" s="173"/>
      <c r="BL64" s="173"/>
      <c r="BM64" s="173"/>
      <c r="BN64" s="173"/>
      <c r="BO64" s="324">
        <f t="shared" si="2"/>
        <v>296</v>
      </c>
      <c r="BP64" s="319"/>
      <c r="BQ64" s="324">
        <v>280</v>
      </c>
      <c r="BR64" s="358"/>
      <c r="BS64" s="358">
        <v>8</v>
      </c>
      <c r="BT64" s="319"/>
      <c r="BU64" s="324">
        <v>298</v>
      </c>
      <c r="BV64" s="358">
        <v>36.661428571428573</v>
      </c>
      <c r="BW64" s="358">
        <v>8</v>
      </c>
      <c r="BX64" s="319"/>
      <c r="BY64" s="217"/>
      <c r="BZ64" s="219"/>
      <c r="CA64" s="262"/>
      <c r="CB64" s="218"/>
      <c r="CC64" s="217"/>
      <c r="CD64" s="219"/>
      <c r="CE64" s="217"/>
      <c r="CF64" s="220"/>
      <c r="CG64" s="211"/>
      <c r="CH64" s="211"/>
      <c r="CI64" s="262"/>
      <c r="CJ64" s="319"/>
      <c r="CK64" s="211"/>
      <c r="CL64" s="211"/>
      <c r="CM64" s="258"/>
      <c r="CN64" s="173"/>
      <c r="CO64" s="173"/>
      <c r="CP64" s="173"/>
      <c r="CQ64" s="173"/>
      <c r="CR64" s="173"/>
      <c r="CS64" s="173"/>
      <c r="CT64" s="173"/>
      <c r="CU64" s="173"/>
    </row>
    <row r="65" spans="1:99" s="13" customFormat="1" ht="13" thickBot="1">
      <c r="A65" s="17" t="s">
        <v>31</v>
      </c>
      <c r="B65" s="29"/>
      <c r="C65" s="30"/>
      <c r="D65" s="274"/>
      <c r="E65" s="275"/>
      <c r="F65" s="275"/>
      <c r="G65" s="275"/>
      <c r="H65" s="276"/>
      <c r="I65" s="277"/>
      <c r="J65" s="278"/>
      <c r="K65" s="291"/>
      <c r="L65" s="274"/>
      <c r="M65" s="275"/>
      <c r="N65" s="275"/>
      <c r="O65" s="275"/>
      <c r="P65" s="279"/>
      <c r="Q65" s="277"/>
      <c r="R65" s="278"/>
      <c r="S65" s="291"/>
      <c r="T65" s="274"/>
      <c r="U65" s="275"/>
      <c r="V65" s="275"/>
      <c r="W65" s="275"/>
      <c r="X65" s="279"/>
      <c r="Y65" s="277"/>
      <c r="Z65" s="278"/>
      <c r="AA65" s="291"/>
      <c r="AB65" s="274"/>
      <c r="AC65" s="275"/>
      <c r="AD65" s="275"/>
      <c r="AE65" s="275"/>
      <c r="AF65" s="279"/>
      <c r="AG65" s="277"/>
      <c r="AH65" s="278"/>
      <c r="AI65" s="291"/>
      <c r="AJ65" s="274"/>
      <c r="AK65" s="275"/>
      <c r="AL65" s="275"/>
      <c r="AM65" s="275"/>
      <c r="AN65" s="279"/>
      <c r="AO65" s="277"/>
      <c r="AP65" s="278"/>
      <c r="AQ65" s="291"/>
      <c r="AR65" s="280"/>
      <c r="AS65" s="277"/>
      <c r="AT65" s="277"/>
      <c r="AU65" s="277"/>
      <c r="AV65" s="281"/>
      <c r="AW65" s="277"/>
      <c r="AX65" s="278"/>
      <c r="AY65" s="46"/>
      <c r="AZ65" s="20"/>
      <c r="BA65" s="208">
        <f t="shared" si="1"/>
        <v>8</v>
      </c>
      <c r="BB65" s="176"/>
      <c r="BC65" s="176"/>
      <c r="BD65" s="176"/>
      <c r="BE65" s="176"/>
      <c r="BF65" s="176"/>
      <c r="BG65" s="176"/>
      <c r="BH65" s="176"/>
      <c r="BI65" s="176"/>
      <c r="BJ65" s="176"/>
      <c r="BK65" s="176"/>
      <c r="BL65" s="176"/>
      <c r="BM65" s="176"/>
      <c r="BN65" s="176"/>
      <c r="BO65" s="325">
        <f t="shared" si="2"/>
        <v>296</v>
      </c>
      <c r="BP65" s="238"/>
      <c r="BQ65" s="325">
        <v>280</v>
      </c>
      <c r="BR65" s="359"/>
      <c r="BS65" s="359">
        <v>8</v>
      </c>
      <c r="BT65" s="238"/>
      <c r="BU65" s="325">
        <v>298</v>
      </c>
      <c r="BV65" s="359">
        <v>36.661428571428573</v>
      </c>
      <c r="BW65" s="359">
        <v>8</v>
      </c>
      <c r="BX65" s="238"/>
      <c r="BY65" s="255"/>
      <c r="BZ65" s="244"/>
      <c r="CA65" s="264"/>
      <c r="CB65" s="254"/>
      <c r="CC65" s="255"/>
      <c r="CD65" s="244"/>
      <c r="CE65" s="255"/>
      <c r="CF65" s="263"/>
      <c r="CG65" s="239"/>
      <c r="CH65" s="239"/>
      <c r="CI65" s="264"/>
      <c r="CJ65" s="238"/>
      <c r="CK65" s="239"/>
      <c r="CL65" s="239"/>
      <c r="CM65" s="240"/>
      <c r="CN65" s="176"/>
      <c r="CO65" s="176"/>
      <c r="CP65" s="176"/>
      <c r="CQ65" s="176"/>
      <c r="CR65" s="176"/>
      <c r="CS65" s="176"/>
      <c r="CT65" s="176"/>
      <c r="CU65" s="176"/>
    </row>
    <row r="66" spans="1:99" s="4" customFormat="1">
      <c r="A66" s="15" t="s">
        <v>32</v>
      </c>
      <c r="B66" s="37">
        <v>41022</v>
      </c>
      <c r="C66" s="38" t="s">
        <v>82</v>
      </c>
      <c r="D66" s="282">
        <v>5.6</v>
      </c>
      <c r="E66" s="283">
        <v>5.8</v>
      </c>
      <c r="F66" s="283">
        <v>6.4</v>
      </c>
      <c r="G66" s="283">
        <v>6.9</v>
      </c>
      <c r="H66" s="284">
        <v>3.8</v>
      </c>
      <c r="I66" s="285">
        <v>6.6</v>
      </c>
      <c r="J66" s="286">
        <v>7</v>
      </c>
      <c r="K66" s="292">
        <v>0</v>
      </c>
      <c r="L66" s="282">
        <v>6.6</v>
      </c>
      <c r="M66" s="283">
        <v>7.9</v>
      </c>
      <c r="N66" s="283">
        <v>9.3000000000000007</v>
      </c>
      <c r="O66" s="283">
        <v>8.6</v>
      </c>
      <c r="P66" s="287">
        <v>4.8</v>
      </c>
      <c r="Q66" s="285">
        <v>7.2</v>
      </c>
      <c r="R66" s="286">
        <v>7.2</v>
      </c>
      <c r="S66" s="292">
        <v>0</v>
      </c>
      <c r="T66" s="282">
        <v>7.5</v>
      </c>
      <c r="U66" s="283">
        <v>7.3</v>
      </c>
      <c r="V66" s="283">
        <v>8.3000000000000007</v>
      </c>
      <c r="W66" s="283">
        <v>7.2</v>
      </c>
      <c r="X66" s="287">
        <v>6.3</v>
      </c>
      <c r="Y66" s="285">
        <v>6.7</v>
      </c>
      <c r="Z66" s="286">
        <v>5.4</v>
      </c>
      <c r="AA66" s="292">
        <v>0</v>
      </c>
      <c r="AB66" s="282">
        <v>7.1</v>
      </c>
      <c r="AC66" s="283">
        <v>7.1</v>
      </c>
      <c r="AD66" s="283">
        <v>7.3</v>
      </c>
      <c r="AE66" s="283">
        <v>8.4</v>
      </c>
      <c r="AF66" s="287">
        <v>6.6</v>
      </c>
      <c r="AG66" s="285">
        <v>7</v>
      </c>
      <c r="AH66" s="286">
        <v>6.2</v>
      </c>
      <c r="AI66" s="292">
        <v>0</v>
      </c>
      <c r="AJ66" s="282">
        <v>5.3</v>
      </c>
      <c r="AK66" s="283">
        <v>6.6</v>
      </c>
      <c r="AL66" s="283">
        <v>5.8</v>
      </c>
      <c r="AM66" s="283">
        <v>6.1</v>
      </c>
      <c r="AN66" s="287">
        <v>5.8</v>
      </c>
      <c r="AO66" s="285">
        <v>6.1</v>
      </c>
      <c r="AP66" s="286">
        <v>6.1</v>
      </c>
      <c r="AQ66" s="292">
        <v>0</v>
      </c>
      <c r="AR66" s="288">
        <v>7.3</v>
      </c>
      <c r="AS66" s="285">
        <v>7.1</v>
      </c>
      <c r="AT66" s="285">
        <v>7.5</v>
      </c>
      <c r="AU66" s="285">
        <v>7.8</v>
      </c>
      <c r="AV66" s="289">
        <v>7.5</v>
      </c>
      <c r="AW66" s="285">
        <v>8.6999999999999993</v>
      </c>
      <c r="AX66" s="286">
        <v>7.6</v>
      </c>
      <c r="AY66" s="44">
        <v>0</v>
      </c>
      <c r="AZ66" s="18">
        <f t="shared" si="3"/>
        <v>6.6828571428571424</v>
      </c>
      <c r="BA66" s="200">
        <f t="shared" si="1"/>
        <v>0</v>
      </c>
      <c r="BB66" s="173"/>
      <c r="BC66" s="173"/>
      <c r="BD66" s="173"/>
      <c r="BE66" s="173"/>
      <c r="BF66" s="173"/>
      <c r="BG66" s="173"/>
      <c r="BH66" s="173"/>
      <c r="BI66" s="173"/>
      <c r="BJ66" s="173"/>
      <c r="BK66" s="173"/>
      <c r="BL66" s="173"/>
      <c r="BM66" s="173"/>
      <c r="BN66" s="173"/>
      <c r="BO66" s="323">
        <f t="shared" si="2"/>
        <v>114</v>
      </c>
      <c r="BP66" s="318">
        <v>40652</v>
      </c>
      <c r="BQ66" s="323">
        <v>109</v>
      </c>
      <c r="BR66" s="360">
        <v>6.8</v>
      </c>
      <c r="BS66" s="360">
        <v>0</v>
      </c>
      <c r="BT66" s="318">
        <v>40291</v>
      </c>
      <c r="BU66" s="323">
        <v>113</v>
      </c>
      <c r="BV66" s="360">
        <v>5.9080000000000004</v>
      </c>
      <c r="BW66" s="360">
        <v>0.02</v>
      </c>
      <c r="BX66" s="318">
        <v>39929</v>
      </c>
      <c r="BY66" s="250">
        <v>116</v>
      </c>
      <c r="BZ66" s="251">
        <v>8.1119999999999983</v>
      </c>
      <c r="CA66" s="261">
        <v>1</v>
      </c>
      <c r="CB66" s="249">
        <v>39563</v>
      </c>
      <c r="CC66" s="250">
        <v>116</v>
      </c>
      <c r="CD66" s="251">
        <v>6.7714285714285705</v>
      </c>
      <c r="CE66" s="250">
        <v>0</v>
      </c>
      <c r="CF66" s="259">
        <v>39187</v>
      </c>
      <c r="CG66" s="250">
        <v>105</v>
      </c>
      <c r="CH66" s="260">
        <v>0</v>
      </c>
      <c r="CI66" s="261">
        <v>0</v>
      </c>
      <c r="CJ66" s="318">
        <v>38822</v>
      </c>
      <c r="CK66" s="250">
        <v>105</v>
      </c>
      <c r="CL66" s="260">
        <v>0</v>
      </c>
      <c r="CM66" s="257">
        <v>0</v>
      </c>
      <c r="CN66" s="173"/>
      <c r="CO66" s="173"/>
      <c r="CP66" s="173"/>
      <c r="CQ66" s="173"/>
      <c r="CR66" s="173"/>
      <c r="CS66" s="173"/>
      <c r="CT66" s="173"/>
      <c r="CU66" s="173"/>
    </row>
    <row r="67" spans="1:99" s="4" customFormat="1">
      <c r="A67" s="16" t="s">
        <v>32</v>
      </c>
      <c r="B67" s="21">
        <v>41026</v>
      </c>
      <c r="C67" s="22" t="s">
        <v>82</v>
      </c>
      <c r="D67" s="265">
        <v>7.8</v>
      </c>
      <c r="E67" s="266">
        <v>7.8</v>
      </c>
      <c r="F67" s="266">
        <v>9.9</v>
      </c>
      <c r="G67" s="266">
        <v>9</v>
      </c>
      <c r="H67" s="267">
        <v>3.8</v>
      </c>
      <c r="I67" s="268">
        <v>9.5</v>
      </c>
      <c r="J67" s="269">
        <v>9.5</v>
      </c>
      <c r="K67" s="290">
        <v>0</v>
      </c>
      <c r="L67" s="265">
        <v>9</v>
      </c>
      <c r="M67" s="266">
        <v>10.8</v>
      </c>
      <c r="N67" s="266">
        <v>12.9</v>
      </c>
      <c r="O67" s="266">
        <v>11.1</v>
      </c>
      <c r="P67" s="271">
        <v>5.6</v>
      </c>
      <c r="Q67" s="268">
        <v>9.1</v>
      </c>
      <c r="R67" s="269">
        <v>10</v>
      </c>
      <c r="S67" s="290">
        <v>0</v>
      </c>
      <c r="T67" s="265">
        <v>7.5</v>
      </c>
      <c r="U67" s="266">
        <v>10</v>
      </c>
      <c r="V67" s="266">
        <v>10.7</v>
      </c>
      <c r="W67" s="266">
        <v>7.3</v>
      </c>
      <c r="X67" s="271">
        <v>7.2</v>
      </c>
      <c r="Y67" s="268">
        <v>8.8000000000000007</v>
      </c>
      <c r="Z67" s="269">
        <v>6.7</v>
      </c>
      <c r="AA67" s="290">
        <v>0</v>
      </c>
      <c r="AB67" s="265">
        <v>9.1</v>
      </c>
      <c r="AC67" s="266">
        <v>9</v>
      </c>
      <c r="AD67" s="266">
        <v>10.199999999999999</v>
      </c>
      <c r="AE67" s="266">
        <v>11.6</v>
      </c>
      <c r="AF67" s="271">
        <v>8.3000000000000007</v>
      </c>
      <c r="AG67" s="268">
        <v>9.5</v>
      </c>
      <c r="AH67" s="269">
        <v>9.5</v>
      </c>
      <c r="AI67" s="290">
        <v>0</v>
      </c>
      <c r="AJ67" s="265">
        <v>5.3</v>
      </c>
      <c r="AK67" s="266">
        <v>7.9</v>
      </c>
      <c r="AL67" s="266">
        <v>8.4</v>
      </c>
      <c r="AM67" s="266">
        <v>6.1</v>
      </c>
      <c r="AN67" s="271">
        <v>5.8</v>
      </c>
      <c r="AO67" s="268">
        <v>9.5</v>
      </c>
      <c r="AP67" s="269">
        <v>6.1</v>
      </c>
      <c r="AQ67" s="290">
        <v>0</v>
      </c>
      <c r="AR67" s="272">
        <v>7.8</v>
      </c>
      <c r="AS67" s="268">
        <v>9.5</v>
      </c>
      <c r="AT67" s="268">
        <v>10.3</v>
      </c>
      <c r="AU67" s="268">
        <v>9.5</v>
      </c>
      <c r="AV67" s="273">
        <v>9.8000000000000007</v>
      </c>
      <c r="AW67" s="268">
        <v>11.7</v>
      </c>
      <c r="AX67" s="269">
        <v>11.4</v>
      </c>
      <c r="AY67" s="45">
        <v>0</v>
      </c>
      <c r="AZ67" s="19">
        <f t="shared" si="3"/>
        <v>8.58</v>
      </c>
      <c r="BA67" s="227">
        <f t="shared" si="1"/>
        <v>0</v>
      </c>
      <c r="BB67" s="173"/>
      <c r="BC67" s="173"/>
      <c r="BD67" s="173"/>
      <c r="BE67" s="173"/>
      <c r="BF67" s="173"/>
      <c r="BG67" s="173"/>
      <c r="BH67" s="173"/>
      <c r="BI67" s="173"/>
      <c r="BJ67" s="173"/>
      <c r="BK67" s="173"/>
      <c r="BL67" s="173"/>
      <c r="BM67" s="173"/>
      <c r="BN67" s="173"/>
      <c r="BO67" s="324">
        <f t="shared" si="2"/>
        <v>118</v>
      </c>
      <c r="BP67" s="319">
        <v>40656</v>
      </c>
      <c r="BQ67" s="324">
        <v>113</v>
      </c>
      <c r="BR67" s="358">
        <v>11.364285714285714</v>
      </c>
      <c r="BS67" s="358">
        <v>0.8</v>
      </c>
      <c r="BT67" s="319">
        <v>40297</v>
      </c>
      <c r="BU67" s="324">
        <v>119</v>
      </c>
      <c r="BV67" s="358">
        <v>7.58</v>
      </c>
      <c r="BW67" s="358">
        <v>0.2</v>
      </c>
      <c r="BX67" s="319">
        <v>39934</v>
      </c>
      <c r="BY67" s="217">
        <v>121</v>
      </c>
      <c r="BZ67" s="219">
        <v>18.552</v>
      </c>
      <c r="CA67" s="262">
        <v>2</v>
      </c>
      <c r="CB67" s="218">
        <v>39568</v>
      </c>
      <c r="CC67" s="217">
        <v>121</v>
      </c>
      <c r="CD67" s="219">
        <v>11.86857142857143</v>
      </c>
      <c r="CE67" s="217">
        <v>0.8</v>
      </c>
      <c r="CF67" s="220"/>
      <c r="CG67" s="211"/>
      <c r="CH67" s="211">
        <v>0</v>
      </c>
      <c r="CI67" s="262">
        <v>0</v>
      </c>
      <c r="CJ67" s="319"/>
      <c r="CK67" s="211"/>
      <c r="CL67" s="211"/>
      <c r="CM67" s="258"/>
      <c r="CN67" s="173"/>
      <c r="CO67" s="173"/>
      <c r="CP67" s="173"/>
      <c r="CQ67" s="173"/>
      <c r="CR67" s="173"/>
      <c r="CS67" s="173"/>
      <c r="CT67" s="173"/>
      <c r="CU67" s="173"/>
    </row>
    <row r="68" spans="1:99" s="4" customFormat="1">
      <c r="A68" s="16" t="s">
        <v>32</v>
      </c>
      <c r="B68" s="21">
        <v>41031</v>
      </c>
      <c r="C68" s="22" t="s">
        <v>82</v>
      </c>
      <c r="D68" s="265">
        <v>15.3</v>
      </c>
      <c r="E68" s="266">
        <v>12</v>
      </c>
      <c r="F68" s="266">
        <v>18.399999999999999</v>
      </c>
      <c r="G68" s="266">
        <v>18.5</v>
      </c>
      <c r="H68" s="267">
        <v>12</v>
      </c>
      <c r="I68" s="268">
        <v>13.6</v>
      </c>
      <c r="J68" s="269">
        <v>16.399999999999999</v>
      </c>
      <c r="K68" s="290">
        <v>1</v>
      </c>
      <c r="L68" s="265">
        <v>13</v>
      </c>
      <c r="M68" s="266">
        <v>19.100000000000001</v>
      </c>
      <c r="N68" s="266">
        <v>22.3</v>
      </c>
      <c r="O68" s="266">
        <v>20</v>
      </c>
      <c r="P68" s="271">
        <v>6.9</v>
      </c>
      <c r="Q68" s="268">
        <v>16.2</v>
      </c>
      <c r="R68" s="269">
        <v>14.7</v>
      </c>
      <c r="S68" s="290">
        <v>1</v>
      </c>
      <c r="T68" s="265">
        <v>11.9</v>
      </c>
      <c r="U68" s="266">
        <v>13</v>
      </c>
      <c r="V68" s="266">
        <v>13.7</v>
      </c>
      <c r="W68" s="266">
        <v>11.3</v>
      </c>
      <c r="X68" s="271">
        <v>8.9</v>
      </c>
      <c r="Y68" s="268">
        <v>15.6</v>
      </c>
      <c r="Z68" s="269">
        <v>9.4</v>
      </c>
      <c r="AA68" s="290">
        <v>1</v>
      </c>
      <c r="AB68" s="265">
        <v>15.4</v>
      </c>
      <c r="AC68" s="266">
        <v>16.399999999999999</v>
      </c>
      <c r="AD68" s="266">
        <v>15.9</v>
      </c>
      <c r="AE68" s="266">
        <v>20.3</v>
      </c>
      <c r="AF68" s="271">
        <v>14.3</v>
      </c>
      <c r="AG68" s="268">
        <v>16.8</v>
      </c>
      <c r="AH68" s="269">
        <v>14.2</v>
      </c>
      <c r="AI68" s="290">
        <v>1</v>
      </c>
      <c r="AJ68" s="265">
        <v>5.3</v>
      </c>
      <c r="AK68" s="266">
        <v>12</v>
      </c>
      <c r="AL68" s="266">
        <v>11.7</v>
      </c>
      <c r="AM68" s="266">
        <v>6.1</v>
      </c>
      <c r="AN68" s="271">
        <v>5.8</v>
      </c>
      <c r="AO68" s="268">
        <v>10.199999999999999</v>
      </c>
      <c r="AP68" s="269">
        <v>6.1</v>
      </c>
      <c r="AQ68" s="290">
        <v>0</v>
      </c>
      <c r="AR68" s="272">
        <v>11.8</v>
      </c>
      <c r="AS68" s="268">
        <v>14.2</v>
      </c>
      <c r="AT68" s="268">
        <v>19.8</v>
      </c>
      <c r="AU68" s="268">
        <v>19.2</v>
      </c>
      <c r="AV68" s="273">
        <v>14.2</v>
      </c>
      <c r="AW68" s="268">
        <v>20.9</v>
      </c>
      <c r="AX68" s="269">
        <v>19.899999999999999</v>
      </c>
      <c r="AY68" s="45">
        <v>1</v>
      </c>
      <c r="AZ68" s="19">
        <f t="shared" si="3"/>
        <v>13.505714285714287</v>
      </c>
      <c r="BA68" s="227">
        <f t="shared" si="1"/>
        <v>0.8</v>
      </c>
      <c r="BB68" s="173"/>
      <c r="BC68" s="173"/>
      <c r="BD68" s="173"/>
      <c r="BE68" s="173"/>
      <c r="BF68" s="173"/>
      <c r="BG68" s="173"/>
      <c r="BH68" s="173"/>
      <c r="BI68" s="173"/>
      <c r="BJ68" s="173"/>
      <c r="BK68" s="173"/>
      <c r="BL68" s="173"/>
      <c r="BM68" s="173"/>
      <c r="BN68" s="173"/>
      <c r="BO68" s="324">
        <f t="shared" si="2"/>
        <v>123</v>
      </c>
      <c r="BP68" s="319">
        <v>40661</v>
      </c>
      <c r="BQ68" s="324">
        <v>118</v>
      </c>
      <c r="BR68" s="358">
        <v>25.89142857142857</v>
      </c>
      <c r="BS68" s="358">
        <v>2</v>
      </c>
      <c r="BT68" s="319">
        <v>40302</v>
      </c>
      <c r="BU68" s="324">
        <v>124</v>
      </c>
      <c r="BV68" s="358">
        <v>9.740000000000002</v>
      </c>
      <c r="BW68" s="358">
        <v>0.2</v>
      </c>
      <c r="BX68" s="319">
        <v>39940</v>
      </c>
      <c r="BY68" s="217">
        <v>127</v>
      </c>
      <c r="BZ68" s="219">
        <v>28.483999999999998</v>
      </c>
      <c r="CA68" s="262">
        <v>2</v>
      </c>
      <c r="CB68" s="218">
        <v>39574</v>
      </c>
      <c r="CC68" s="217">
        <v>127</v>
      </c>
      <c r="CD68" s="219">
        <v>19.314285714285717</v>
      </c>
      <c r="CE68" s="217">
        <v>1.8</v>
      </c>
      <c r="CF68" s="220"/>
      <c r="CG68" s="211"/>
      <c r="CH68" s="211">
        <v>0</v>
      </c>
      <c r="CI68" s="262">
        <v>0</v>
      </c>
      <c r="CJ68" s="319"/>
      <c r="CK68" s="211"/>
      <c r="CL68" s="211"/>
      <c r="CM68" s="258"/>
      <c r="CN68" s="173"/>
      <c r="CO68" s="173"/>
      <c r="CP68" s="173"/>
      <c r="CQ68" s="173"/>
      <c r="CR68" s="173"/>
      <c r="CS68" s="173"/>
      <c r="CT68" s="173"/>
      <c r="CU68" s="173"/>
    </row>
    <row r="69" spans="1:99" s="4" customFormat="1">
      <c r="A69" s="16" t="s">
        <v>32</v>
      </c>
      <c r="B69" s="21">
        <v>41036</v>
      </c>
      <c r="C69" s="22" t="s">
        <v>83</v>
      </c>
      <c r="D69" s="265">
        <v>23.7</v>
      </c>
      <c r="E69" s="266">
        <v>20.6</v>
      </c>
      <c r="F69" s="266">
        <v>30.2</v>
      </c>
      <c r="G69" s="266">
        <v>31.3</v>
      </c>
      <c r="H69" s="267">
        <v>20.100000000000001</v>
      </c>
      <c r="I69" s="268">
        <v>23.6</v>
      </c>
      <c r="J69" s="269">
        <v>28.8</v>
      </c>
      <c r="K69" s="290">
        <v>2</v>
      </c>
      <c r="L69" s="265">
        <v>21</v>
      </c>
      <c r="M69" s="266">
        <v>29.1</v>
      </c>
      <c r="N69" s="266">
        <v>32.6</v>
      </c>
      <c r="O69" s="266">
        <v>32.9</v>
      </c>
      <c r="P69" s="271"/>
      <c r="Q69" s="268">
        <v>25.5</v>
      </c>
      <c r="R69" s="269">
        <v>27.2</v>
      </c>
      <c r="S69" s="290">
        <v>2</v>
      </c>
      <c r="T69" s="265">
        <v>22</v>
      </c>
      <c r="U69" s="266">
        <v>23</v>
      </c>
      <c r="V69" s="266">
        <v>22</v>
      </c>
      <c r="W69" s="266">
        <v>22.3</v>
      </c>
      <c r="X69" s="271">
        <v>14.2</v>
      </c>
      <c r="Y69" s="268">
        <v>25.6</v>
      </c>
      <c r="Z69" s="269">
        <v>10.9</v>
      </c>
      <c r="AA69" s="290">
        <v>2</v>
      </c>
      <c r="AB69" s="265">
        <v>24.6</v>
      </c>
      <c r="AC69" s="266">
        <v>29</v>
      </c>
      <c r="AD69" s="266">
        <v>27.4</v>
      </c>
      <c r="AE69" s="266">
        <v>32.299999999999997</v>
      </c>
      <c r="AF69" s="271">
        <v>25.1</v>
      </c>
      <c r="AG69" s="268">
        <v>24.8</v>
      </c>
      <c r="AH69" s="269">
        <v>24.8</v>
      </c>
      <c r="AI69" s="290">
        <v>2</v>
      </c>
      <c r="AJ69" s="265"/>
      <c r="AK69" s="266">
        <v>22.9</v>
      </c>
      <c r="AL69" s="266">
        <v>20.2</v>
      </c>
      <c r="AM69" s="266">
        <v>6.1</v>
      </c>
      <c r="AN69" s="271"/>
      <c r="AO69" s="268">
        <v>21.4</v>
      </c>
      <c r="AP69" s="269">
        <v>9.9</v>
      </c>
      <c r="AQ69" s="290">
        <v>1</v>
      </c>
      <c r="AR69" s="272">
        <v>18.899999999999999</v>
      </c>
      <c r="AS69" s="268">
        <v>25.1</v>
      </c>
      <c r="AT69" s="268">
        <v>28.6</v>
      </c>
      <c r="AU69" s="268">
        <v>25</v>
      </c>
      <c r="AV69" s="273">
        <v>26.3</v>
      </c>
      <c r="AW69" s="268">
        <v>36</v>
      </c>
      <c r="AX69" s="269">
        <v>34.299999999999997</v>
      </c>
      <c r="AY69" s="45">
        <v>2</v>
      </c>
      <c r="AZ69" s="19">
        <f t="shared" si="3"/>
        <v>23.295714285714286</v>
      </c>
      <c r="BA69" s="227">
        <f t="shared" si="1"/>
        <v>1.8</v>
      </c>
      <c r="BB69" s="173"/>
      <c r="BC69" s="173"/>
      <c r="BD69" s="173"/>
      <c r="BE69" s="173"/>
      <c r="BF69" s="173"/>
      <c r="BG69" s="173"/>
      <c r="BH69" s="173"/>
      <c r="BI69" s="173"/>
      <c r="BJ69" s="173"/>
      <c r="BK69" s="173"/>
      <c r="BL69" s="173"/>
      <c r="BM69" s="173"/>
      <c r="BN69" s="173"/>
      <c r="BO69" s="324">
        <f t="shared" si="2"/>
        <v>128</v>
      </c>
      <c r="BP69" s="319">
        <v>40665</v>
      </c>
      <c r="BQ69" s="324">
        <v>122</v>
      </c>
      <c r="BR69" s="358">
        <v>30.865714285714283</v>
      </c>
      <c r="BS69" s="358">
        <v>2</v>
      </c>
      <c r="BT69" s="319">
        <v>40307</v>
      </c>
      <c r="BU69" s="324">
        <v>129</v>
      </c>
      <c r="BV69" s="358">
        <v>10.891999999999999</v>
      </c>
      <c r="BW69" s="358">
        <v>0.4</v>
      </c>
      <c r="BX69" s="319">
        <v>39946</v>
      </c>
      <c r="BY69" s="217">
        <v>133</v>
      </c>
      <c r="BZ69" s="219">
        <v>38.356000000000009</v>
      </c>
      <c r="CA69" s="262">
        <v>3</v>
      </c>
      <c r="CB69" s="218">
        <v>39579</v>
      </c>
      <c r="CC69" s="217">
        <v>132</v>
      </c>
      <c r="CD69" s="219">
        <v>33.77428571428571</v>
      </c>
      <c r="CE69" s="217">
        <v>2</v>
      </c>
      <c r="CF69" s="220"/>
      <c r="CG69" s="211"/>
      <c r="CH69" s="211">
        <v>0</v>
      </c>
      <c r="CI69" s="262">
        <v>0</v>
      </c>
      <c r="CJ69" s="319"/>
      <c r="CK69" s="211"/>
      <c r="CL69" s="211"/>
      <c r="CM69" s="258"/>
      <c r="CN69" s="173"/>
      <c r="CO69" s="173"/>
      <c r="CP69" s="173"/>
      <c r="CQ69" s="173"/>
      <c r="CR69" s="173"/>
      <c r="CS69" s="173"/>
      <c r="CT69" s="173"/>
      <c r="CU69" s="173"/>
    </row>
    <row r="70" spans="1:99" s="4" customFormat="1">
      <c r="A70" s="16" t="s">
        <v>32</v>
      </c>
      <c r="B70" s="21">
        <v>41039</v>
      </c>
      <c r="C70" s="22" t="s">
        <v>83</v>
      </c>
      <c r="D70" s="265">
        <v>27</v>
      </c>
      <c r="E70" s="266">
        <v>24.5</v>
      </c>
      <c r="F70" s="266">
        <v>34.6</v>
      </c>
      <c r="G70" s="266">
        <v>37.700000000000003</v>
      </c>
      <c r="H70" s="267">
        <v>22.5</v>
      </c>
      <c r="I70" s="268">
        <v>28.9</v>
      </c>
      <c r="J70" s="269">
        <v>34.4</v>
      </c>
      <c r="K70" s="290">
        <v>2</v>
      </c>
      <c r="L70" s="265">
        <v>23.8</v>
      </c>
      <c r="M70" s="266">
        <v>32.299999999999997</v>
      </c>
      <c r="N70" s="266">
        <v>38.9</v>
      </c>
      <c r="O70" s="266">
        <v>38.700000000000003</v>
      </c>
      <c r="P70" s="271"/>
      <c r="Q70" s="268">
        <v>32.299999999999997</v>
      </c>
      <c r="R70" s="269">
        <v>32.1</v>
      </c>
      <c r="S70" s="290">
        <v>2</v>
      </c>
      <c r="T70" s="265">
        <v>27.8</v>
      </c>
      <c r="U70" s="266">
        <v>26.2</v>
      </c>
      <c r="V70" s="266">
        <v>26.1</v>
      </c>
      <c r="W70" s="266">
        <v>28</v>
      </c>
      <c r="X70" s="271">
        <v>19.2</v>
      </c>
      <c r="Y70" s="268">
        <v>30</v>
      </c>
      <c r="Z70" s="269">
        <v>13.1</v>
      </c>
      <c r="AA70" s="290">
        <v>2</v>
      </c>
      <c r="AB70" s="265">
        <v>27.8</v>
      </c>
      <c r="AC70" s="266">
        <v>32.200000000000003</v>
      </c>
      <c r="AD70" s="266">
        <v>32.200000000000003</v>
      </c>
      <c r="AE70" s="266">
        <v>35.5</v>
      </c>
      <c r="AF70" s="271">
        <v>29.1</v>
      </c>
      <c r="AG70" s="268">
        <v>29</v>
      </c>
      <c r="AH70" s="269">
        <v>30</v>
      </c>
      <c r="AI70" s="290">
        <v>2</v>
      </c>
      <c r="AJ70" s="265"/>
      <c r="AK70" s="266">
        <v>29.5</v>
      </c>
      <c r="AL70" s="266">
        <v>27.1</v>
      </c>
      <c r="AM70" s="266"/>
      <c r="AN70" s="271"/>
      <c r="AO70" s="268">
        <v>28</v>
      </c>
      <c r="AP70" s="269">
        <v>10.1</v>
      </c>
      <c r="AQ70" s="290">
        <v>2</v>
      </c>
      <c r="AR70" s="272">
        <v>25.5</v>
      </c>
      <c r="AS70" s="268">
        <v>30.5</v>
      </c>
      <c r="AT70" s="268">
        <v>37.6</v>
      </c>
      <c r="AU70" s="268">
        <v>32.9</v>
      </c>
      <c r="AV70" s="273">
        <v>39.4</v>
      </c>
      <c r="AW70" s="268">
        <v>42.5</v>
      </c>
      <c r="AX70" s="269">
        <v>41.8</v>
      </c>
      <c r="AY70" s="45">
        <v>2</v>
      </c>
      <c r="AZ70" s="19">
        <f t="shared" si="3"/>
        <v>28.361190476190473</v>
      </c>
      <c r="BA70" s="227">
        <f t="shared" ref="BA70:BA133" si="4">IF(COUNT(K70,S70,AA70,AI70,AQ70)=0,BA69,AVERAGE(K70,S70,AA70,AI70,AQ70))</f>
        <v>2</v>
      </c>
      <c r="BB70" s="173"/>
      <c r="BC70" s="173"/>
      <c r="BD70" s="173"/>
      <c r="BE70" s="173"/>
      <c r="BF70" s="173"/>
      <c r="BG70" s="173"/>
      <c r="BH70" s="173"/>
      <c r="BI70" s="173"/>
      <c r="BJ70" s="173"/>
      <c r="BK70" s="173"/>
      <c r="BL70" s="173"/>
      <c r="BM70" s="173"/>
      <c r="BN70" s="173"/>
      <c r="BO70" s="324">
        <f t="shared" ref="BO70:BO133" si="5">IF(B70=0,BO69,B70-DATE(YEAR(B70)-1,12,31))</f>
        <v>131</v>
      </c>
      <c r="BP70" s="319">
        <v>40670</v>
      </c>
      <c r="BQ70" s="324">
        <v>127</v>
      </c>
      <c r="BR70" s="358">
        <v>36.771428571428572</v>
      </c>
      <c r="BS70" s="358">
        <v>2</v>
      </c>
      <c r="BT70" s="319">
        <v>40314</v>
      </c>
      <c r="BU70" s="324">
        <v>136</v>
      </c>
      <c r="BV70" s="358">
        <v>15.052000000000001</v>
      </c>
      <c r="BW70" s="358">
        <v>1.4</v>
      </c>
      <c r="BX70" s="319">
        <v>39955</v>
      </c>
      <c r="BY70" s="217">
        <v>142</v>
      </c>
      <c r="BZ70" s="219">
        <v>46.498000000000005</v>
      </c>
      <c r="CA70" s="262">
        <v>3</v>
      </c>
      <c r="CB70" s="218">
        <v>39583</v>
      </c>
      <c r="CC70" s="217">
        <v>136</v>
      </c>
      <c r="CD70" s="219">
        <v>38.231428571428573</v>
      </c>
      <c r="CE70" s="217">
        <v>2.2000000000000002</v>
      </c>
      <c r="CF70" s="220"/>
      <c r="CG70" s="211"/>
      <c r="CH70" s="211">
        <v>0</v>
      </c>
      <c r="CI70" s="262">
        <v>0</v>
      </c>
      <c r="CJ70" s="319"/>
      <c r="CK70" s="211"/>
      <c r="CL70" s="211"/>
      <c r="CM70" s="258"/>
      <c r="CN70" s="173"/>
      <c r="CO70" s="173"/>
      <c r="CP70" s="173"/>
      <c r="CQ70" s="173"/>
      <c r="CR70" s="173"/>
      <c r="CS70" s="173"/>
      <c r="CT70" s="173"/>
      <c r="CU70" s="173"/>
    </row>
    <row r="71" spans="1:99" s="4" customFormat="1">
      <c r="A71" s="16" t="s">
        <v>32</v>
      </c>
      <c r="B71" s="21">
        <v>41044</v>
      </c>
      <c r="C71" s="22" t="s">
        <v>83</v>
      </c>
      <c r="D71" s="265">
        <v>35.1</v>
      </c>
      <c r="E71" s="266">
        <v>30.9</v>
      </c>
      <c r="F71" s="266">
        <v>40</v>
      </c>
      <c r="G71" s="266">
        <v>43.9</v>
      </c>
      <c r="H71" s="267">
        <v>26.7</v>
      </c>
      <c r="I71" s="268">
        <v>34.200000000000003</v>
      </c>
      <c r="J71" s="269">
        <v>39.5</v>
      </c>
      <c r="K71" s="290">
        <v>2</v>
      </c>
      <c r="L71" s="265">
        <v>34.4</v>
      </c>
      <c r="M71" s="266">
        <v>40.9</v>
      </c>
      <c r="N71" s="266">
        <v>47.4</v>
      </c>
      <c r="O71" s="266">
        <v>44.1</v>
      </c>
      <c r="P71" s="271"/>
      <c r="Q71" s="268">
        <v>38.700000000000003</v>
      </c>
      <c r="R71" s="269">
        <v>38.799999999999997</v>
      </c>
      <c r="S71" s="290">
        <v>2</v>
      </c>
      <c r="T71" s="265">
        <v>36.799999999999997</v>
      </c>
      <c r="U71" s="266">
        <v>33.299999999999997</v>
      </c>
      <c r="V71" s="266">
        <v>31</v>
      </c>
      <c r="W71" s="266">
        <v>32.299999999999997</v>
      </c>
      <c r="X71" s="271">
        <v>23.7</v>
      </c>
      <c r="Y71" s="268">
        <v>38.200000000000003</v>
      </c>
      <c r="Z71" s="269">
        <v>16.3</v>
      </c>
      <c r="AA71" s="290">
        <v>2</v>
      </c>
      <c r="AB71" s="265">
        <v>31.2</v>
      </c>
      <c r="AC71" s="266">
        <v>37.9</v>
      </c>
      <c r="AD71" s="266">
        <v>40.299999999999997</v>
      </c>
      <c r="AE71" s="266">
        <v>40.6</v>
      </c>
      <c r="AF71" s="271">
        <v>34.700000000000003</v>
      </c>
      <c r="AG71" s="268">
        <v>32.4</v>
      </c>
      <c r="AH71" s="269">
        <v>37.200000000000003</v>
      </c>
      <c r="AI71" s="290">
        <v>2</v>
      </c>
      <c r="AJ71" s="265"/>
      <c r="AK71" s="266">
        <v>41.9</v>
      </c>
      <c r="AL71" s="266">
        <v>35.6</v>
      </c>
      <c r="AM71" s="266"/>
      <c r="AN71" s="271"/>
      <c r="AO71" s="268">
        <v>35.5</v>
      </c>
      <c r="AP71" s="269">
        <v>11.7</v>
      </c>
      <c r="AQ71" s="290">
        <v>2</v>
      </c>
      <c r="AR71" s="272">
        <v>29.3</v>
      </c>
      <c r="AS71" s="268">
        <v>39.200000000000003</v>
      </c>
      <c r="AT71" s="268">
        <v>44.5</v>
      </c>
      <c r="AU71" s="268">
        <v>39.5</v>
      </c>
      <c r="AV71" s="273">
        <v>48.7</v>
      </c>
      <c r="AW71" s="268">
        <v>51.6</v>
      </c>
      <c r="AX71" s="269">
        <v>49.5</v>
      </c>
      <c r="AY71" s="45">
        <v>3</v>
      </c>
      <c r="AZ71" s="19">
        <f t="shared" si="3"/>
        <v>34.841190476190476</v>
      </c>
      <c r="BA71" s="227">
        <f t="shared" si="4"/>
        <v>2</v>
      </c>
      <c r="BB71" s="173"/>
      <c r="BC71" s="173"/>
      <c r="BD71" s="173"/>
      <c r="BE71" s="173"/>
      <c r="BF71" s="173"/>
      <c r="BG71" s="173"/>
      <c r="BH71" s="173"/>
      <c r="BI71" s="173"/>
      <c r="BJ71" s="173"/>
      <c r="BK71" s="173"/>
      <c r="BL71" s="173"/>
      <c r="BM71" s="173"/>
      <c r="BN71" s="173"/>
      <c r="BO71" s="324">
        <f t="shared" si="5"/>
        <v>136</v>
      </c>
      <c r="BP71" s="319">
        <v>40675</v>
      </c>
      <c r="BQ71" s="324">
        <v>132</v>
      </c>
      <c r="BR71" s="358">
        <v>44.377142857142857</v>
      </c>
      <c r="BS71" s="358">
        <v>3</v>
      </c>
      <c r="BT71" s="319">
        <v>40320</v>
      </c>
      <c r="BU71" s="324">
        <v>142</v>
      </c>
      <c r="BV71" s="358">
        <v>26.064</v>
      </c>
      <c r="BW71" s="358">
        <v>2</v>
      </c>
      <c r="BX71" s="319">
        <v>39964</v>
      </c>
      <c r="BY71" s="217">
        <v>151</v>
      </c>
      <c r="BZ71" s="219">
        <v>49.433000000000007</v>
      </c>
      <c r="CA71" s="262">
        <v>3</v>
      </c>
      <c r="CB71" s="218">
        <v>39594</v>
      </c>
      <c r="CC71" s="217">
        <v>147</v>
      </c>
      <c r="CD71" s="219">
        <v>44.46</v>
      </c>
      <c r="CE71" s="217">
        <v>3</v>
      </c>
      <c r="CF71" s="220"/>
      <c r="CG71" s="211"/>
      <c r="CH71" s="211">
        <v>0</v>
      </c>
      <c r="CI71" s="262">
        <v>0</v>
      </c>
      <c r="CJ71" s="319"/>
      <c r="CK71" s="211"/>
      <c r="CL71" s="211"/>
      <c r="CM71" s="258"/>
      <c r="CN71" s="173"/>
      <c r="CO71" s="173"/>
      <c r="CP71" s="173"/>
      <c r="CQ71" s="173"/>
      <c r="CR71" s="173"/>
      <c r="CS71" s="173"/>
      <c r="CT71" s="173"/>
      <c r="CU71" s="173"/>
    </row>
    <row r="72" spans="1:99" s="4" customFormat="1">
      <c r="A72" s="16" t="s">
        <v>32</v>
      </c>
      <c r="B72" s="21">
        <v>41053</v>
      </c>
      <c r="C72" s="22" t="s">
        <v>83</v>
      </c>
      <c r="D72" s="265"/>
      <c r="E72" s="266"/>
      <c r="F72" s="266"/>
      <c r="G72" s="266"/>
      <c r="H72" s="267"/>
      <c r="I72" s="268"/>
      <c r="J72" s="269"/>
      <c r="K72" s="290">
        <v>3</v>
      </c>
      <c r="L72" s="265"/>
      <c r="M72" s="266"/>
      <c r="N72" s="266"/>
      <c r="O72" s="266"/>
      <c r="P72" s="271"/>
      <c r="Q72" s="268"/>
      <c r="R72" s="269"/>
      <c r="S72" s="290">
        <v>3</v>
      </c>
      <c r="T72" s="265"/>
      <c r="U72" s="266"/>
      <c r="V72" s="266"/>
      <c r="W72" s="266"/>
      <c r="X72" s="271"/>
      <c r="Y72" s="268"/>
      <c r="Z72" s="269"/>
      <c r="AA72" s="290">
        <v>3</v>
      </c>
      <c r="AB72" s="265"/>
      <c r="AC72" s="266"/>
      <c r="AD72" s="266"/>
      <c r="AE72" s="266"/>
      <c r="AF72" s="271"/>
      <c r="AG72" s="268"/>
      <c r="AH72" s="269"/>
      <c r="AI72" s="290">
        <v>3</v>
      </c>
      <c r="AJ72" s="265"/>
      <c r="AK72" s="266"/>
      <c r="AL72" s="266"/>
      <c r="AM72" s="266"/>
      <c r="AN72" s="271"/>
      <c r="AO72" s="268"/>
      <c r="AP72" s="269"/>
      <c r="AQ72" s="290">
        <v>3</v>
      </c>
      <c r="AR72" s="272"/>
      <c r="AS72" s="268"/>
      <c r="AT72" s="268"/>
      <c r="AU72" s="268"/>
      <c r="AV72" s="273"/>
      <c r="AW72" s="268"/>
      <c r="AX72" s="269"/>
      <c r="AY72" s="45">
        <v>3</v>
      </c>
      <c r="AZ72" s="19">
        <f t="shared" si="3"/>
        <v>34.841190476190476</v>
      </c>
      <c r="BA72" s="227">
        <f t="shared" si="4"/>
        <v>3</v>
      </c>
      <c r="BB72" s="173"/>
      <c r="BC72" s="173"/>
      <c r="BD72" s="173"/>
      <c r="BE72" s="173"/>
      <c r="BF72" s="173"/>
      <c r="BG72" s="173"/>
      <c r="BH72" s="173"/>
      <c r="BI72" s="173"/>
      <c r="BJ72" s="173"/>
      <c r="BK72" s="173"/>
      <c r="BL72" s="173"/>
      <c r="BM72" s="173"/>
      <c r="BN72" s="173"/>
      <c r="BO72" s="324">
        <f t="shared" si="5"/>
        <v>145</v>
      </c>
      <c r="BP72" s="319">
        <v>40683</v>
      </c>
      <c r="BQ72" s="324">
        <v>140</v>
      </c>
      <c r="BR72" s="358"/>
      <c r="BS72" s="358">
        <v>3</v>
      </c>
      <c r="BT72" s="319">
        <v>40327</v>
      </c>
      <c r="BU72" s="324">
        <v>149</v>
      </c>
      <c r="BV72" s="358">
        <v>35.504000000000005</v>
      </c>
      <c r="BW72" s="358">
        <v>2.8</v>
      </c>
      <c r="BX72" s="319">
        <v>39981</v>
      </c>
      <c r="BY72" s="217">
        <v>168</v>
      </c>
      <c r="BZ72" s="219"/>
      <c r="CA72" s="262">
        <v>3</v>
      </c>
      <c r="CB72" s="218">
        <v>39601</v>
      </c>
      <c r="CC72" s="217">
        <v>154</v>
      </c>
      <c r="CD72" s="219"/>
      <c r="CE72" s="217"/>
      <c r="CF72" s="220"/>
      <c r="CG72" s="211"/>
      <c r="CH72" s="211">
        <v>0</v>
      </c>
      <c r="CI72" s="262">
        <v>0</v>
      </c>
      <c r="CJ72" s="319"/>
      <c r="CK72" s="211"/>
      <c r="CL72" s="211"/>
      <c r="CM72" s="258"/>
      <c r="CN72" s="173"/>
      <c r="CO72" s="173"/>
      <c r="CP72" s="173"/>
      <c r="CQ72" s="173"/>
      <c r="CR72" s="173"/>
      <c r="CS72" s="173"/>
      <c r="CT72" s="173"/>
      <c r="CU72" s="173"/>
    </row>
    <row r="73" spans="1:99" s="4" customFormat="1">
      <c r="A73" s="16" t="s">
        <v>32</v>
      </c>
      <c r="B73" s="21">
        <v>41059</v>
      </c>
      <c r="C73" s="22" t="s">
        <v>83</v>
      </c>
      <c r="D73" s="265"/>
      <c r="E73" s="266"/>
      <c r="F73" s="266"/>
      <c r="G73" s="266"/>
      <c r="H73" s="267"/>
      <c r="I73" s="268"/>
      <c r="J73" s="269"/>
      <c r="K73" s="290">
        <v>3</v>
      </c>
      <c r="L73" s="265"/>
      <c r="M73" s="266"/>
      <c r="N73" s="266"/>
      <c r="O73" s="266"/>
      <c r="P73" s="271"/>
      <c r="Q73" s="268"/>
      <c r="R73" s="269"/>
      <c r="S73" s="290">
        <v>3</v>
      </c>
      <c r="T73" s="265"/>
      <c r="U73" s="266"/>
      <c r="V73" s="266"/>
      <c r="W73" s="266"/>
      <c r="X73" s="271"/>
      <c r="Y73" s="268"/>
      <c r="Z73" s="269"/>
      <c r="AA73" s="290">
        <v>3</v>
      </c>
      <c r="AB73" s="265"/>
      <c r="AC73" s="266"/>
      <c r="AD73" s="266"/>
      <c r="AE73" s="266"/>
      <c r="AF73" s="271"/>
      <c r="AG73" s="268"/>
      <c r="AH73" s="269"/>
      <c r="AI73" s="290">
        <v>3</v>
      </c>
      <c r="AJ73" s="265"/>
      <c r="AK73" s="266"/>
      <c r="AL73" s="266"/>
      <c r="AM73" s="266"/>
      <c r="AN73" s="271"/>
      <c r="AO73" s="268"/>
      <c r="AP73" s="269"/>
      <c r="AQ73" s="290">
        <v>3</v>
      </c>
      <c r="AR73" s="272"/>
      <c r="AS73" s="268"/>
      <c r="AT73" s="268"/>
      <c r="AU73" s="268"/>
      <c r="AV73" s="273"/>
      <c r="AW73" s="268"/>
      <c r="AX73" s="269"/>
      <c r="AY73" s="45">
        <v>3</v>
      </c>
      <c r="AZ73" s="19">
        <f t="shared" si="3"/>
        <v>34.841190476190476</v>
      </c>
      <c r="BA73" s="227">
        <f t="shared" si="4"/>
        <v>3</v>
      </c>
      <c r="BB73" s="173"/>
      <c r="BC73" s="173"/>
      <c r="BD73" s="173"/>
      <c r="BE73" s="173"/>
      <c r="BF73" s="173"/>
      <c r="BG73" s="173"/>
      <c r="BH73" s="173"/>
      <c r="BI73" s="173"/>
      <c r="BJ73" s="173"/>
      <c r="BK73" s="173"/>
      <c r="BL73" s="173"/>
      <c r="BM73" s="173"/>
      <c r="BN73" s="173"/>
      <c r="BO73" s="324">
        <f t="shared" si="5"/>
        <v>151</v>
      </c>
      <c r="BP73" s="319">
        <v>40701</v>
      </c>
      <c r="BQ73" s="324">
        <v>158</v>
      </c>
      <c r="BR73" s="358"/>
      <c r="BS73" s="358">
        <v>3</v>
      </c>
      <c r="BT73" s="319">
        <v>40334</v>
      </c>
      <c r="BU73" s="324">
        <v>156</v>
      </c>
      <c r="BV73" s="358">
        <v>40.207999999999998</v>
      </c>
      <c r="BW73" s="358">
        <v>3</v>
      </c>
      <c r="BX73" s="319">
        <v>40015</v>
      </c>
      <c r="BY73" s="217">
        <v>202</v>
      </c>
      <c r="BZ73" s="219"/>
      <c r="CA73" s="262">
        <v>3</v>
      </c>
      <c r="CB73" s="218">
        <v>39608</v>
      </c>
      <c r="CC73" s="217">
        <v>161</v>
      </c>
      <c r="CD73" s="219"/>
      <c r="CE73" s="217"/>
      <c r="CF73" s="220"/>
      <c r="CG73" s="211"/>
      <c r="CH73" s="211">
        <v>0</v>
      </c>
      <c r="CI73" s="262">
        <v>0</v>
      </c>
      <c r="CJ73" s="319"/>
      <c r="CK73" s="211"/>
      <c r="CL73" s="211"/>
      <c r="CM73" s="258"/>
      <c r="CN73" s="173"/>
      <c r="CO73" s="173"/>
      <c r="CP73" s="173"/>
      <c r="CQ73" s="173"/>
      <c r="CR73" s="173"/>
      <c r="CS73" s="173"/>
      <c r="CT73" s="173"/>
      <c r="CU73" s="173"/>
    </row>
    <row r="74" spans="1:99" s="4" customFormat="1">
      <c r="A74" s="16" t="s">
        <v>32</v>
      </c>
      <c r="B74" s="21">
        <v>41073</v>
      </c>
      <c r="C74" s="22" t="s">
        <v>83</v>
      </c>
      <c r="D74" s="265"/>
      <c r="E74" s="266"/>
      <c r="F74" s="266"/>
      <c r="G74" s="266"/>
      <c r="H74" s="267"/>
      <c r="I74" s="268"/>
      <c r="J74" s="269"/>
      <c r="K74" s="290">
        <v>3</v>
      </c>
      <c r="L74" s="265"/>
      <c r="M74" s="266"/>
      <c r="N74" s="266"/>
      <c r="O74" s="266"/>
      <c r="P74" s="271"/>
      <c r="Q74" s="268"/>
      <c r="R74" s="269"/>
      <c r="S74" s="290">
        <v>3</v>
      </c>
      <c r="T74" s="265"/>
      <c r="U74" s="266"/>
      <c r="V74" s="266"/>
      <c r="W74" s="266"/>
      <c r="X74" s="271"/>
      <c r="Y74" s="268"/>
      <c r="Z74" s="269"/>
      <c r="AA74" s="290">
        <v>3</v>
      </c>
      <c r="AB74" s="265"/>
      <c r="AC74" s="266"/>
      <c r="AD74" s="266"/>
      <c r="AE74" s="266"/>
      <c r="AF74" s="271"/>
      <c r="AG74" s="268"/>
      <c r="AH74" s="269"/>
      <c r="AI74" s="290">
        <v>3</v>
      </c>
      <c r="AJ74" s="265"/>
      <c r="AK74" s="266"/>
      <c r="AL74" s="266"/>
      <c r="AM74" s="266"/>
      <c r="AN74" s="271"/>
      <c r="AO74" s="268"/>
      <c r="AP74" s="269"/>
      <c r="AQ74" s="290">
        <v>3</v>
      </c>
      <c r="AR74" s="272"/>
      <c r="AS74" s="268"/>
      <c r="AT74" s="268"/>
      <c r="AU74" s="268"/>
      <c r="AV74" s="273"/>
      <c r="AW74" s="268"/>
      <c r="AX74" s="269"/>
      <c r="AY74" s="45">
        <v>3</v>
      </c>
      <c r="AZ74" s="19">
        <f t="shared" si="3"/>
        <v>34.841190476190476</v>
      </c>
      <c r="BA74" s="227">
        <f t="shared" si="4"/>
        <v>3</v>
      </c>
      <c r="BB74" s="173"/>
      <c r="BC74" s="173"/>
      <c r="BD74" s="173"/>
      <c r="BE74" s="173"/>
      <c r="BF74" s="173"/>
      <c r="BG74" s="173"/>
      <c r="BH74" s="173"/>
      <c r="BI74" s="173"/>
      <c r="BJ74" s="173"/>
      <c r="BK74" s="173"/>
      <c r="BL74" s="173"/>
      <c r="BM74" s="173"/>
      <c r="BN74" s="173"/>
      <c r="BO74" s="324">
        <f t="shared" si="5"/>
        <v>165</v>
      </c>
      <c r="BP74" s="319">
        <v>40707</v>
      </c>
      <c r="BQ74" s="324">
        <v>164</v>
      </c>
      <c r="BR74" s="358"/>
      <c r="BS74" s="358">
        <v>3</v>
      </c>
      <c r="BT74" s="319">
        <v>40342</v>
      </c>
      <c r="BU74" s="324">
        <v>164</v>
      </c>
      <c r="BV74" s="358">
        <v>41.698999999999998</v>
      </c>
      <c r="BW74" s="358">
        <v>3</v>
      </c>
      <c r="BX74" s="319">
        <v>40044</v>
      </c>
      <c r="BY74" s="217">
        <v>231</v>
      </c>
      <c r="BZ74" s="219"/>
      <c r="CA74" s="262">
        <v>4</v>
      </c>
      <c r="CB74" s="218">
        <v>39615</v>
      </c>
      <c r="CC74" s="217">
        <v>168</v>
      </c>
      <c r="CD74" s="219"/>
      <c r="CE74" s="217"/>
      <c r="CF74" s="220"/>
      <c r="CG74" s="211"/>
      <c r="CH74" s="211">
        <v>0</v>
      </c>
      <c r="CI74" s="262">
        <v>0</v>
      </c>
      <c r="CJ74" s="319"/>
      <c r="CK74" s="211"/>
      <c r="CL74" s="211"/>
      <c r="CM74" s="258"/>
      <c r="CN74" s="173"/>
      <c r="CO74" s="173"/>
      <c r="CP74" s="173"/>
      <c r="CQ74" s="173"/>
      <c r="CR74" s="173"/>
      <c r="CS74" s="173"/>
      <c r="CT74" s="173"/>
      <c r="CU74" s="173"/>
    </row>
    <row r="75" spans="1:99" s="4" customFormat="1">
      <c r="A75" s="16" t="s">
        <v>32</v>
      </c>
      <c r="B75" s="21">
        <v>41092</v>
      </c>
      <c r="C75" s="22" t="s">
        <v>82</v>
      </c>
      <c r="D75" s="265"/>
      <c r="E75" s="266"/>
      <c r="F75" s="266"/>
      <c r="G75" s="266"/>
      <c r="H75" s="267"/>
      <c r="I75" s="268"/>
      <c r="J75" s="269"/>
      <c r="K75" s="290">
        <v>3</v>
      </c>
      <c r="L75" s="265"/>
      <c r="M75" s="266"/>
      <c r="N75" s="266"/>
      <c r="O75" s="266"/>
      <c r="P75" s="271"/>
      <c r="Q75" s="268"/>
      <c r="R75" s="269"/>
      <c r="S75" s="290">
        <v>3</v>
      </c>
      <c r="T75" s="265"/>
      <c r="U75" s="266"/>
      <c r="V75" s="266"/>
      <c r="W75" s="266"/>
      <c r="X75" s="271"/>
      <c r="Y75" s="268"/>
      <c r="Z75" s="269"/>
      <c r="AA75" s="290">
        <v>3</v>
      </c>
      <c r="AB75" s="265"/>
      <c r="AC75" s="266"/>
      <c r="AD75" s="266"/>
      <c r="AE75" s="266"/>
      <c r="AF75" s="271"/>
      <c r="AG75" s="268"/>
      <c r="AH75" s="269"/>
      <c r="AI75" s="290">
        <v>3</v>
      </c>
      <c r="AJ75" s="265"/>
      <c r="AK75" s="266"/>
      <c r="AL75" s="266"/>
      <c r="AM75" s="266"/>
      <c r="AN75" s="271"/>
      <c r="AO75" s="268"/>
      <c r="AP75" s="269"/>
      <c r="AQ75" s="290">
        <v>3</v>
      </c>
      <c r="AR75" s="272"/>
      <c r="AS75" s="268"/>
      <c r="AT75" s="268"/>
      <c r="AU75" s="268"/>
      <c r="AV75" s="273"/>
      <c r="AW75" s="268"/>
      <c r="AX75" s="269"/>
      <c r="AY75" s="45">
        <v>3</v>
      </c>
      <c r="AZ75" s="19">
        <f t="shared" si="3"/>
        <v>34.841190476190476</v>
      </c>
      <c r="BA75" s="227">
        <f t="shared" si="4"/>
        <v>3</v>
      </c>
      <c r="BB75" s="173"/>
      <c r="BC75" s="173"/>
      <c r="BD75" s="173"/>
      <c r="BE75" s="173"/>
      <c r="BF75" s="173"/>
      <c r="BG75" s="173"/>
      <c r="BH75" s="173"/>
      <c r="BI75" s="173"/>
      <c r="BJ75" s="173"/>
      <c r="BK75" s="173"/>
      <c r="BL75" s="173"/>
      <c r="BM75" s="173"/>
      <c r="BN75" s="173"/>
      <c r="BO75" s="324">
        <f t="shared" si="5"/>
        <v>184</v>
      </c>
      <c r="BP75" s="319">
        <v>40715</v>
      </c>
      <c r="BQ75" s="324">
        <v>172</v>
      </c>
      <c r="BR75" s="358"/>
      <c r="BS75" s="358">
        <v>3</v>
      </c>
      <c r="BT75" s="319">
        <v>40356</v>
      </c>
      <c r="BU75" s="324">
        <v>178</v>
      </c>
      <c r="BV75" s="358">
        <v>41.698999999999998</v>
      </c>
      <c r="BW75" s="358">
        <v>3</v>
      </c>
      <c r="BX75" s="319">
        <v>40060</v>
      </c>
      <c r="BY75" s="217">
        <v>247</v>
      </c>
      <c r="BZ75" s="219"/>
      <c r="CA75" s="262">
        <v>4</v>
      </c>
      <c r="CB75" s="218">
        <v>39622</v>
      </c>
      <c r="CC75" s="217">
        <v>175</v>
      </c>
      <c r="CD75" s="219"/>
      <c r="CE75" s="217"/>
      <c r="CF75" s="220"/>
      <c r="CG75" s="211"/>
      <c r="CH75" s="211">
        <v>0</v>
      </c>
      <c r="CI75" s="262">
        <v>0</v>
      </c>
      <c r="CJ75" s="319"/>
      <c r="CK75" s="211"/>
      <c r="CL75" s="211"/>
      <c r="CM75" s="258"/>
      <c r="CN75" s="173"/>
      <c r="CO75" s="173"/>
      <c r="CP75" s="173"/>
      <c r="CQ75" s="173"/>
      <c r="CR75" s="173"/>
      <c r="CS75" s="173"/>
      <c r="CT75" s="173"/>
      <c r="CU75" s="173"/>
    </row>
    <row r="76" spans="1:99" s="4" customFormat="1">
      <c r="A76" s="16" t="s">
        <v>32</v>
      </c>
      <c r="B76" s="21"/>
      <c r="C76" s="22"/>
      <c r="D76" s="265"/>
      <c r="E76" s="266"/>
      <c r="F76" s="266"/>
      <c r="G76" s="266"/>
      <c r="H76" s="267"/>
      <c r="I76" s="268"/>
      <c r="J76" s="269"/>
      <c r="K76" s="290"/>
      <c r="L76" s="265"/>
      <c r="M76" s="266"/>
      <c r="N76" s="266"/>
      <c r="O76" s="266"/>
      <c r="P76" s="271"/>
      <c r="Q76" s="268"/>
      <c r="R76" s="269"/>
      <c r="S76" s="290"/>
      <c r="T76" s="265"/>
      <c r="U76" s="266"/>
      <c r="V76" s="266"/>
      <c r="W76" s="266"/>
      <c r="X76" s="271"/>
      <c r="Y76" s="268"/>
      <c r="Z76" s="269"/>
      <c r="AA76" s="290"/>
      <c r="AB76" s="265"/>
      <c r="AC76" s="266"/>
      <c r="AD76" s="266"/>
      <c r="AE76" s="266"/>
      <c r="AF76" s="271"/>
      <c r="AG76" s="268"/>
      <c r="AH76" s="269"/>
      <c r="AI76" s="290"/>
      <c r="AJ76" s="265"/>
      <c r="AK76" s="266"/>
      <c r="AL76" s="266"/>
      <c r="AM76" s="266"/>
      <c r="AN76" s="271"/>
      <c r="AO76" s="268"/>
      <c r="AP76" s="269"/>
      <c r="AQ76" s="290"/>
      <c r="AR76" s="272"/>
      <c r="AS76" s="268"/>
      <c r="AT76" s="268"/>
      <c r="AU76" s="268"/>
      <c r="AV76" s="273"/>
      <c r="AW76" s="268"/>
      <c r="AX76" s="269"/>
      <c r="AY76" s="45"/>
      <c r="AZ76" s="19">
        <f t="shared" si="3"/>
        <v>34.841190476190476</v>
      </c>
      <c r="BA76" s="227">
        <f t="shared" si="4"/>
        <v>3</v>
      </c>
      <c r="BB76" s="173"/>
      <c r="BC76" s="173"/>
      <c r="BD76" s="173"/>
      <c r="BE76" s="173"/>
      <c r="BF76" s="173"/>
      <c r="BG76" s="173"/>
      <c r="BH76" s="173"/>
      <c r="BI76" s="173"/>
      <c r="BJ76" s="173"/>
      <c r="BK76" s="173"/>
      <c r="BL76" s="173"/>
      <c r="BM76" s="173"/>
      <c r="BN76" s="173"/>
      <c r="BO76" s="324">
        <f t="shared" si="5"/>
        <v>184</v>
      </c>
      <c r="BP76" s="319"/>
      <c r="BQ76" s="324">
        <v>172</v>
      </c>
      <c r="BR76" s="358"/>
      <c r="BS76" s="358">
        <v>3</v>
      </c>
      <c r="BT76" s="319">
        <v>40372</v>
      </c>
      <c r="BU76" s="324">
        <v>194</v>
      </c>
      <c r="BV76" s="358">
        <v>41.698999999999998</v>
      </c>
      <c r="BW76" s="358">
        <v>3</v>
      </c>
      <c r="BX76" s="319">
        <v>40073</v>
      </c>
      <c r="BY76" s="217">
        <v>260</v>
      </c>
      <c r="BZ76" s="219"/>
      <c r="CA76" s="262">
        <v>4.2</v>
      </c>
      <c r="CB76" s="218">
        <v>39639</v>
      </c>
      <c r="CC76" s="217">
        <v>192</v>
      </c>
      <c r="CD76" s="219"/>
      <c r="CE76" s="217"/>
      <c r="CF76" s="220"/>
      <c r="CG76" s="211"/>
      <c r="CH76" s="211">
        <v>0</v>
      </c>
      <c r="CI76" s="262">
        <v>0</v>
      </c>
      <c r="CJ76" s="319"/>
      <c r="CK76" s="211"/>
      <c r="CL76" s="211"/>
      <c r="CM76" s="258"/>
      <c r="CN76" s="173"/>
      <c r="CO76" s="173"/>
      <c r="CP76" s="173"/>
      <c r="CQ76" s="173"/>
      <c r="CR76" s="173"/>
      <c r="CS76" s="173"/>
      <c r="CT76" s="173"/>
      <c r="CU76" s="173"/>
    </row>
    <row r="77" spans="1:99" s="4" customFormat="1">
      <c r="A77" s="16" t="s">
        <v>32</v>
      </c>
      <c r="B77" s="21"/>
      <c r="C77" s="22"/>
      <c r="D77" s="265"/>
      <c r="E77" s="266"/>
      <c r="F77" s="266"/>
      <c r="G77" s="266"/>
      <c r="H77" s="267"/>
      <c r="I77" s="268"/>
      <c r="J77" s="269"/>
      <c r="K77" s="290"/>
      <c r="L77" s="265"/>
      <c r="M77" s="266"/>
      <c r="N77" s="266"/>
      <c r="O77" s="266"/>
      <c r="P77" s="271"/>
      <c r="Q77" s="268"/>
      <c r="R77" s="269"/>
      <c r="S77" s="290"/>
      <c r="T77" s="265"/>
      <c r="U77" s="266"/>
      <c r="V77" s="266"/>
      <c r="W77" s="266"/>
      <c r="X77" s="271"/>
      <c r="Y77" s="268"/>
      <c r="Z77" s="269"/>
      <c r="AA77" s="290"/>
      <c r="AB77" s="265"/>
      <c r="AC77" s="266"/>
      <c r="AD77" s="266"/>
      <c r="AE77" s="266"/>
      <c r="AF77" s="271"/>
      <c r="AG77" s="268"/>
      <c r="AH77" s="269"/>
      <c r="AI77" s="290"/>
      <c r="AJ77" s="265"/>
      <c r="AK77" s="266"/>
      <c r="AL77" s="266"/>
      <c r="AM77" s="266"/>
      <c r="AN77" s="271"/>
      <c r="AO77" s="268"/>
      <c r="AP77" s="269"/>
      <c r="AQ77" s="290"/>
      <c r="AR77" s="272"/>
      <c r="AS77" s="268"/>
      <c r="AT77" s="268"/>
      <c r="AU77" s="268"/>
      <c r="AV77" s="273"/>
      <c r="AW77" s="268"/>
      <c r="AX77" s="269"/>
      <c r="AY77" s="45"/>
      <c r="AZ77" s="19">
        <f t="shared" ref="AZ77:AZ140" si="6">IF(COUNT(AJ77:AP77,AB77:AH77,T77:Z77,L77:R77,D77:J77)=0,AZ76,AVERAGE(AVERAGE(D77:J77),AVERAGE(L77:R77),AVERAGE(T77:Z77),AVERAGE(AB77:AH77),AVERAGE(AJ77:AP77)))</f>
        <v>34.841190476190476</v>
      </c>
      <c r="BA77" s="227">
        <f t="shared" si="4"/>
        <v>3</v>
      </c>
      <c r="BB77" s="173"/>
      <c r="BC77" s="173"/>
      <c r="BD77" s="173"/>
      <c r="BE77" s="173"/>
      <c r="BF77" s="173"/>
      <c r="BG77" s="173"/>
      <c r="BH77" s="173"/>
      <c r="BI77" s="173"/>
      <c r="BJ77" s="173"/>
      <c r="BK77" s="173"/>
      <c r="BL77" s="173"/>
      <c r="BM77" s="173"/>
      <c r="BN77" s="173"/>
      <c r="BO77" s="324">
        <f t="shared" si="5"/>
        <v>184</v>
      </c>
      <c r="BP77" s="319"/>
      <c r="BQ77" s="324">
        <v>172</v>
      </c>
      <c r="BR77" s="358"/>
      <c r="BS77" s="358">
        <v>3</v>
      </c>
      <c r="BT77" s="319">
        <v>40413</v>
      </c>
      <c r="BU77" s="324">
        <v>235</v>
      </c>
      <c r="BV77" s="358">
        <v>41.698999999999998</v>
      </c>
      <c r="BW77" s="358">
        <v>4</v>
      </c>
      <c r="BX77" s="319">
        <v>40088</v>
      </c>
      <c r="BY77" s="217">
        <v>275</v>
      </c>
      <c r="BZ77" s="219"/>
      <c r="CA77" s="262">
        <v>5</v>
      </c>
      <c r="CB77" s="218">
        <v>39663</v>
      </c>
      <c r="CC77" s="217">
        <v>216</v>
      </c>
      <c r="CD77" s="219"/>
      <c r="CE77" s="217"/>
      <c r="CF77" s="220"/>
      <c r="CG77" s="211"/>
      <c r="CH77" s="211">
        <v>0</v>
      </c>
      <c r="CI77" s="262">
        <v>0</v>
      </c>
      <c r="CJ77" s="319"/>
      <c r="CK77" s="211"/>
      <c r="CL77" s="211"/>
      <c r="CM77" s="258"/>
      <c r="CN77" s="173"/>
      <c r="CO77" s="173"/>
      <c r="CP77" s="173"/>
      <c r="CQ77" s="173"/>
      <c r="CR77" s="173"/>
      <c r="CS77" s="173"/>
      <c r="CT77" s="173"/>
      <c r="CU77" s="173"/>
    </row>
    <row r="78" spans="1:99" s="4" customFormat="1">
      <c r="A78" s="16" t="s">
        <v>32</v>
      </c>
      <c r="B78" s="21"/>
      <c r="C78" s="22"/>
      <c r="D78" s="265"/>
      <c r="E78" s="266"/>
      <c r="F78" s="266"/>
      <c r="G78" s="266"/>
      <c r="H78" s="267"/>
      <c r="I78" s="268"/>
      <c r="J78" s="269"/>
      <c r="K78" s="290"/>
      <c r="L78" s="265"/>
      <c r="M78" s="266"/>
      <c r="N78" s="266"/>
      <c r="O78" s="266"/>
      <c r="P78" s="271"/>
      <c r="Q78" s="268"/>
      <c r="R78" s="269"/>
      <c r="S78" s="290"/>
      <c r="T78" s="265"/>
      <c r="U78" s="266"/>
      <c r="V78" s="266"/>
      <c r="W78" s="266"/>
      <c r="X78" s="271"/>
      <c r="Y78" s="268"/>
      <c r="Z78" s="269"/>
      <c r="AA78" s="290"/>
      <c r="AB78" s="265"/>
      <c r="AC78" s="266"/>
      <c r="AD78" s="266"/>
      <c r="AE78" s="266"/>
      <c r="AF78" s="271"/>
      <c r="AG78" s="268"/>
      <c r="AH78" s="269"/>
      <c r="AI78" s="290"/>
      <c r="AJ78" s="265"/>
      <c r="AK78" s="266"/>
      <c r="AL78" s="266"/>
      <c r="AM78" s="266"/>
      <c r="AN78" s="271"/>
      <c r="AO78" s="268"/>
      <c r="AP78" s="269"/>
      <c r="AQ78" s="290"/>
      <c r="AR78" s="272"/>
      <c r="AS78" s="268"/>
      <c r="AT78" s="268"/>
      <c r="AU78" s="268"/>
      <c r="AV78" s="273"/>
      <c r="AW78" s="268"/>
      <c r="AX78" s="269"/>
      <c r="AY78" s="45"/>
      <c r="AZ78" s="19">
        <f t="shared" si="6"/>
        <v>34.841190476190476</v>
      </c>
      <c r="BA78" s="227">
        <f t="shared" si="4"/>
        <v>3</v>
      </c>
      <c r="BB78" s="173"/>
      <c r="BC78" s="173"/>
      <c r="BD78" s="173"/>
      <c r="BE78" s="173"/>
      <c r="BF78" s="173"/>
      <c r="BG78" s="173"/>
      <c r="BH78" s="173"/>
      <c r="BI78" s="173"/>
      <c r="BJ78" s="173"/>
      <c r="BK78" s="173"/>
      <c r="BL78" s="173"/>
      <c r="BM78" s="173"/>
      <c r="BN78" s="173"/>
      <c r="BO78" s="324">
        <f t="shared" si="5"/>
        <v>184</v>
      </c>
      <c r="BP78" s="319"/>
      <c r="BQ78" s="324">
        <v>172</v>
      </c>
      <c r="BR78" s="358"/>
      <c r="BS78" s="358">
        <v>3</v>
      </c>
      <c r="BT78" s="319">
        <v>40441</v>
      </c>
      <c r="BU78" s="324">
        <v>263</v>
      </c>
      <c r="BV78" s="358">
        <v>41.698999999999998</v>
      </c>
      <c r="BW78" s="358">
        <v>5</v>
      </c>
      <c r="BX78" s="319">
        <v>40105</v>
      </c>
      <c r="BY78" s="217">
        <v>292</v>
      </c>
      <c r="BZ78" s="219"/>
      <c r="CA78" s="262">
        <v>7</v>
      </c>
      <c r="CB78" s="218"/>
      <c r="CC78" s="217"/>
      <c r="CD78" s="219"/>
      <c r="CE78" s="217"/>
      <c r="CF78" s="220"/>
      <c r="CG78" s="211"/>
      <c r="CH78" s="211">
        <v>0</v>
      </c>
      <c r="CI78" s="262">
        <v>0</v>
      </c>
      <c r="CJ78" s="319"/>
      <c r="CK78" s="211"/>
      <c r="CL78" s="211"/>
      <c r="CM78" s="258"/>
      <c r="CN78" s="173"/>
      <c r="CO78" s="173"/>
      <c r="CP78" s="173"/>
      <c r="CQ78" s="173"/>
      <c r="CR78" s="173"/>
      <c r="CS78" s="173"/>
      <c r="CT78" s="173"/>
      <c r="CU78" s="173"/>
    </row>
    <row r="79" spans="1:99" s="4" customFormat="1">
      <c r="A79" s="16" t="s">
        <v>32</v>
      </c>
      <c r="B79" s="21"/>
      <c r="C79" s="22"/>
      <c r="D79" s="265"/>
      <c r="E79" s="266"/>
      <c r="F79" s="266"/>
      <c r="G79" s="266"/>
      <c r="H79" s="267"/>
      <c r="I79" s="268"/>
      <c r="J79" s="269"/>
      <c r="K79" s="290"/>
      <c r="L79" s="265"/>
      <c r="M79" s="266"/>
      <c r="N79" s="266"/>
      <c r="O79" s="266"/>
      <c r="P79" s="271"/>
      <c r="Q79" s="268"/>
      <c r="R79" s="269"/>
      <c r="S79" s="290"/>
      <c r="T79" s="265"/>
      <c r="U79" s="266"/>
      <c r="V79" s="266"/>
      <c r="W79" s="266"/>
      <c r="X79" s="271"/>
      <c r="Y79" s="268"/>
      <c r="Z79" s="269"/>
      <c r="AA79" s="290"/>
      <c r="AB79" s="265"/>
      <c r="AC79" s="266"/>
      <c r="AD79" s="266"/>
      <c r="AE79" s="266"/>
      <c r="AF79" s="271"/>
      <c r="AG79" s="268"/>
      <c r="AH79" s="269"/>
      <c r="AI79" s="290"/>
      <c r="AJ79" s="265"/>
      <c r="AK79" s="266"/>
      <c r="AL79" s="266"/>
      <c r="AM79" s="266"/>
      <c r="AN79" s="271"/>
      <c r="AO79" s="268"/>
      <c r="AP79" s="269"/>
      <c r="AQ79" s="290"/>
      <c r="AR79" s="272"/>
      <c r="AS79" s="268"/>
      <c r="AT79" s="268"/>
      <c r="AU79" s="268"/>
      <c r="AV79" s="273"/>
      <c r="AW79" s="268"/>
      <c r="AX79" s="269"/>
      <c r="AY79" s="45"/>
      <c r="AZ79" s="19">
        <f t="shared" si="6"/>
        <v>34.841190476190476</v>
      </c>
      <c r="BA79" s="227">
        <f t="shared" si="4"/>
        <v>3</v>
      </c>
      <c r="BB79" s="173"/>
      <c r="BC79" s="173"/>
      <c r="BD79" s="173"/>
      <c r="BE79" s="173"/>
      <c r="BF79" s="173"/>
      <c r="BG79" s="173"/>
      <c r="BH79" s="173"/>
      <c r="BI79" s="173"/>
      <c r="BJ79" s="173"/>
      <c r="BK79" s="173"/>
      <c r="BL79" s="173"/>
      <c r="BM79" s="173"/>
      <c r="BN79" s="173"/>
      <c r="BO79" s="324">
        <f t="shared" si="5"/>
        <v>184</v>
      </c>
      <c r="BP79" s="319"/>
      <c r="BQ79" s="324">
        <v>172</v>
      </c>
      <c r="BR79" s="358"/>
      <c r="BS79" s="358">
        <v>3</v>
      </c>
      <c r="BT79" s="319">
        <v>40454</v>
      </c>
      <c r="BU79" s="324">
        <v>276</v>
      </c>
      <c r="BV79" s="358">
        <v>41.698999999999998</v>
      </c>
      <c r="BW79" s="358">
        <v>6</v>
      </c>
      <c r="BX79" s="319">
        <v>40119</v>
      </c>
      <c r="BY79" s="217">
        <v>306</v>
      </c>
      <c r="BZ79" s="219"/>
      <c r="CA79" s="262">
        <v>8</v>
      </c>
      <c r="CB79" s="218"/>
      <c r="CC79" s="217"/>
      <c r="CD79" s="219"/>
      <c r="CE79" s="217"/>
      <c r="CF79" s="220"/>
      <c r="CG79" s="211"/>
      <c r="CH79" s="211">
        <v>0</v>
      </c>
      <c r="CI79" s="262">
        <v>0</v>
      </c>
      <c r="CJ79" s="319"/>
      <c r="CK79" s="211"/>
      <c r="CL79" s="211"/>
      <c r="CM79" s="258"/>
      <c r="CN79" s="173"/>
      <c r="CO79" s="173"/>
      <c r="CP79" s="173"/>
      <c r="CQ79" s="173"/>
      <c r="CR79" s="173"/>
      <c r="CS79" s="173"/>
      <c r="CT79" s="173"/>
      <c r="CU79" s="173"/>
    </row>
    <row r="80" spans="1:99" s="4" customFormat="1">
      <c r="A80" s="16" t="s">
        <v>32</v>
      </c>
      <c r="B80" s="21"/>
      <c r="C80" s="22"/>
      <c r="D80" s="265"/>
      <c r="E80" s="266"/>
      <c r="F80" s="266"/>
      <c r="G80" s="266"/>
      <c r="H80" s="267"/>
      <c r="I80" s="268"/>
      <c r="J80" s="269"/>
      <c r="K80" s="290"/>
      <c r="L80" s="265"/>
      <c r="M80" s="266"/>
      <c r="N80" s="266"/>
      <c r="O80" s="266"/>
      <c r="P80" s="271"/>
      <c r="Q80" s="268"/>
      <c r="R80" s="269"/>
      <c r="S80" s="290"/>
      <c r="T80" s="265"/>
      <c r="U80" s="266"/>
      <c r="V80" s="266"/>
      <c r="W80" s="266"/>
      <c r="X80" s="271"/>
      <c r="Y80" s="268"/>
      <c r="Z80" s="269"/>
      <c r="AA80" s="290"/>
      <c r="AB80" s="265"/>
      <c r="AC80" s="266"/>
      <c r="AD80" s="266"/>
      <c r="AE80" s="266"/>
      <c r="AF80" s="271"/>
      <c r="AG80" s="268"/>
      <c r="AH80" s="269"/>
      <c r="AI80" s="290"/>
      <c r="AJ80" s="265"/>
      <c r="AK80" s="266"/>
      <c r="AL80" s="266"/>
      <c r="AM80" s="266"/>
      <c r="AN80" s="271"/>
      <c r="AO80" s="268"/>
      <c r="AP80" s="269"/>
      <c r="AQ80" s="290"/>
      <c r="AR80" s="272"/>
      <c r="AS80" s="268"/>
      <c r="AT80" s="268"/>
      <c r="AU80" s="268"/>
      <c r="AV80" s="273"/>
      <c r="AW80" s="268"/>
      <c r="AX80" s="269"/>
      <c r="AY80" s="45"/>
      <c r="AZ80" s="19">
        <f t="shared" si="6"/>
        <v>34.841190476190476</v>
      </c>
      <c r="BA80" s="227">
        <f t="shared" si="4"/>
        <v>3</v>
      </c>
      <c r="BB80" s="173"/>
      <c r="BC80" s="173"/>
      <c r="BD80" s="173"/>
      <c r="BE80" s="173"/>
      <c r="BF80" s="173"/>
      <c r="BG80" s="173"/>
      <c r="BH80" s="173"/>
      <c r="BI80" s="173"/>
      <c r="BJ80" s="173"/>
      <c r="BK80" s="173"/>
      <c r="BL80" s="173"/>
      <c r="BM80" s="173"/>
      <c r="BN80" s="173"/>
      <c r="BO80" s="324">
        <f t="shared" si="5"/>
        <v>184</v>
      </c>
      <c r="BP80" s="319"/>
      <c r="BQ80" s="324">
        <v>172</v>
      </c>
      <c r="BR80" s="358"/>
      <c r="BS80" s="358">
        <v>3</v>
      </c>
      <c r="BT80" s="319">
        <v>40469</v>
      </c>
      <c r="BU80" s="324">
        <v>291</v>
      </c>
      <c r="BV80" s="358">
        <v>41.698999999999998</v>
      </c>
      <c r="BW80" s="358">
        <v>7</v>
      </c>
      <c r="BX80" s="319"/>
      <c r="BY80" s="217"/>
      <c r="BZ80" s="219"/>
      <c r="CA80" s="262"/>
      <c r="CB80" s="218"/>
      <c r="CC80" s="217"/>
      <c r="CD80" s="219"/>
      <c r="CE80" s="217"/>
      <c r="CF80" s="220"/>
      <c r="CG80" s="211"/>
      <c r="CH80" s="211">
        <v>0</v>
      </c>
      <c r="CI80" s="262">
        <v>0</v>
      </c>
      <c r="CJ80" s="319"/>
      <c r="CK80" s="211"/>
      <c r="CL80" s="211"/>
      <c r="CM80" s="258"/>
      <c r="CN80" s="173"/>
      <c r="CO80" s="173"/>
      <c r="CP80" s="173"/>
      <c r="CQ80" s="173"/>
      <c r="CR80" s="173"/>
      <c r="CS80" s="173"/>
      <c r="CT80" s="173"/>
      <c r="CU80" s="173"/>
    </row>
    <row r="81" spans="1:99" s="4" customFormat="1">
      <c r="A81" s="16" t="s">
        <v>32</v>
      </c>
      <c r="B81" s="21"/>
      <c r="C81" s="22"/>
      <c r="D81" s="265"/>
      <c r="E81" s="266"/>
      <c r="F81" s="266"/>
      <c r="G81" s="266"/>
      <c r="H81" s="267"/>
      <c r="I81" s="268"/>
      <c r="J81" s="269"/>
      <c r="K81" s="290"/>
      <c r="L81" s="265"/>
      <c r="M81" s="266"/>
      <c r="N81" s="266"/>
      <c r="O81" s="266"/>
      <c r="P81" s="271"/>
      <c r="Q81" s="268"/>
      <c r="R81" s="269"/>
      <c r="S81" s="290"/>
      <c r="T81" s="265"/>
      <c r="U81" s="266"/>
      <c r="V81" s="266"/>
      <c r="W81" s="266"/>
      <c r="X81" s="271"/>
      <c r="Y81" s="268"/>
      <c r="Z81" s="269"/>
      <c r="AA81" s="290"/>
      <c r="AB81" s="265"/>
      <c r="AC81" s="266"/>
      <c r="AD81" s="266"/>
      <c r="AE81" s="266"/>
      <c r="AF81" s="271"/>
      <c r="AG81" s="268"/>
      <c r="AH81" s="269"/>
      <c r="AI81" s="290"/>
      <c r="AJ81" s="265"/>
      <c r="AK81" s="266"/>
      <c r="AL81" s="266"/>
      <c r="AM81" s="266"/>
      <c r="AN81" s="271"/>
      <c r="AO81" s="268"/>
      <c r="AP81" s="269"/>
      <c r="AQ81" s="290"/>
      <c r="AR81" s="272"/>
      <c r="AS81" s="268"/>
      <c r="AT81" s="268"/>
      <c r="AU81" s="268"/>
      <c r="AV81" s="273"/>
      <c r="AW81" s="268"/>
      <c r="AX81" s="269"/>
      <c r="AY81" s="45"/>
      <c r="AZ81" s="19">
        <f t="shared" si="6"/>
        <v>34.841190476190476</v>
      </c>
      <c r="BA81" s="227">
        <f t="shared" si="4"/>
        <v>3</v>
      </c>
      <c r="BB81" s="173"/>
      <c r="BC81" s="173"/>
      <c r="BD81" s="173"/>
      <c r="BE81" s="173"/>
      <c r="BF81" s="173"/>
      <c r="BG81" s="173"/>
      <c r="BH81" s="173"/>
      <c r="BI81" s="173"/>
      <c r="BJ81" s="173"/>
      <c r="BK81" s="173"/>
      <c r="BL81" s="173"/>
      <c r="BM81" s="173"/>
      <c r="BN81" s="173"/>
      <c r="BO81" s="324">
        <f t="shared" si="5"/>
        <v>184</v>
      </c>
      <c r="BP81" s="319"/>
      <c r="BQ81" s="324">
        <v>172</v>
      </c>
      <c r="BR81" s="358"/>
      <c r="BS81" s="358">
        <v>3</v>
      </c>
      <c r="BT81" s="319">
        <v>40485</v>
      </c>
      <c r="BU81" s="324">
        <v>307</v>
      </c>
      <c r="BV81" s="358">
        <v>41.698999999999998</v>
      </c>
      <c r="BW81" s="358">
        <v>8</v>
      </c>
      <c r="BX81" s="319"/>
      <c r="BY81" s="217"/>
      <c r="BZ81" s="219"/>
      <c r="CA81" s="262"/>
      <c r="CB81" s="218"/>
      <c r="CC81" s="217"/>
      <c r="CD81" s="219"/>
      <c r="CE81" s="217"/>
      <c r="CF81" s="220"/>
      <c r="CG81" s="211"/>
      <c r="CH81" s="211">
        <v>0</v>
      </c>
      <c r="CI81" s="262">
        <v>0</v>
      </c>
      <c r="CJ81" s="319"/>
      <c r="CK81" s="211"/>
      <c r="CL81" s="211"/>
      <c r="CM81" s="258"/>
      <c r="CN81" s="173"/>
      <c r="CO81" s="173"/>
      <c r="CP81" s="173"/>
      <c r="CQ81" s="173"/>
      <c r="CR81" s="173"/>
      <c r="CS81" s="173"/>
      <c r="CT81" s="173"/>
      <c r="CU81" s="173"/>
    </row>
    <row r="82" spans="1:99" s="4" customFormat="1">
      <c r="A82" s="16" t="s">
        <v>32</v>
      </c>
      <c r="B82" s="21"/>
      <c r="C82" s="22"/>
      <c r="D82" s="265"/>
      <c r="E82" s="266"/>
      <c r="F82" s="266"/>
      <c r="G82" s="266"/>
      <c r="H82" s="267"/>
      <c r="I82" s="268"/>
      <c r="J82" s="269"/>
      <c r="K82" s="290"/>
      <c r="L82" s="265"/>
      <c r="M82" s="266"/>
      <c r="N82" s="266"/>
      <c r="O82" s="266"/>
      <c r="P82" s="271"/>
      <c r="Q82" s="268"/>
      <c r="R82" s="269"/>
      <c r="S82" s="290"/>
      <c r="T82" s="265"/>
      <c r="U82" s="266"/>
      <c r="V82" s="266"/>
      <c r="W82" s="266"/>
      <c r="X82" s="271"/>
      <c r="Y82" s="268"/>
      <c r="Z82" s="269"/>
      <c r="AA82" s="290"/>
      <c r="AB82" s="265"/>
      <c r="AC82" s="266"/>
      <c r="AD82" s="266"/>
      <c r="AE82" s="266"/>
      <c r="AF82" s="271"/>
      <c r="AG82" s="268"/>
      <c r="AH82" s="269"/>
      <c r="AI82" s="290"/>
      <c r="AJ82" s="265"/>
      <c r="AK82" s="266"/>
      <c r="AL82" s="266"/>
      <c r="AM82" s="266"/>
      <c r="AN82" s="271"/>
      <c r="AO82" s="268"/>
      <c r="AP82" s="269"/>
      <c r="AQ82" s="290"/>
      <c r="AR82" s="272"/>
      <c r="AS82" s="268"/>
      <c r="AT82" s="268"/>
      <c r="AU82" s="268"/>
      <c r="AV82" s="273"/>
      <c r="AW82" s="268"/>
      <c r="AX82" s="269"/>
      <c r="AY82" s="45"/>
      <c r="AZ82" s="19">
        <f t="shared" si="6"/>
        <v>34.841190476190476</v>
      </c>
      <c r="BA82" s="227">
        <f t="shared" si="4"/>
        <v>3</v>
      </c>
      <c r="BB82" s="173"/>
      <c r="BC82" s="173"/>
      <c r="BD82" s="173"/>
      <c r="BE82" s="173"/>
      <c r="BF82" s="173"/>
      <c r="BG82" s="173"/>
      <c r="BH82" s="173"/>
      <c r="BI82" s="173"/>
      <c r="BJ82" s="173"/>
      <c r="BK82" s="173"/>
      <c r="BL82" s="173"/>
      <c r="BM82" s="173"/>
      <c r="BN82" s="173"/>
      <c r="BO82" s="324">
        <f t="shared" si="5"/>
        <v>184</v>
      </c>
      <c r="BP82" s="319"/>
      <c r="BQ82" s="324">
        <v>172</v>
      </c>
      <c r="BR82" s="358"/>
      <c r="BS82" s="358">
        <v>3</v>
      </c>
      <c r="BT82" s="319"/>
      <c r="BU82" s="324">
        <v>307</v>
      </c>
      <c r="BV82" s="358">
        <v>41.698999999999998</v>
      </c>
      <c r="BW82" s="358">
        <v>8</v>
      </c>
      <c r="BX82" s="319"/>
      <c r="BY82" s="217"/>
      <c r="BZ82" s="219"/>
      <c r="CA82" s="262"/>
      <c r="CB82" s="218"/>
      <c r="CC82" s="217"/>
      <c r="CD82" s="219"/>
      <c r="CE82" s="217"/>
      <c r="CF82" s="220"/>
      <c r="CG82" s="211"/>
      <c r="CH82" s="211">
        <v>0</v>
      </c>
      <c r="CI82" s="262">
        <v>0</v>
      </c>
      <c r="CJ82" s="319"/>
      <c r="CK82" s="211"/>
      <c r="CL82" s="211"/>
      <c r="CM82" s="258"/>
      <c r="CN82" s="173"/>
      <c r="CO82" s="173"/>
      <c r="CP82" s="173"/>
      <c r="CQ82" s="173"/>
      <c r="CR82" s="173"/>
      <c r="CS82" s="173"/>
      <c r="CT82" s="173"/>
      <c r="CU82" s="173"/>
    </row>
    <row r="83" spans="1:99" s="4" customFormat="1">
      <c r="A83" s="16" t="s">
        <v>32</v>
      </c>
      <c r="B83" s="21"/>
      <c r="C83" s="22"/>
      <c r="D83" s="265"/>
      <c r="E83" s="266"/>
      <c r="F83" s="266"/>
      <c r="G83" s="266"/>
      <c r="H83" s="267"/>
      <c r="I83" s="268"/>
      <c r="J83" s="269"/>
      <c r="K83" s="290"/>
      <c r="L83" s="265"/>
      <c r="M83" s="266"/>
      <c r="N83" s="266"/>
      <c r="O83" s="266"/>
      <c r="P83" s="271"/>
      <c r="Q83" s="268"/>
      <c r="R83" s="269"/>
      <c r="S83" s="290"/>
      <c r="T83" s="265"/>
      <c r="U83" s="266"/>
      <c r="V83" s="266"/>
      <c r="W83" s="266"/>
      <c r="X83" s="271"/>
      <c r="Y83" s="268"/>
      <c r="Z83" s="269"/>
      <c r="AA83" s="290"/>
      <c r="AB83" s="265"/>
      <c r="AC83" s="266"/>
      <c r="AD83" s="266"/>
      <c r="AE83" s="266"/>
      <c r="AF83" s="271"/>
      <c r="AG83" s="268"/>
      <c r="AH83" s="269"/>
      <c r="AI83" s="290"/>
      <c r="AJ83" s="265"/>
      <c r="AK83" s="266"/>
      <c r="AL83" s="266"/>
      <c r="AM83" s="266"/>
      <c r="AN83" s="271"/>
      <c r="AO83" s="268"/>
      <c r="AP83" s="269"/>
      <c r="AQ83" s="290"/>
      <c r="AR83" s="272"/>
      <c r="AS83" s="268"/>
      <c r="AT83" s="268"/>
      <c r="AU83" s="268"/>
      <c r="AV83" s="273"/>
      <c r="AW83" s="268"/>
      <c r="AX83" s="269"/>
      <c r="AY83" s="45"/>
      <c r="AZ83" s="19">
        <f t="shared" si="6"/>
        <v>34.841190476190476</v>
      </c>
      <c r="BA83" s="227">
        <f t="shared" si="4"/>
        <v>3</v>
      </c>
      <c r="BB83" s="173"/>
      <c r="BC83" s="173"/>
      <c r="BD83" s="173"/>
      <c r="BE83" s="173"/>
      <c r="BF83" s="173"/>
      <c r="BG83" s="173"/>
      <c r="BH83" s="173"/>
      <c r="BI83" s="173"/>
      <c r="BJ83" s="173"/>
      <c r="BK83" s="173"/>
      <c r="BL83" s="173"/>
      <c r="BM83" s="173"/>
      <c r="BN83" s="173"/>
      <c r="BO83" s="324">
        <f t="shared" si="5"/>
        <v>184</v>
      </c>
      <c r="BP83" s="319"/>
      <c r="BQ83" s="324">
        <v>172</v>
      </c>
      <c r="BR83" s="358"/>
      <c r="BS83" s="358">
        <v>3</v>
      </c>
      <c r="BT83" s="319"/>
      <c r="BU83" s="324">
        <v>307</v>
      </c>
      <c r="BV83" s="358">
        <v>41.698999999999998</v>
      </c>
      <c r="BW83" s="358">
        <v>8</v>
      </c>
      <c r="BX83" s="319"/>
      <c r="BY83" s="217"/>
      <c r="BZ83" s="219"/>
      <c r="CA83" s="262"/>
      <c r="CB83" s="218"/>
      <c r="CC83" s="217"/>
      <c r="CD83" s="219"/>
      <c r="CE83" s="217"/>
      <c r="CF83" s="220"/>
      <c r="CG83" s="211"/>
      <c r="CH83" s="211">
        <v>0</v>
      </c>
      <c r="CI83" s="262">
        <v>0</v>
      </c>
      <c r="CJ83" s="319"/>
      <c r="CK83" s="211"/>
      <c r="CL83" s="211"/>
      <c r="CM83" s="258"/>
      <c r="CN83" s="173"/>
      <c r="CO83" s="173"/>
      <c r="CP83" s="173"/>
      <c r="CQ83" s="173"/>
      <c r="CR83" s="173"/>
      <c r="CS83" s="173"/>
      <c r="CT83" s="173"/>
      <c r="CU83" s="173"/>
    </row>
    <row r="84" spans="1:99" s="4" customFormat="1">
      <c r="A84" s="16" t="s">
        <v>32</v>
      </c>
      <c r="B84" s="21"/>
      <c r="C84" s="22"/>
      <c r="D84" s="265"/>
      <c r="E84" s="266"/>
      <c r="F84" s="266"/>
      <c r="G84" s="266"/>
      <c r="H84" s="267"/>
      <c r="I84" s="268"/>
      <c r="J84" s="269"/>
      <c r="K84" s="290"/>
      <c r="L84" s="265"/>
      <c r="M84" s="266"/>
      <c r="N84" s="266"/>
      <c r="O84" s="266"/>
      <c r="P84" s="271"/>
      <c r="Q84" s="268"/>
      <c r="R84" s="269"/>
      <c r="S84" s="290"/>
      <c r="T84" s="265"/>
      <c r="U84" s="266"/>
      <c r="V84" s="266"/>
      <c r="W84" s="266"/>
      <c r="X84" s="271"/>
      <c r="Y84" s="268"/>
      <c r="Z84" s="269"/>
      <c r="AA84" s="290"/>
      <c r="AB84" s="265"/>
      <c r="AC84" s="266"/>
      <c r="AD84" s="266"/>
      <c r="AE84" s="266"/>
      <c r="AF84" s="271"/>
      <c r="AG84" s="268"/>
      <c r="AH84" s="269"/>
      <c r="AI84" s="290"/>
      <c r="AJ84" s="265"/>
      <c r="AK84" s="266"/>
      <c r="AL84" s="266"/>
      <c r="AM84" s="266"/>
      <c r="AN84" s="271"/>
      <c r="AO84" s="268"/>
      <c r="AP84" s="269"/>
      <c r="AQ84" s="290"/>
      <c r="AR84" s="272"/>
      <c r="AS84" s="268"/>
      <c r="AT84" s="268"/>
      <c r="AU84" s="268"/>
      <c r="AV84" s="273"/>
      <c r="AW84" s="268"/>
      <c r="AX84" s="269"/>
      <c r="AY84" s="45"/>
      <c r="AZ84" s="19">
        <f t="shared" si="6"/>
        <v>34.841190476190476</v>
      </c>
      <c r="BA84" s="227">
        <f t="shared" si="4"/>
        <v>3</v>
      </c>
      <c r="BB84" s="173"/>
      <c r="BC84" s="173"/>
      <c r="BD84" s="173"/>
      <c r="BE84" s="173"/>
      <c r="BF84" s="173"/>
      <c r="BG84" s="173"/>
      <c r="BH84" s="173"/>
      <c r="BI84" s="173"/>
      <c r="BJ84" s="173"/>
      <c r="BK84" s="173"/>
      <c r="BL84" s="173"/>
      <c r="BM84" s="173"/>
      <c r="BN84" s="173"/>
      <c r="BO84" s="324">
        <f t="shared" si="5"/>
        <v>184</v>
      </c>
      <c r="BP84" s="319"/>
      <c r="BQ84" s="324">
        <v>172</v>
      </c>
      <c r="BR84" s="358"/>
      <c r="BS84" s="358">
        <v>3</v>
      </c>
      <c r="BT84" s="319"/>
      <c r="BU84" s="324">
        <v>307</v>
      </c>
      <c r="BV84" s="358">
        <v>41.698999999999998</v>
      </c>
      <c r="BW84" s="358">
        <v>8</v>
      </c>
      <c r="BX84" s="319"/>
      <c r="BY84" s="217"/>
      <c r="BZ84" s="219"/>
      <c r="CA84" s="262"/>
      <c r="CB84" s="218"/>
      <c r="CC84" s="217"/>
      <c r="CD84" s="219"/>
      <c r="CE84" s="217"/>
      <c r="CF84" s="220"/>
      <c r="CG84" s="211"/>
      <c r="CH84" s="211">
        <v>0</v>
      </c>
      <c r="CI84" s="262">
        <v>0</v>
      </c>
      <c r="CJ84" s="319"/>
      <c r="CK84" s="211"/>
      <c r="CL84" s="211"/>
      <c r="CM84" s="258"/>
      <c r="CN84" s="173"/>
      <c r="CO84" s="173"/>
      <c r="CP84" s="173"/>
      <c r="CQ84" s="173"/>
      <c r="CR84" s="173"/>
      <c r="CS84" s="173"/>
      <c r="CT84" s="173"/>
      <c r="CU84" s="173"/>
    </row>
    <row r="85" spans="1:99" s="4" customFormat="1">
      <c r="A85" s="16" t="s">
        <v>32</v>
      </c>
      <c r="B85" s="21"/>
      <c r="C85" s="22"/>
      <c r="D85" s="265"/>
      <c r="E85" s="266"/>
      <c r="F85" s="266"/>
      <c r="G85" s="266"/>
      <c r="H85" s="267"/>
      <c r="I85" s="268"/>
      <c r="J85" s="269"/>
      <c r="K85" s="290"/>
      <c r="L85" s="265"/>
      <c r="M85" s="266"/>
      <c r="N85" s="266"/>
      <c r="O85" s="266"/>
      <c r="P85" s="271"/>
      <c r="Q85" s="268"/>
      <c r="R85" s="269"/>
      <c r="S85" s="290"/>
      <c r="T85" s="265"/>
      <c r="U85" s="266"/>
      <c r="V85" s="266"/>
      <c r="W85" s="266"/>
      <c r="X85" s="271"/>
      <c r="Y85" s="268"/>
      <c r="Z85" s="269"/>
      <c r="AA85" s="290"/>
      <c r="AB85" s="265"/>
      <c r="AC85" s="266"/>
      <c r="AD85" s="266"/>
      <c r="AE85" s="266"/>
      <c r="AF85" s="271"/>
      <c r="AG85" s="268"/>
      <c r="AH85" s="269"/>
      <c r="AI85" s="290"/>
      <c r="AJ85" s="265"/>
      <c r="AK85" s="266"/>
      <c r="AL85" s="266"/>
      <c r="AM85" s="266"/>
      <c r="AN85" s="271"/>
      <c r="AO85" s="268"/>
      <c r="AP85" s="269"/>
      <c r="AQ85" s="290"/>
      <c r="AR85" s="272"/>
      <c r="AS85" s="268"/>
      <c r="AT85" s="268"/>
      <c r="AU85" s="268"/>
      <c r="AV85" s="273"/>
      <c r="AW85" s="268"/>
      <c r="AX85" s="269"/>
      <c r="AY85" s="45"/>
      <c r="AZ85" s="19">
        <f t="shared" si="6"/>
        <v>34.841190476190476</v>
      </c>
      <c r="BA85" s="227">
        <f t="shared" si="4"/>
        <v>3</v>
      </c>
      <c r="BB85" s="173"/>
      <c r="BC85" s="173"/>
      <c r="BD85" s="173"/>
      <c r="BE85" s="173"/>
      <c r="BF85" s="173"/>
      <c r="BG85" s="173"/>
      <c r="BH85" s="173"/>
      <c r="BI85" s="173"/>
      <c r="BJ85" s="173"/>
      <c r="BK85" s="173"/>
      <c r="BL85" s="173"/>
      <c r="BM85" s="173"/>
      <c r="BN85" s="173"/>
      <c r="BO85" s="324">
        <f t="shared" si="5"/>
        <v>184</v>
      </c>
      <c r="BP85" s="319"/>
      <c r="BQ85" s="324">
        <v>172</v>
      </c>
      <c r="BR85" s="358"/>
      <c r="BS85" s="358">
        <v>3</v>
      </c>
      <c r="BT85" s="319"/>
      <c r="BU85" s="324">
        <v>307</v>
      </c>
      <c r="BV85" s="358">
        <v>41.698999999999998</v>
      </c>
      <c r="BW85" s="358">
        <v>8</v>
      </c>
      <c r="BX85" s="319"/>
      <c r="BY85" s="217"/>
      <c r="BZ85" s="219"/>
      <c r="CA85" s="262"/>
      <c r="CB85" s="218"/>
      <c r="CC85" s="217"/>
      <c r="CD85" s="219"/>
      <c r="CE85" s="217"/>
      <c r="CF85" s="220"/>
      <c r="CG85" s="211"/>
      <c r="CH85" s="211">
        <v>0</v>
      </c>
      <c r="CI85" s="262">
        <v>0</v>
      </c>
      <c r="CJ85" s="319"/>
      <c r="CK85" s="211"/>
      <c r="CL85" s="211"/>
      <c r="CM85" s="258"/>
      <c r="CN85" s="173"/>
      <c r="CO85" s="173"/>
      <c r="CP85" s="173"/>
      <c r="CQ85" s="173"/>
      <c r="CR85" s="173"/>
      <c r="CS85" s="173"/>
      <c r="CT85" s="173"/>
      <c r="CU85" s="173"/>
    </row>
    <row r="86" spans="1:99" s="4" customFormat="1">
      <c r="A86" s="16" t="s">
        <v>32</v>
      </c>
      <c r="B86" s="21"/>
      <c r="C86" s="22"/>
      <c r="D86" s="265"/>
      <c r="E86" s="266"/>
      <c r="F86" s="266"/>
      <c r="G86" s="266"/>
      <c r="H86" s="267"/>
      <c r="I86" s="268"/>
      <c r="J86" s="269"/>
      <c r="K86" s="290"/>
      <c r="L86" s="265"/>
      <c r="M86" s="266"/>
      <c r="N86" s="266"/>
      <c r="O86" s="266"/>
      <c r="P86" s="271"/>
      <c r="Q86" s="268"/>
      <c r="R86" s="269"/>
      <c r="S86" s="290"/>
      <c r="T86" s="265"/>
      <c r="U86" s="266"/>
      <c r="V86" s="266"/>
      <c r="W86" s="266"/>
      <c r="X86" s="271"/>
      <c r="Y86" s="268"/>
      <c r="Z86" s="269"/>
      <c r="AA86" s="290"/>
      <c r="AB86" s="265"/>
      <c r="AC86" s="266"/>
      <c r="AD86" s="266"/>
      <c r="AE86" s="266"/>
      <c r="AF86" s="271"/>
      <c r="AG86" s="268"/>
      <c r="AH86" s="269"/>
      <c r="AI86" s="290"/>
      <c r="AJ86" s="265"/>
      <c r="AK86" s="266"/>
      <c r="AL86" s="266"/>
      <c r="AM86" s="266"/>
      <c r="AN86" s="271"/>
      <c r="AO86" s="268"/>
      <c r="AP86" s="269"/>
      <c r="AQ86" s="290"/>
      <c r="AR86" s="272"/>
      <c r="AS86" s="268"/>
      <c r="AT86" s="268"/>
      <c r="AU86" s="268"/>
      <c r="AV86" s="273"/>
      <c r="AW86" s="268"/>
      <c r="AX86" s="269"/>
      <c r="AY86" s="45"/>
      <c r="AZ86" s="19">
        <f t="shared" si="6"/>
        <v>34.841190476190476</v>
      </c>
      <c r="BA86" s="227">
        <f t="shared" si="4"/>
        <v>3</v>
      </c>
      <c r="BB86" s="173"/>
      <c r="BC86" s="173"/>
      <c r="BD86" s="173"/>
      <c r="BE86" s="173"/>
      <c r="BF86" s="173"/>
      <c r="BG86" s="173"/>
      <c r="BH86" s="173"/>
      <c r="BI86" s="173"/>
      <c r="BJ86" s="173"/>
      <c r="BK86" s="173"/>
      <c r="BL86" s="173"/>
      <c r="BM86" s="173"/>
      <c r="BN86" s="173"/>
      <c r="BO86" s="324">
        <f t="shared" si="5"/>
        <v>184</v>
      </c>
      <c r="BP86" s="319"/>
      <c r="BQ86" s="324">
        <v>172</v>
      </c>
      <c r="BR86" s="358"/>
      <c r="BS86" s="358">
        <v>3</v>
      </c>
      <c r="BT86" s="319"/>
      <c r="BU86" s="324">
        <v>307</v>
      </c>
      <c r="BV86" s="358">
        <v>41.698999999999998</v>
      </c>
      <c r="BW86" s="358">
        <v>8</v>
      </c>
      <c r="BX86" s="319"/>
      <c r="BY86" s="217"/>
      <c r="BZ86" s="219"/>
      <c r="CA86" s="262"/>
      <c r="CB86" s="218"/>
      <c r="CC86" s="217"/>
      <c r="CD86" s="219"/>
      <c r="CE86" s="217"/>
      <c r="CF86" s="220"/>
      <c r="CG86" s="211"/>
      <c r="CH86" s="211">
        <v>0</v>
      </c>
      <c r="CI86" s="262">
        <v>0</v>
      </c>
      <c r="CJ86" s="319"/>
      <c r="CK86" s="211"/>
      <c r="CL86" s="211"/>
      <c r="CM86" s="258"/>
      <c r="CN86" s="173"/>
      <c r="CO86" s="173"/>
      <c r="CP86" s="173"/>
      <c r="CQ86" s="173"/>
      <c r="CR86" s="173"/>
      <c r="CS86" s="173"/>
      <c r="CT86" s="173"/>
      <c r="CU86" s="173"/>
    </row>
    <row r="87" spans="1:99" s="4" customFormat="1">
      <c r="A87" s="16" t="s">
        <v>32</v>
      </c>
      <c r="B87" s="21"/>
      <c r="C87" s="22"/>
      <c r="D87" s="265"/>
      <c r="E87" s="266"/>
      <c r="F87" s="266"/>
      <c r="G87" s="266"/>
      <c r="H87" s="267"/>
      <c r="I87" s="268"/>
      <c r="J87" s="269"/>
      <c r="K87" s="290"/>
      <c r="L87" s="265"/>
      <c r="M87" s="266"/>
      <c r="N87" s="266"/>
      <c r="O87" s="266"/>
      <c r="P87" s="271"/>
      <c r="Q87" s="268"/>
      <c r="R87" s="269"/>
      <c r="S87" s="290"/>
      <c r="T87" s="265"/>
      <c r="U87" s="266"/>
      <c r="V87" s="266"/>
      <c r="W87" s="266"/>
      <c r="X87" s="271"/>
      <c r="Y87" s="268"/>
      <c r="Z87" s="269"/>
      <c r="AA87" s="290"/>
      <c r="AB87" s="265"/>
      <c r="AC87" s="266"/>
      <c r="AD87" s="266"/>
      <c r="AE87" s="266"/>
      <c r="AF87" s="271"/>
      <c r="AG87" s="268"/>
      <c r="AH87" s="269"/>
      <c r="AI87" s="290"/>
      <c r="AJ87" s="265"/>
      <c r="AK87" s="266"/>
      <c r="AL87" s="266"/>
      <c r="AM87" s="266"/>
      <c r="AN87" s="271"/>
      <c r="AO87" s="268"/>
      <c r="AP87" s="269"/>
      <c r="AQ87" s="290"/>
      <c r="AR87" s="272"/>
      <c r="AS87" s="268"/>
      <c r="AT87" s="268"/>
      <c r="AU87" s="268"/>
      <c r="AV87" s="273"/>
      <c r="AW87" s="268"/>
      <c r="AX87" s="269"/>
      <c r="AY87" s="45"/>
      <c r="AZ87" s="19">
        <f t="shared" si="6"/>
        <v>34.841190476190476</v>
      </c>
      <c r="BA87" s="227">
        <f t="shared" si="4"/>
        <v>3</v>
      </c>
      <c r="BB87" s="173"/>
      <c r="BC87" s="173"/>
      <c r="BD87" s="173"/>
      <c r="BE87" s="173"/>
      <c r="BF87" s="173"/>
      <c r="BG87" s="173"/>
      <c r="BH87" s="173"/>
      <c r="BI87" s="173"/>
      <c r="BJ87" s="173"/>
      <c r="BK87" s="173"/>
      <c r="BL87" s="173"/>
      <c r="BM87" s="173"/>
      <c r="BN87" s="173"/>
      <c r="BO87" s="324">
        <f t="shared" si="5"/>
        <v>184</v>
      </c>
      <c r="BP87" s="319"/>
      <c r="BQ87" s="324">
        <v>172</v>
      </c>
      <c r="BR87" s="358"/>
      <c r="BS87" s="358">
        <v>3</v>
      </c>
      <c r="BT87" s="319"/>
      <c r="BU87" s="324">
        <v>307</v>
      </c>
      <c r="BV87" s="358">
        <v>41.698999999999998</v>
      </c>
      <c r="BW87" s="358">
        <v>8</v>
      </c>
      <c r="BX87" s="319"/>
      <c r="BY87" s="217"/>
      <c r="BZ87" s="219"/>
      <c r="CA87" s="262"/>
      <c r="CB87" s="218"/>
      <c r="CC87" s="217"/>
      <c r="CD87" s="219"/>
      <c r="CE87" s="217"/>
      <c r="CF87" s="220"/>
      <c r="CG87" s="211"/>
      <c r="CH87" s="211">
        <v>0</v>
      </c>
      <c r="CI87" s="262">
        <v>0</v>
      </c>
      <c r="CJ87" s="319"/>
      <c r="CK87" s="211"/>
      <c r="CL87" s="211"/>
      <c r="CM87" s="258"/>
      <c r="CN87" s="173"/>
      <c r="CO87" s="173"/>
      <c r="CP87" s="173"/>
      <c r="CQ87" s="173"/>
      <c r="CR87" s="173"/>
      <c r="CS87" s="173"/>
      <c r="CT87" s="173"/>
      <c r="CU87" s="173"/>
    </row>
    <row r="88" spans="1:99" s="4" customFormat="1">
      <c r="A88" s="16" t="s">
        <v>32</v>
      </c>
      <c r="B88" s="21"/>
      <c r="C88" s="22"/>
      <c r="D88" s="265"/>
      <c r="E88" s="266"/>
      <c r="F88" s="266"/>
      <c r="G88" s="266"/>
      <c r="H88" s="267"/>
      <c r="I88" s="268"/>
      <c r="J88" s="269"/>
      <c r="K88" s="290"/>
      <c r="L88" s="265"/>
      <c r="M88" s="266"/>
      <c r="N88" s="266"/>
      <c r="O88" s="266"/>
      <c r="P88" s="271"/>
      <c r="Q88" s="268"/>
      <c r="R88" s="269"/>
      <c r="S88" s="290"/>
      <c r="T88" s="265"/>
      <c r="U88" s="266"/>
      <c r="V88" s="266"/>
      <c r="W88" s="266"/>
      <c r="X88" s="271"/>
      <c r="Y88" s="268"/>
      <c r="Z88" s="269"/>
      <c r="AA88" s="290"/>
      <c r="AB88" s="265"/>
      <c r="AC88" s="266"/>
      <c r="AD88" s="266"/>
      <c r="AE88" s="266"/>
      <c r="AF88" s="271"/>
      <c r="AG88" s="268"/>
      <c r="AH88" s="269"/>
      <c r="AI88" s="290"/>
      <c r="AJ88" s="265"/>
      <c r="AK88" s="266"/>
      <c r="AL88" s="266"/>
      <c r="AM88" s="266"/>
      <c r="AN88" s="271"/>
      <c r="AO88" s="268"/>
      <c r="AP88" s="269"/>
      <c r="AQ88" s="290"/>
      <c r="AR88" s="272"/>
      <c r="AS88" s="268"/>
      <c r="AT88" s="268"/>
      <c r="AU88" s="268"/>
      <c r="AV88" s="273"/>
      <c r="AW88" s="268"/>
      <c r="AX88" s="269"/>
      <c r="AY88" s="45"/>
      <c r="AZ88" s="19">
        <f t="shared" si="6"/>
        <v>34.841190476190476</v>
      </c>
      <c r="BA88" s="227">
        <f t="shared" si="4"/>
        <v>3</v>
      </c>
      <c r="BB88" s="173"/>
      <c r="BC88" s="173"/>
      <c r="BD88" s="173"/>
      <c r="BE88" s="173"/>
      <c r="BF88" s="173"/>
      <c r="BG88" s="173"/>
      <c r="BH88" s="173"/>
      <c r="BI88" s="173"/>
      <c r="BJ88" s="173"/>
      <c r="BK88" s="173"/>
      <c r="BL88" s="173"/>
      <c r="BM88" s="173"/>
      <c r="BN88" s="173"/>
      <c r="BO88" s="324">
        <f t="shared" si="5"/>
        <v>184</v>
      </c>
      <c r="BP88" s="319"/>
      <c r="BQ88" s="324">
        <v>172</v>
      </c>
      <c r="BR88" s="358"/>
      <c r="BS88" s="358">
        <v>3</v>
      </c>
      <c r="BT88" s="319"/>
      <c r="BU88" s="324">
        <v>307</v>
      </c>
      <c r="BV88" s="358">
        <v>41.698999999999998</v>
      </c>
      <c r="BW88" s="358">
        <v>8</v>
      </c>
      <c r="BX88" s="319"/>
      <c r="BY88" s="217"/>
      <c r="BZ88" s="219"/>
      <c r="CA88" s="262"/>
      <c r="CB88" s="218"/>
      <c r="CC88" s="217"/>
      <c r="CD88" s="219"/>
      <c r="CE88" s="217"/>
      <c r="CF88" s="220"/>
      <c r="CG88" s="211"/>
      <c r="CH88" s="211">
        <v>0</v>
      </c>
      <c r="CI88" s="262">
        <v>0</v>
      </c>
      <c r="CJ88" s="319"/>
      <c r="CK88" s="211"/>
      <c r="CL88" s="211"/>
      <c r="CM88" s="258"/>
      <c r="CN88" s="173"/>
      <c r="CO88" s="173"/>
      <c r="CP88" s="173"/>
      <c r="CQ88" s="173"/>
      <c r="CR88" s="173"/>
      <c r="CS88" s="173"/>
      <c r="CT88" s="173"/>
      <c r="CU88" s="173"/>
    </row>
    <row r="89" spans="1:99" s="4" customFormat="1">
      <c r="A89" s="16" t="s">
        <v>32</v>
      </c>
      <c r="B89" s="21"/>
      <c r="C89" s="22"/>
      <c r="D89" s="265"/>
      <c r="E89" s="266"/>
      <c r="F89" s="266"/>
      <c r="G89" s="266"/>
      <c r="H89" s="267"/>
      <c r="I89" s="268"/>
      <c r="J89" s="269"/>
      <c r="K89" s="290"/>
      <c r="L89" s="265"/>
      <c r="M89" s="266"/>
      <c r="N89" s="266"/>
      <c r="O89" s="266"/>
      <c r="P89" s="271"/>
      <c r="Q89" s="268"/>
      <c r="R89" s="269"/>
      <c r="S89" s="290"/>
      <c r="T89" s="265"/>
      <c r="U89" s="266"/>
      <c r="V89" s="266"/>
      <c r="W89" s="266"/>
      <c r="X89" s="271"/>
      <c r="Y89" s="268"/>
      <c r="Z89" s="269"/>
      <c r="AA89" s="290"/>
      <c r="AB89" s="265"/>
      <c r="AC89" s="266"/>
      <c r="AD89" s="266"/>
      <c r="AE89" s="266"/>
      <c r="AF89" s="271"/>
      <c r="AG89" s="268"/>
      <c r="AH89" s="269"/>
      <c r="AI89" s="290"/>
      <c r="AJ89" s="265"/>
      <c r="AK89" s="266"/>
      <c r="AL89" s="266"/>
      <c r="AM89" s="266"/>
      <c r="AN89" s="271"/>
      <c r="AO89" s="268"/>
      <c r="AP89" s="269"/>
      <c r="AQ89" s="290"/>
      <c r="AR89" s="272"/>
      <c r="AS89" s="268"/>
      <c r="AT89" s="268"/>
      <c r="AU89" s="268"/>
      <c r="AV89" s="273"/>
      <c r="AW89" s="268"/>
      <c r="AX89" s="269"/>
      <c r="AY89" s="45"/>
      <c r="AZ89" s="19">
        <f t="shared" si="6"/>
        <v>34.841190476190476</v>
      </c>
      <c r="BA89" s="227">
        <f t="shared" si="4"/>
        <v>3</v>
      </c>
      <c r="BB89" s="173"/>
      <c r="BC89" s="173"/>
      <c r="BD89" s="173"/>
      <c r="BE89" s="173"/>
      <c r="BF89" s="173"/>
      <c r="BG89" s="173"/>
      <c r="BH89" s="173"/>
      <c r="BI89" s="173"/>
      <c r="BJ89" s="173"/>
      <c r="BK89" s="173"/>
      <c r="BL89" s="173"/>
      <c r="BM89" s="173"/>
      <c r="BN89" s="173"/>
      <c r="BO89" s="324">
        <f t="shared" si="5"/>
        <v>184</v>
      </c>
      <c r="BP89" s="319"/>
      <c r="BQ89" s="324">
        <v>172</v>
      </c>
      <c r="BR89" s="358"/>
      <c r="BS89" s="358">
        <v>3</v>
      </c>
      <c r="BT89" s="319"/>
      <c r="BU89" s="324">
        <v>307</v>
      </c>
      <c r="BV89" s="358">
        <v>41.698999999999998</v>
      </c>
      <c r="BW89" s="358">
        <v>8</v>
      </c>
      <c r="BX89" s="319"/>
      <c r="BY89" s="217"/>
      <c r="BZ89" s="219"/>
      <c r="CA89" s="262"/>
      <c r="CB89" s="218"/>
      <c r="CC89" s="217"/>
      <c r="CD89" s="219"/>
      <c r="CE89" s="217"/>
      <c r="CF89" s="220"/>
      <c r="CG89" s="211"/>
      <c r="CH89" s="211">
        <v>0</v>
      </c>
      <c r="CI89" s="262">
        <v>0</v>
      </c>
      <c r="CJ89" s="319"/>
      <c r="CK89" s="211"/>
      <c r="CL89" s="211"/>
      <c r="CM89" s="258"/>
      <c r="CN89" s="173"/>
      <c r="CO89" s="173"/>
      <c r="CP89" s="173"/>
      <c r="CQ89" s="173"/>
      <c r="CR89" s="173"/>
      <c r="CS89" s="173"/>
      <c r="CT89" s="173"/>
      <c r="CU89" s="173"/>
    </row>
    <row r="90" spans="1:99" s="4" customFormat="1">
      <c r="A90" s="16" t="s">
        <v>32</v>
      </c>
      <c r="B90" s="21"/>
      <c r="C90" s="22"/>
      <c r="D90" s="265"/>
      <c r="E90" s="266"/>
      <c r="F90" s="266"/>
      <c r="G90" s="266"/>
      <c r="H90" s="267"/>
      <c r="I90" s="268"/>
      <c r="J90" s="269"/>
      <c r="K90" s="290"/>
      <c r="L90" s="265"/>
      <c r="M90" s="266"/>
      <c r="N90" s="266"/>
      <c r="O90" s="266"/>
      <c r="P90" s="271"/>
      <c r="Q90" s="268"/>
      <c r="R90" s="269"/>
      <c r="S90" s="290"/>
      <c r="T90" s="265"/>
      <c r="U90" s="266"/>
      <c r="V90" s="266"/>
      <c r="W90" s="266"/>
      <c r="X90" s="271"/>
      <c r="Y90" s="268"/>
      <c r="Z90" s="269"/>
      <c r="AA90" s="290"/>
      <c r="AB90" s="265"/>
      <c r="AC90" s="266"/>
      <c r="AD90" s="266"/>
      <c r="AE90" s="266"/>
      <c r="AF90" s="271"/>
      <c r="AG90" s="268"/>
      <c r="AH90" s="269"/>
      <c r="AI90" s="290"/>
      <c r="AJ90" s="265"/>
      <c r="AK90" s="266"/>
      <c r="AL90" s="266"/>
      <c r="AM90" s="266"/>
      <c r="AN90" s="271"/>
      <c r="AO90" s="268"/>
      <c r="AP90" s="269"/>
      <c r="AQ90" s="290"/>
      <c r="AR90" s="272"/>
      <c r="AS90" s="268"/>
      <c r="AT90" s="268"/>
      <c r="AU90" s="268"/>
      <c r="AV90" s="273"/>
      <c r="AW90" s="268"/>
      <c r="AX90" s="269"/>
      <c r="AY90" s="45"/>
      <c r="AZ90" s="19">
        <f t="shared" si="6"/>
        <v>34.841190476190476</v>
      </c>
      <c r="BA90" s="227">
        <f t="shared" si="4"/>
        <v>3</v>
      </c>
      <c r="BB90" s="173"/>
      <c r="BC90" s="173"/>
      <c r="BD90" s="173"/>
      <c r="BE90" s="173"/>
      <c r="BF90" s="173"/>
      <c r="BG90" s="173"/>
      <c r="BH90" s="173"/>
      <c r="BI90" s="173"/>
      <c r="BJ90" s="173"/>
      <c r="BK90" s="173"/>
      <c r="BL90" s="173"/>
      <c r="BM90" s="173"/>
      <c r="BN90" s="173"/>
      <c r="BO90" s="324">
        <f t="shared" si="5"/>
        <v>184</v>
      </c>
      <c r="BP90" s="319"/>
      <c r="BQ90" s="324">
        <v>172</v>
      </c>
      <c r="BR90" s="358"/>
      <c r="BS90" s="358">
        <v>3</v>
      </c>
      <c r="BT90" s="319"/>
      <c r="BU90" s="324">
        <v>307</v>
      </c>
      <c r="BV90" s="358">
        <v>41.698999999999998</v>
      </c>
      <c r="BW90" s="358">
        <v>8</v>
      </c>
      <c r="BX90" s="319"/>
      <c r="BY90" s="217"/>
      <c r="BZ90" s="219"/>
      <c r="CA90" s="262"/>
      <c r="CB90" s="218"/>
      <c r="CC90" s="217"/>
      <c r="CD90" s="219"/>
      <c r="CE90" s="217"/>
      <c r="CF90" s="220"/>
      <c r="CG90" s="211"/>
      <c r="CH90" s="211">
        <v>0</v>
      </c>
      <c r="CI90" s="262">
        <v>0</v>
      </c>
      <c r="CJ90" s="319"/>
      <c r="CK90" s="211"/>
      <c r="CL90" s="211"/>
      <c r="CM90" s="258"/>
      <c r="CN90" s="173"/>
      <c r="CO90" s="173"/>
      <c r="CP90" s="173"/>
      <c r="CQ90" s="173"/>
      <c r="CR90" s="173"/>
      <c r="CS90" s="173"/>
      <c r="CT90" s="173"/>
      <c r="CU90" s="173"/>
    </row>
    <row r="91" spans="1:99" s="4" customFormat="1">
      <c r="A91" s="16" t="s">
        <v>32</v>
      </c>
      <c r="B91" s="21"/>
      <c r="C91" s="22"/>
      <c r="D91" s="265"/>
      <c r="E91" s="266"/>
      <c r="F91" s="266"/>
      <c r="G91" s="266"/>
      <c r="H91" s="267"/>
      <c r="I91" s="268"/>
      <c r="J91" s="269"/>
      <c r="K91" s="290"/>
      <c r="L91" s="265"/>
      <c r="M91" s="266"/>
      <c r="N91" s="266"/>
      <c r="O91" s="266"/>
      <c r="P91" s="271"/>
      <c r="Q91" s="268"/>
      <c r="R91" s="269"/>
      <c r="S91" s="290"/>
      <c r="T91" s="265"/>
      <c r="U91" s="266"/>
      <c r="V91" s="266"/>
      <c r="W91" s="266"/>
      <c r="X91" s="271"/>
      <c r="Y91" s="268"/>
      <c r="Z91" s="269"/>
      <c r="AA91" s="290"/>
      <c r="AB91" s="265"/>
      <c r="AC91" s="266"/>
      <c r="AD91" s="266"/>
      <c r="AE91" s="266"/>
      <c r="AF91" s="271"/>
      <c r="AG91" s="268"/>
      <c r="AH91" s="269"/>
      <c r="AI91" s="290"/>
      <c r="AJ91" s="265"/>
      <c r="AK91" s="266"/>
      <c r="AL91" s="266"/>
      <c r="AM91" s="266"/>
      <c r="AN91" s="271"/>
      <c r="AO91" s="268"/>
      <c r="AP91" s="269"/>
      <c r="AQ91" s="290"/>
      <c r="AR91" s="272"/>
      <c r="AS91" s="268"/>
      <c r="AT91" s="268"/>
      <c r="AU91" s="268"/>
      <c r="AV91" s="273"/>
      <c r="AW91" s="268"/>
      <c r="AX91" s="269"/>
      <c r="AY91" s="45"/>
      <c r="AZ91" s="19">
        <f t="shared" si="6"/>
        <v>34.841190476190476</v>
      </c>
      <c r="BA91" s="227">
        <f t="shared" si="4"/>
        <v>3</v>
      </c>
      <c r="BB91" s="173"/>
      <c r="BC91" s="173"/>
      <c r="BD91" s="173"/>
      <c r="BE91" s="173"/>
      <c r="BF91" s="173"/>
      <c r="BG91" s="173"/>
      <c r="BH91" s="173"/>
      <c r="BI91" s="173"/>
      <c r="BJ91" s="173"/>
      <c r="BK91" s="173"/>
      <c r="BL91" s="173"/>
      <c r="BM91" s="173"/>
      <c r="BN91" s="173"/>
      <c r="BO91" s="324">
        <f t="shared" si="5"/>
        <v>184</v>
      </c>
      <c r="BP91" s="319"/>
      <c r="BQ91" s="324">
        <v>172</v>
      </c>
      <c r="BR91" s="358"/>
      <c r="BS91" s="358">
        <v>3</v>
      </c>
      <c r="BT91" s="319"/>
      <c r="BU91" s="324">
        <v>307</v>
      </c>
      <c r="BV91" s="358">
        <v>41.698999999999998</v>
      </c>
      <c r="BW91" s="358">
        <v>8</v>
      </c>
      <c r="BX91" s="319"/>
      <c r="BY91" s="217"/>
      <c r="BZ91" s="219"/>
      <c r="CA91" s="262"/>
      <c r="CB91" s="218"/>
      <c r="CC91" s="217"/>
      <c r="CD91" s="219"/>
      <c r="CE91" s="217"/>
      <c r="CF91" s="220"/>
      <c r="CG91" s="211"/>
      <c r="CH91" s="211">
        <v>0</v>
      </c>
      <c r="CI91" s="262">
        <v>0</v>
      </c>
      <c r="CJ91" s="319"/>
      <c r="CK91" s="211"/>
      <c r="CL91" s="211"/>
      <c r="CM91" s="258"/>
      <c r="CN91" s="173"/>
      <c r="CO91" s="173"/>
      <c r="CP91" s="173"/>
      <c r="CQ91" s="173"/>
      <c r="CR91" s="173"/>
      <c r="CS91" s="173"/>
      <c r="CT91" s="173"/>
      <c r="CU91" s="173"/>
    </row>
    <row r="92" spans="1:99" s="4" customFormat="1">
      <c r="A92" s="16" t="s">
        <v>32</v>
      </c>
      <c r="B92" s="21"/>
      <c r="C92" s="22"/>
      <c r="D92" s="265"/>
      <c r="E92" s="266"/>
      <c r="F92" s="266"/>
      <c r="G92" s="266"/>
      <c r="H92" s="267"/>
      <c r="I92" s="268"/>
      <c r="J92" s="269"/>
      <c r="K92" s="290"/>
      <c r="L92" s="265"/>
      <c r="M92" s="266"/>
      <c r="N92" s="266"/>
      <c r="O92" s="266"/>
      <c r="P92" s="271"/>
      <c r="Q92" s="268"/>
      <c r="R92" s="269"/>
      <c r="S92" s="290"/>
      <c r="T92" s="265"/>
      <c r="U92" s="266"/>
      <c r="V92" s="266"/>
      <c r="W92" s="266"/>
      <c r="X92" s="271"/>
      <c r="Y92" s="268"/>
      <c r="Z92" s="269"/>
      <c r="AA92" s="290"/>
      <c r="AB92" s="265"/>
      <c r="AC92" s="266"/>
      <c r="AD92" s="266"/>
      <c r="AE92" s="266"/>
      <c r="AF92" s="271"/>
      <c r="AG92" s="268"/>
      <c r="AH92" s="269"/>
      <c r="AI92" s="290"/>
      <c r="AJ92" s="265"/>
      <c r="AK92" s="266"/>
      <c r="AL92" s="266"/>
      <c r="AM92" s="266"/>
      <c r="AN92" s="271"/>
      <c r="AO92" s="268"/>
      <c r="AP92" s="269"/>
      <c r="AQ92" s="290"/>
      <c r="AR92" s="272"/>
      <c r="AS92" s="268"/>
      <c r="AT92" s="268"/>
      <c r="AU92" s="268"/>
      <c r="AV92" s="273"/>
      <c r="AW92" s="268"/>
      <c r="AX92" s="269"/>
      <c r="AY92" s="45"/>
      <c r="AZ92" s="19">
        <f t="shared" si="6"/>
        <v>34.841190476190476</v>
      </c>
      <c r="BA92" s="227">
        <f t="shared" si="4"/>
        <v>3</v>
      </c>
      <c r="BB92" s="173"/>
      <c r="BC92" s="173"/>
      <c r="BD92" s="173"/>
      <c r="BE92" s="173"/>
      <c r="BF92" s="173"/>
      <c r="BG92" s="173"/>
      <c r="BH92" s="173"/>
      <c r="BI92" s="173"/>
      <c r="BJ92" s="173"/>
      <c r="BK92" s="173"/>
      <c r="BL92" s="173"/>
      <c r="BM92" s="173"/>
      <c r="BN92" s="173"/>
      <c r="BO92" s="324">
        <f t="shared" si="5"/>
        <v>184</v>
      </c>
      <c r="BP92" s="319"/>
      <c r="BQ92" s="324">
        <v>172</v>
      </c>
      <c r="BR92" s="358"/>
      <c r="BS92" s="358">
        <v>3</v>
      </c>
      <c r="BT92" s="319"/>
      <c r="BU92" s="324">
        <v>307</v>
      </c>
      <c r="BV92" s="358">
        <v>41.698999999999998</v>
      </c>
      <c r="BW92" s="358">
        <v>8</v>
      </c>
      <c r="BX92" s="319"/>
      <c r="BY92" s="217"/>
      <c r="BZ92" s="219"/>
      <c r="CA92" s="262"/>
      <c r="CB92" s="218"/>
      <c r="CC92" s="217"/>
      <c r="CD92" s="219"/>
      <c r="CE92" s="217"/>
      <c r="CF92" s="220"/>
      <c r="CG92" s="211"/>
      <c r="CH92" s="211">
        <v>0</v>
      </c>
      <c r="CI92" s="262">
        <v>0</v>
      </c>
      <c r="CJ92" s="319"/>
      <c r="CK92" s="211"/>
      <c r="CL92" s="211"/>
      <c r="CM92" s="258"/>
      <c r="CN92" s="173"/>
      <c r="CO92" s="173"/>
      <c r="CP92" s="173"/>
      <c r="CQ92" s="173"/>
      <c r="CR92" s="173"/>
      <c r="CS92" s="173"/>
      <c r="CT92" s="173"/>
      <c r="CU92" s="173"/>
    </row>
    <row r="93" spans="1:99" s="4" customFormat="1">
      <c r="A93" s="16" t="s">
        <v>32</v>
      </c>
      <c r="B93" s="21"/>
      <c r="C93" s="22"/>
      <c r="D93" s="265"/>
      <c r="E93" s="266"/>
      <c r="F93" s="266"/>
      <c r="G93" s="266"/>
      <c r="H93" s="267"/>
      <c r="I93" s="268"/>
      <c r="J93" s="269"/>
      <c r="K93" s="290"/>
      <c r="L93" s="265"/>
      <c r="M93" s="266"/>
      <c r="N93" s="266"/>
      <c r="O93" s="266"/>
      <c r="P93" s="271"/>
      <c r="Q93" s="268"/>
      <c r="R93" s="269"/>
      <c r="S93" s="290"/>
      <c r="T93" s="265"/>
      <c r="U93" s="266"/>
      <c r="V93" s="266"/>
      <c r="W93" s="266"/>
      <c r="X93" s="271"/>
      <c r="Y93" s="268"/>
      <c r="Z93" s="269"/>
      <c r="AA93" s="290"/>
      <c r="AB93" s="265"/>
      <c r="AC93" s="266"/>
      <c r="AD93" s="266"/>
      <c r="AE93" s="266"/>
      <c r="AF93" s="271"/>
      <c r="AG93" s="268"/>
      <c r="AH93" s="269"/>
      <c r="AI93" s="290"/>
      <c r="AJ93" s="265"/>
      <c r="AK93" s="266"/>
      <c r="AL93" s="266"/>
      <c r="AM93" s="266"/>
      <c r="AN93" s="271"/>
      <c r="AO93" s="268"/>
      <c r="AP93" s="269"/>
      <c r="AQ93" s="290"/>
      <c r="AR93" s="272"/>
      <c r="AS93" s="268"/>
      <c r="AT93" s="268"/>
      <c r="AU93" s="268"/>
      <c r="AV93" s="273"/>
      <c r="AW93" s="268"/>
      <c r="AX93" s="269"/>
      <c r="AY93" s="45"/>
      <c r="AZ93" s="19">
        <f t="shared" si="6"/>
        <v>34.841190476190476</v>
      </c>
      <c r="BA93" s="227">
        <f t="shared" si="4"/>
        <v>3</v>
      </c>
      <c r="BB93" s="173"/>
      <c r="BC93" s="173"/>
      <c r="BD93" s="173"/>
      <c r="BE93" s="173"/>
      <c r="BF93" s="173"/>
      <c r="BG93" s="173"/>
      <c r="BH93" s="173"/>
      <c r="BI93" s="173"/>
      <c r="BJ93" s="173"/>
      <c r="BK93" s="173"/>
      <c r="BL93" s="173"/>
      <c r="BM93" s="173"/>
      <c r="BN93" s="173"/>
      <c r="BO93" s="324">
        <f t="shared" si="5"/>
        <v>184</v>
      </c>
      <c r="BP93" s="319"/>
      <c r="BQ93" s="324">
        <v>172</v>
      </c>
      <c r="BR93" s="358"/>
      <c r="BS93" s="358">
        <v>3</v>
      </c>
      <c r="BT93" s="319"/>
      <c r="BU93" s="324">
        <v>307</v>
      </c>
      <c r="BV93" s="358">
        <v>41.698999999999998</v>
      </c>
      <c r="BW93" s="358">
        <v>8</v>
      </c>
      <c r="BX93" s="319"/>
      <c r="BY93" s="217"/>
      <c r="BZ93" s="219"/>
      <c r="CA93" s="262"/>
      <c r="CB93" s="218"/>
      <c r="CC93" s="217"/>
      <c r="CD93" s="219"/>
      <c r="CE93" s="217"/>
      <c r="CF93" s="220"/>
      <c r="CG93" s="211"/>
      <c r="CH93" s="211">
        <v>0</v>
      </c>
      <c r="CI93" s="262">
        <v>0</v>
      </c>
      <c r="CJ93" s="319"/>
      <c r="CK93" s="211"/>
      <c r="CL93" s="211"/>
      <c r="CM93" s="258"/>
      <c r="CN93" s="173"/>
      <c r="CO93" s="173"/>
      <c r="CP93" s="173"/>
      <c r="CQ93" s="173"/>
      <c r="CR93" s="173"/>
      <c r="CS93" s="173"/>
      <c r="CT93" s="173"/>
      <c r="CU93" s="173"/>
    </row>
    <row r="94" spans="1:99" s="4" customFormat="1">
      <c r="A94" s="16" t="s">
        <v>32</v>
      </c>
      <c r="B94" s="21"/>
      <c r="C94" s="22"/>
      <c r="D94" s="265"/>
      <c r="E94" s="266"/>
      <c r="F94" s="266"/>
      <c r="G94" s="266"/>
      <c r="H94" s="267"/>
      <c r="I94" s="268"/>
      <c r="J94" s="269"/>
      <c r="K94" s="290"/>
      <c r="L94" s="265"/>
      <c r="M94" s="266"/>
      <c r="N94" s="266"/>
      <c r="O94" s="266"/>
      <c r="P94" s="271"/>
      <c r="Q94" s="268"/>
      <c r="R94" s="269"/>
      <c r="S94" s="290"/>
      <c r="T94" s="265"/>
      <c r="U94" s="266"/>
      <c r="V94" s="266"/>
      <c r="W94" s="266"/>
      <c r="X94" s="271"/>
      <c r="Y94" s="268"/>
      <c r="Z94" s="269"/>
      <c r="AA94" s="290"/>
      <c r="AB94" s="265"/>
      <c r="AC94" s="266"/>
      <c r="AD94" s="266"/>
      <c r="AE94" s="266"/>
      <c r="AF94" s="271"/>
      <c r="AG94" s="268"/>
      <c r="AH94" s="269"/>
      <c r="AI94" s="290"/>
      <c r="AJ94" s="265"/>
      <c r="AK94" s="266"/>
      <c r="AL94" s="266"/>
      <c r="AM94" s="266"/>
      <c r="AN94" s="271"/>
      <c r="AO94" s="268"/>
      <c r="AP94" s="269"/>
      <c r="AQ94" s="290"/>
      <c r="AR94" s="272"/>
      <c r="AS94" s="268"/>
      <c r="AT94" s="268"/>
      <c r="AU94" s="268"/>
      <c r="AV94" s="273"/>
      <c r="AW94" s="268"/>
      <c r="AX94" s="269"/>
      <c r="AY94" s="45"/>
      <c r="AZ94" s="19">
        <f t="shared" si="6"/>
        <v>34.841190476190476</v>
      </c>
      <c r="BA94" s="227">
        <f t="shared" si="4"/>
        <v>3</v>
      </c>
      <c r="BB94" s="173"/>
      <c r="BC94" s="173"/>
      <c r="BD94" s="173"/>
      <c r="BE94" s="173"/>
      <c r="BF94" s="173"/>
      <c r="BG94" s="173"/>
      <c r="BH94" s="173"/>
      <c r="BI94" s="173"/>
      <c r="BJ94" s="173"/>
      <c r="BK94" s="173"/>
      <c r="BL94" s="173"/>
      <c r="BM94" s="173"/>
      <c r="BN94" s="173"/>
      <c r="BO94" s="324">
        <f t="shared" si="5"/>
        <v>184</v>
      </c>
      <c r="BP94" s="319"/>
      <c r="BQ94" s="324">
        <v>172</v>
      </c>
      <c r="BR94" s="358"/>
      <c r="BS94" s="358">
        <v>3</v>
      </c>
      <c r="BT94" s="319"/>
      <c r="BU94" s="324">
        <v>307</v>
      </c>
      <c r="BV94" s="358">
        <v>41.698999999999998</v>
      </c>
      <c r="BW94" s="358">
        <v>8</v>
      </c>
      <c r="BX94" s="319"/>
      <c r="BY94" s="217"/>
      <c r="BZ94" s="219"/>
      <c r="CA94" s="262"/>
      <c r="CB94" s="218"/>
      <c r="CC94" s="217"/>
      <c r="CD94" s="219"/>
      <c r="CE94" s="217"/>
      <c r="CF94" s="220"/>
      <c r="CG94" s="211"/>
      <c r="CH94" s="211">
        <v>0</v>
      </c>
      <c r="CI94" s="262">
        <v>0</v>
      </c>
      <c r="CJ94" s="319"/>
      <c r="CK94" s="211"/>
      <c r="CL94" s="211"/>
      <c r="CM94" s="258"/>
      <c r="CN94" s="173"/>
      <c r="CO94" s="173"/>
      <c r="CP94" s="173"/>
      <c r="CQ94" s="173"/>
      <c r="CR94" s="173"/>
      <c r="CS94" s="173"/>
      <c r="CT94" s="173"/>
      <c r="CU94" s="173"/>
    </row>
    <row r="95" spans="1:99" s="13" customFormat="1" ht="13" thickBot="1">
      <c r="A95" s="17" t="s">
        <v>32</v>
      </c>
      <c r="B95" s="29"/>
      <c r="C95" s="30"/>
      <c r="D95" s="274"/>
      <c r="E95" s="275"/>
      <c r="F95" s="275"/>
      <c r="G95" s="275"/>
      <c r="H95" s="276"/>
      <c r="I95" s="277"/>
      <c r="J95" s="278"/>
      <c r="K95" s="291"/>
      <c r="L95" s="274"/>
      <c r="M95" s="275"/>
      <c r="N95" s="275"/>
      <c r="O95" s="275"/>
      <c r="P95" s="279"/>
      <c r="Q95" s="277"/>
      <c r="R95" s="278"/>
      <c r="S95" s="291"/>
      <c r="T95" s="274"/>
      <c r="U95" s="275"/>
      <c r="V95" s="275"/>
      <c r="W95" s="275"/>
      <c r="X95" s="279"/>
      <c r="Y95" s="277"/>
      <c r="Z95" s="278"/>
      <c r="AA95" s="291"/>
      <c r="AB95" s="274"/>
      <c r="AC95" s="275"/>
      <c r="AD95" s="275"/>
      <c r="AE95" s="275"/>
      <c r="AF95" s="279"/>
      <c r="AG95" s="277"/>
      <c r="AH95" s="278"/>
      <c r="AI95" s="291"/>
      <c r="AJ95" s="274"/>
      <c r="AK95" s="275"/>
      <c r="AL95" s="275"/>
      <c r="AM95" s="275"/>
      <c r="AN95" s="279"/>
      <c r="AO95" s="277"/>
      <c r="AP95" s="278"/>
      <c r="AQ95" s="291"/>
      <c r="AR95" s="280"/>
      <c r="AS95" s="277"/>
      <c r="AT95" s="277"/>
      <c r="AU95" s="277"/>
      <c r="AV95" s="281"/>
      <c r="AW95" s="277"/>
      <c r="AX95" s="278"/>
      <c r="AY95" s="46"/>
      <c r="AZ95" s="20"/>
      <c r="BA95" s="208">
        <f t="shared" si="4"/>
        <v>3</v>
      </c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324">
        <f t="shared" si="5"/>
        <v>184</v>
      </c>
      <c r="BP95" s="319"/>
      <c r="BQ95" s="324">
        <v>172</v>
      </c>
      <c r="BR95" s="358"/>
      <c r="BS95" s="358">
        <v>3</v>
      </c>
      <c r="BT95" s="319"/>
      <c r="BU95" s="324">
        <v>307</v>
      </c>
      <c r="BV95" s="358">
        <v>41.698999999999998</v>
      </c>
      <c r="BW95" s="358">
        <v>8</v>
      </c>
      <c r="BX95" s="319"/>
      <c r="BY95" s="217"/>
      <c r="BZ95" s="219"/>
      <c r="CA95" s="262"/>
      <c r="CB95" s="218"/>
      <c r="CC95" s="217"/>
      <c r="CD95" s="219"/>
      <c r="CE95" s="217"/>
      <c r="CF95" s="220"/>
      <c r="CG95" s="211"/>
      <c r="CH95" s="211">
        <v>0</v>
      </c>
      <c r="CI95" s="262">
        <v>0</v>
      </c>
      <c r="CJ95" s="319"/>
      <c r="CK95" s="211"/>
      <c r="CL95" s="211"/>
      <c r="CM95" s="258"/>
      <c r="CN95" s="176"/>
      <c r="CO95" s="176"/>
      <c r="CP95" s="176"/>
      <c r="CQ95" s="176"/>
      <c r="CR95" s="176"/>
      <c r="CS95" s="176"/>
      <c r="CT95" s="176"/>
      <c r="CU95" s="176"/>
    </row>
    <row r="96" spans="1:99" s="4" customFormat="1">
      <c r="A96" s="15" t="s">
        <v>34</v>
      </c>
      <c r="B96" s="37"/>
      <c r="C96" s="38"/>
      <c r="D96" s="282"/>
      <c r="E96" s="283"/>
      <c r="F96" s="283"/>
      <c r="G96" s="283"/>
      <c r="H96" s="284"/>
      <c r="I96" s="285"/>
      <c r="J96" s="286"/>
      <c r="K96" s="292"/>
      <c r="L96" s="282"/>
      <c r="M96" s="283"/>
      <c r="N96" s="283"/>
      <c r="O96" s="283"/>
      <c r="P96" s="287"/>
      <c r="Q96" s="285"/>
      <c r="R96" s="286"/>
      <c r="S96" s="292"/>
      <c r="T96" s="282"/>
      <c r="U96" s="283"/>
      <c r="V96" s="283"/>
      <c r="W96" s="283"/>
      <c r="X96" s="287"/>
      <c r="Y96" s="285"/>
      <c r="Z96" s="286"/>
      <c r="AA96" s="292"/>
      <c r="AB96" s="282"/>
      <c r="AC96" s="283"/>
      <c r="AD96" s="283"/>
      <c r="AE96" s="283"/>
      <c r="AF96" s="287"/>
      <c r="AG96" s="285"/>
      <c r="AH96" s="286"/>
      <c r="AI96" s="292"/>
      <c r="AJ96" s="282"/>
      <c r="AK96" s="283"/>
      <c r="AL96" s="283"/>
      <c r="AM96" s="283"/>
      <c r="AN96" s="287"/>
      <c r="AO96" s="285"/>
      <c r="AP96" s="286"/>
      <c r="AQ96" s="292"/>
      <c r="AR96" s="288"/>
      <c r="AS96" s="285"/>
      <c r="AT96" s="285"/>
      <c r="AU96" s="285"/>
      <c r="AV96" s="289"/>
      <c r="AW96" s="285"/>
      <c r="AX96" s="286"/>
      <c r="AY96" s="44"/>
      <c r="AZ96" s="18">
        <f t="shared" si="6"/>
        <v>0</v>
      </c>
      <c r="BA96" s="200">
        <f t="shared" si="4"/>
        <v>3</v>
      </c>
      <c r="BB96" s="173"/>
      <c r="BC96" s="173"/>
      <c r="BD96" s="173"/>
      <c r="BE96" s="173"/>
      <c r="BF96" s="173"/>
      <c r="BG96" s="173"/>
      <c r="BH96" s="173"/>
      <c r="BI96" s="173"/>
      <c r="BJ96" s="173"/>
      <c r="BK96" s="173"/>
      <c r="BL96" s="173"/>
      <c r="BM96" s="173"/>
      <c r="BN96" s="173"/>
      <c r="BO96" s="323">
        <f t="shared" si="5"/>
        <v>184</v>
      </c>
      <c r="BP96" s="318"/>
      <c r="BQ96" s="323">
        <v>172</v>
      </c>
      <c r="BR96" s="360"/>
      <c r="BS96" s="360">
        <v>3</v>
      </c>
      <c r="BT96" s="318"/>
      <c r="BU96" s="323">
        <v>307</v>
      </c>
      <c r="BV96" s="360">
        <v>41.698999999999998</v>
      </c>
      <c r="BW96" s="360">
        <v>8</v>
      </c>
      <c r="BX96" s="318">
        <v>39904</v>
      </c>
      <c r="BY96" s="250">
        <v>91</v>
      </c>
      <c r="BZ96" s="251">
        <v>0</v>
      </c>
      <c r="CA96" s="261">
        <v>0</v>
      </c>
      <c r="CB96" s="249">
        <v>39568</v>
      </c>
      <c r="CC96" s="250">
        <v>121</v>
      </c>
      <c r="CD96" s="251">
        <v>6.516</v>
      </c>
      <c r="CE96" s="250">
        <v>0</v>
      </c>
      <c r="CF96" s="259">
        <v>39199</v>
      </c>
      <c r="CG96" s="250">
        <v>117</v>
      </c>
      <c r="CH96" s="260">
        <v>7.6400000000000006</v>
      </c>
      <c r="CI96" s="261">
        <v>0</v>
      </c>
      <c r="CJ96" s="318">
        <v>38845</v>
      </c>
      <c r="CK96" s="250">
        <v>128</v>
      </c>
      <c r="CL96" s="260">
        <v>10.195999999999998</v>
      </c>
      <c r="CM96" s="257">
        <v>0</v>
      </c>
      <c r="CN96" s="173"/>
      <c r="CO96" s="173"/>
      <c r="CP96" s="173"/>
      <c r="CQ96" s="173"/>
      <c r="CR96" s="173"/>
      <c r="CS96" s="173"/>
      <c r="CT96" s="173"/>
      <c r="CU96" s="173"/>
    </row>
    <row r="97" spans="1:99" s="4" customFormat="1">
      <c r="A97" s="16" t="s">
        <v>34</v>
      </c>
      <c r="B97" s="21"/>
      <c r="C97" s="22"/>
      <c r="D97" s="265"/>
      <c r="E97" s="266"/>
      <c r="F97" s="266"/>
      <c r="G97" s="266"/>
      <c r="H97" s="267"/>
      <c r="I97" s="268"/>
      <c r="J97" s="269"/>
      <c r="K97" s="290"/>
      <c r="L97" s="265"/>
      <c r="M97" s="266"/>
      <c r="N97" s="266"/>
      <c r="O97" s="266"/>
      <c r="P97" s="271"/>
      <c r="Q97" s="268"/>
      <c r="R97" s="269"/>
      <c r="S97" s="290"/>
      <c r="T97" s="265"/>
      <c r="U97" s="266"/>
      <c r="V97" s="266"/>
      <c r="W97" s="266"/>
      <c r="X97" s="271"/>
      <c r="Y97" s="268"/>
      <c r="Z97" s="269"/>
      <c r="AA97" s="290"/>
      <c r="AB97" s="265"/>
      <c r="AC97" s="266"/>
      <c r="AD97" s="266"/>
      <c r="AE97" s="266"/>
      <c r="AF97" s="271"/>
      <c r="AG97" s="268"/>
      <c r="AH97" s="269"/>
      <c r="AI97" s="290"/>
      <c r="AJ97" s="265"/>
      <c r="AK97" s="266"/>
      <c r="AL97" s="266"/>
      <c r="AM97" s="266"/>
      <c r="AN97" s="271"/>
      <c r="AO97" s="268"/>
      <c r="AP97" s="269"/>
      <c r="AQ97" s="290"/>
      <c r="AR97" s="272"/>
      <c r="AS97" s="268"/>
      <c r="AT97" s="268"/>
      <c r="AU97" s="268"/>
      <c r="AV97" s="273"/>
      <c r="AW97" s="268"/>
      <c r="AX97" s="269"/>
      <c r="AY97" s="45"/>
      <c r="AZ97" s="19">
        <f t="shared" si="6"/>
        <v>0</v>
      </c>
      <c r="BA97" s="227">
        <f t="shared" si="4"/>
        <v>3</v>
      </c>
      <c r="BB97" s="173"/>
      <c r="BC97" s="173"/>
      <c r="BD97" s="173"/>
      <c r="BE97" s="173"/>
      <c r="BF97" s="173"/>
      <c r="BG97" s="173"/>
      <c r="BH97" s="173"/>
      <c r="BI97" s="173"/>
      <c r="BJ97" s="173"/>
      <c r="BK97" s="173"/>
      <c r="BL97" s="173"/>
      <c r="BM97" s="173"/>
      <c r="BN97" s="173"/>
      <c r="BO97" s="324">
        <f t="shared" si="5"/>
        <v>184</v>
      </c>
      <c r="BP97" s="319"/>
      <c r="BQ97" s="324">
        <v>172</v>
      </c>
      <c r="BR97" s="358"/>
      <c r="BS97" s="358">
        <v>3</v>
      </c>
      <c r="BT97" s="319"/>
      <c r="BU97" s="324">
        <v>307</v>
      </c>
      <c r="BV97" s="358">
        <v>41.698999999999998</v>
      </c>
      <c r="BW97" s="358">
        <v>8</v>
      </c>
      <c r="BX97" s="319"/>
      <c r="BY97" s="217"/>
      <c r="BZ97" s="219"/>
      <c r="CA97" s="262"/>
      <c r="CB97" s="218">
        <v>39573</v>
      </c>
      <c r="CC97" s="217">
        <v>126</v>
      </c>
      <c r="CD97" s="219">
        <v>9.0839999999999996</v>
      </c>
      <c r="CE97" s="217">
        <v>0.2</v>
      </c>
      <c r="CF97" s="220">
        <v>39204</v>
      </c>
      <c r="CG97" s="217">
        <v>122</v>
      </c>
      <c r="CH97" s="211">
        <v>8.4599999999999991</v>
      </c>
      <c r="CI97" s="262">
        <v>0</v>
      </c>
      <c r="CJ97" s="319">
        <v>38846</v>
      </c>
      <c r="CK97" s="217">
        <v>129</v>
      </c>
      <c r="CL97" s="211">
        <v>11.668000000000001</v>
      </c>
      <c r="CM97" s="258">
        <v>0.4</v>
      </c>
      <c r="CN97" s="173"/>
      <c r="CO97" s="173"/>
      <c r="CP97" s="173"/>
      <c r="CQ97" s="173"/>
      <c r="CR97" s="173"/>
      <c r="CS97" s="173"/>
      <c r="CT97" s="173"/>
      <c r="CU97" s="173"/>
    </row>
    <row r="98" spans="1:99" s="4" customFormat="1">
      <c r="A98" s="16" t="s">
        <v>34</v>
      </c>
      <c r="B98" s="21"/>
      <c r="C98" s="22"/>
      <c r="D98" s="265"/>
      <c r="E98" s="266"/>
      <c r="F98" s="266"/>
      <c r="G98" s="266"/>
      <c r="H98" s="267"/>
      <c r="I98" s="268"/>
      <c r="J98" s="269"/>
      <c r="K98" s="290"/>
      <c r="L98" s="265"/>
      <c r="M98" s="266"/>
      <c r="N98" s="266"/>
      <c r="O98" s="266"/>
      <c r="P98" s="271"/>
      <c r="Q98" s="268"/>
      <c r="R98" s="269"/>
      <c r="S98" s="290"/>
      <c r="T98" s="265"/>
      <c r="U98" s="266"/>
      <c r="V98" s="266"/>
      <c r="W98" s="266"/>
      <c r="X98" s="271"/>
      <c r="Y98" s="268"/>
      <c r="Z98" s="269"/>
      <c r="AA98" s="290"/>
      <c r="AB98" s="265"/>
      <c r="AC98" s="266"/>
      <c r="AD98" s="266"/>
      <c r="AE98" s="266"/>
      <c r="AF98" s="271"/>
      <c r="AG98" s="268"/>
      <c r="AH98" s="269"/>
      <c r="AI98" s="290"/>
      <c r="AJ98" s="265"/>
      <c r="AK98" s="266"/>
      <c r="AL98" s="266"/>
      <c r="AM98" s="266"/>
      <c r="AN98" s="271"/>
      <c r="AO98" s="268"/>
      <c r="AP98" s="269"/>
      <c r="AQ98" s="290"/>
      <c r="AR98" s="272"/>
      <c r="AS98" s="268"/>
      <c r="AT98" s="268"/>
      <c r="AU98" s="268"/>
      <c r="AV98" s="273"/>
      <c r="AW98" s="268"/>
      <c r="AX98" s="269"/>
      <c r="AY98" s="45"/>
      <c r="AZ98" s="19">
        <f t="shared" si="6"/>
        <v>0</v>
      </c>
      <c r="BA98" s="227">
        <f t="shared" si="4"/>
        <v>3</v>
      </c>
      <c r="BB98" s="173"/>
      <c r="BC98" s="173"/>
      <c r="BD98" s="173"/>
      <c r="BE98" s="173"/>
      <c r="BF98" s="173"/>
      <c r="BG98" s="173"/>
      <c r="BH98" s="173"/>
      <c r="BI98" s="173"/>
      <c r="BJ98" s="173"/>
      <c r="BK98" s="173"/>
      <c r="BL98" s="173"/>
      <c r="BM98" s="173"/>
      <c r="BN98" s="173"/>
      <c r="BO98" s="324">
        <f t="shared" si="5"/>
        <v>184</v>
      </c>
      <c r="BP98" s="319"/>
      <c r="BQ98" s="324">
        <v>172</v>
      </c>
      <c r="BR98" s="358"/>
      <c r="BS98" s="358">
        <v>3</v>
      </c>
      <c r="BT98" s="319"/>
      <c r="BU98" s="324">
        <v>307</v>
      </c>
      <c r="BV98" s="358">
        <v>41.698999999999998</v>
      </c>
      <c r="BW98" s="358">
        <v>8</v>
      </c>
      <c r="BX98" s="319"/>
      <c r="BY98" s="217"/>
      <c r="BZ98" s="219"/>
      <c r="CA98" s="262"/>
      <c r="CB98" s="218">
        <v>39575</v>
      </c>
      <c r="CC98" s="217">
        <v>128</v>
      </c>
      <c r="CD98" s="219">
        <v>9.6399999999999988</v>
      </c>
      <c r="CE98" s="217">
        <v>0.2</v>
      </c>
      <c r="CF98" s="220">
        <v>39206</v>
      </c>
      <c r="CG98" s="217">
        <v>124</v>
      </c>
      <c r="CH98" s="211">
        <v>8.9599999999999991</v>
      </c>
      <c r="CI98" s="262">
        <v>0</v>
      </c>
      <c r="CJ98" s="319">
        <v>38847</v>
      </c>
      <c r="CK98" s="217">
        <v>130</v>
      </c>
      <c r="CL98" s="211">
        <v>12.195999999999998</v>
      </c>
      <c r="CM98" s="258">
        <v>0.6</v>
      </c>
      <c r="CN98" s="173"/>
      <c r="CO98" s="173"/>
      <c r="CP98" s="173"/>
      <c r="CQ98" s="173"/>
      <c r="CR98" s="173"/>
      <c r="CS98" s="173"/>
      <c r="CT98" s="173"/>
      <c r="CU98" s="173"/>
    </row>
    <row r="99" spans="1:99" s="4" customFormat="1">
      <c r="A99" s="16" t="s">
        <v>34</v>
      </c>
      <c r="B99" s="21"/>
      <c r="C99" s="22"/>
      <c r="D99" s="265"/>
      <c r="E99" s="266"/>
      <c r="F99" s="266"/>
      <c r="G99" s="266"/>
      <c r="H99" s="267"/>
      <c r="I99" s="268"/>
      <c r="J99" s="269"/>
      <c r="K99" s="290"/>
      <c r="L99" s="265"/>
      <c r="M99" s="266"/>
      <c r="N99" s="266"/>
      <c r="O99" s="266"/>
      <c r="P99" s="271"/>
      <c r="Q99" s="268"/>
      <c r="R99" s="269"/>
      <c r="S99" s="290"/>
      <c r="T99" s="265"/>
      <c r="U99" s="266"/>
      <c r="V99" s="266"/>
      <c r="W99" s="266"/>
      <c r="X99" s="271"/>
      <c r="Y99" s="268"/>
      <c r="Z99" s="269"/>
      <c r="AA99" s="290"/>
      <c r="AB99" s="265"/>
      <c r="AC99" s="266"/>
      <c r="AD99" s="266"/>
      <c r="AE99" s="266"/>
      <c r="AF99" s="271"/>
      <c r="AG99" s="268"/>
      <c r="AH99" s="269"/>
      <c r="AI99" s="290"/>
      <c r="AJ99" s="265"/>
      <c r="AK99" s="266"/>
      <c r="AL99" s="266"/>
      <c r="AM99" s="266"/>
      <c r="AN99" s="271"/>
      <c r="AO99" s="268"/>
      <c r="AP99" s="269"/>
      <c r="AQ99" s="290"/>
      <c r="AR99" s="272"/>
      <c r="AS99" s="268"/>
      <c r="AT99" s="268"/>
      <c r="AU99" s="268"/>
      <c r="AV99" s="273"/>
      <c r="AW99" s="268"/>
      <c r="AX99" s="269"/>
      <c r="AY99" s="45"/>
      <c r="AZ99" s="19">
        <f t="shared" si="6"/>
        <v>0</v>
      </c>
      <c r="BA99" s="227">
        <f t="shared" si="4"/>
        <v>3</v>
      </c>
      <c r="BB99" s="173"/>
      <c r="BC99" s="173"/>
      <c r="BD99" s="173"/>
      <c r="BE99" s="173"/>
      <c r="BF99" s="173"/>
      <c r="BG99" s="173"/>
      <c r="BH99" s="173"/>
      <c r="BI99" s="173"/>
      <c r="BJ99" s="173"/>
      <c r="BK99" s="173"/>
      <c r="BL99" s="173"/>
      <c r="BM99" s="173"/>
      <c r="BN99" s="173"/>
      <c r="BO99" s="324">
        <f t="shared" si="5"/>
        <v>184</v>
      </c>
      <c r="BP99" s="319"/>
      <c r="BQ99" s="324">
        <v>172</v>
      </c>
      <c r="BR99" s="358"/>
      <c r="BS99" s="358">
        <v>3</v>
      </c>
      <c r="BT99" s="319"/>
      <c r="BU99" s="324">
        <v>307</v>
      </c>
      <c r="BV99" s="358">
        <v>41.698999999999998</v>
      </c>
      <c r="BW99" s="358">
        <v>8</v>
      </c>
      <c r="BX99" s="319"/>
      <c r="BY99" s="217"/>
      <c r="BZ99" s="219"/>
      <c r="CA99" s="262"/>
      <c r="CB99" s="218">
        <v>39577</v>
      </c>
      <c r="CC99" s="217">
        <v>130</v>
      </c>
      <c r="CD99" s="219">
        <v>12.600000000000001</v>
      </c>
      <c r="CE99" s="217">
        <v>0.4</v>
      </c>
      <c r="CF99" s="220">
        <v>39209</v>
      </c>
      <c r="CG99" s="217">
        <v>127</v>
      </c>
      <c r="CH99" s="211">
        <v>9.7119999999999997</v>
      </c>
      <c r="CI99" s="262">
        <v>0.2</v>
      </c>
      <c r="CJ99" s="319">
        <v>38848</v>
      </c>
      <c r="CK99" s="217">
        <v>131</v>
      </c>
      <c r="CL99" s="211">
        <v>14.52</v>
      </c>
      <c r="CM99" s="258">
        <v>0.6</v>
      </c>
      <c r="CN99" s="173"/>
      <c r="CO99" s="173"/>
      <c r="CP99" s="173"/>
      <c r="CQ99" s="173"/>
      <c r="CR99" s="173"/>
      <c r="CS99" s="173"/>
      <c r="CT99" s="173"/>
      <c r="CU99" s="173"/>
    </row>
    <row r="100" spans="1:99" s="4" customFormat="1">
      <c r="A100" s="16" t="s">
        <v>34</v>
      </c>
      <c r="B100" s="21"/>
      <c r="C100" s="22"/>
      <c r="D100" s="265"/>
      <c r="E100" s="266"/>
      <c r="F100" s="266"/>
      <c r="G100" s="266"/>
      <c r="H100" s="267"/>
      <c r="I100" s="268"/>
      <c r="J100" s="269"/>
      <c r="K100" s="290"/>
      <c r="L100" s="265"/>
      <c r="M100" s="266"/>
      <c r="N100" s="266"/>
      <c r="O100" s="266"/>
      <c r="P100" s="271"/>
      <c r="Q100" s="268"/>
      <c r="R100" s="269"/>
      <c r="S100" s="290"/>
      <c r="T100" s="265"/>
      <c r="U100" s="266"/>
      <c r="V100" s="266"/>
      <c r="W100" s="266"/>
      <c r="X100" s="271"/>
      <c r="Y100" s="268"/>
      <c r="Z100" s="269"/>
      <c r="AA100" s="290"/>
      <c r="AB100" s="265"/>
      <c r="AC100" s="266"/>
      <c r="AD100" s="266"/>
      <c r="AE100" s="266"/>
      <c r="AF100" s="271"/>
      <c r="AG100" s="268"/>
      <c r="AH100" s="269"/>
      <c r="AI100" s="290"/>
      <c r="AJ100" s="265"/>
      <c r="AK100" s="266"/>
      <c r="AL100" s="266"/>
      <c r="AM100" s="266"/>
      <c r="AN100" s="271"/>
      <c r="AO100" s="268"/>
      <c r="AP100" s="269"/>
      <c r="AQ100" s="290"/>
      <c r="AR100" s="272"/>
      <c r="AS100" s="268"/>
      <c r="AT100" s="268"/>
      <c r="AU100" s="268"/>
      <c r="AV100" s="273"/>
      <c r="AW100" s="268"/>
      <c r="AX100" s="269"/>
      <c r="AY100" s="45"/>
      <c r="AZ100" s="19">
        <f t="shared" si="6"/>
        <v>0</v>
      </c>
      <c r="BA100" s="227">
        <f t="shared" si="4"/>
        <v>3</v>
      </c>
      <c r="BB100" s="173"/>
      <c r="BC100" s="173"/>
      <c r="BD100" s="173"/>
      <c r="BE100" s="173"/>
      <c r="BF100" s="173"/>
      <c r="BG100" s="173"/>
      <c r="BH100" s="173"/>
      <c r="BI100" s="173"/>
      <c r="BJ100" s="173"/>
      <c r="BK100" s="173"/>
      <c r="BL100" s="173"/>
      <c r="BM100" s="173"/>
      <c r="BN100" s="173"/>
      <c r="BO100" s="324">
        <f t="shared" si="5"/>
        <v>184</v>
      </c>
      <c r="BP100" s="319"/>
      <c r="BQ100" s="324">
        <v>172</v>
      </c>
      <c r="BR100" s="358"/>
      <c r="BS100" s="358">
        <v>3</v>
      </c>
      <c r="BT100" s="319"/>
      <c r="BU100" s="324">
        <v>307</v>
      </c>
      <c r="BV100" s="358">
        <v>41.698999999999998</v>
      </c>
      <c r="BW100" s="358">
        <v>8</v>
      </c>
      <c r="BX100" s="319"/>
      <c r="BY100" s="217"/>
      <c r="BZ100" s="219"/>
      <c r="CA100" s="262"/>
      <c r="CB100" s="218">
        <v>39579</v>
      </c>
      <c r="CC100" s="217">
        <v>132</v>
      </c>
      <c r="CD100" s="219">
        <v>16.984000000000002</v>
      </c>
      <c r="CE100" s="217">
        <v>1.2</v>
      </c>
      <c r="CF100" s="220">
        <v>39210</v>
      </c>
      <c r="CG100" s="217">
        <v>128</v>
      </c>
      <c r="CH100" s="211">
        <v>10.411999999999999</v>
      </c>
      <c r="CI100" s="262">
        <v>0.2</v>
      </c>
      <c r="CJ100" s="319">
        <v>38849</v>
      </c>
      <c r="CK100" s="217">
        <v>132</v>
      </c>
      <c r="CL100" s="211">
        <v>15.696000000000002</v>
      </c>
      <c r="CM100" s="258">
        <v>1.2</v>
      </c>
      <c r="CN100" s="173"/>
      <c r="CO100" s="173"/>
      <c r="CP100" s="173"/>
      <c r="CQ100" s="173"/>
      <c r="CR100" s="173"/>
      <c r="CS100" s="173"/>
      <c r="CT100" s="173"/>
      <c r="CU100" s="173"/>
    </row>
    <row r="101" spans="1:99" s="4" customFormat="1">
      <c r="A101" s="16" t="s">
        <v>34</v>
      </c>
      <c r="B101" s="21"/>
      <c r="C101" s="22"/>
      <c r="D101" s="265"/>
      <c r="E101" s="266"/>
      <c r="F101" s="266"/>
      <c r="G101" s="266"/>
      <c r="H101" s="267"/>
      <c r="I101" s="268"/>
      <c r="J101" s="269"/>
      <c r="K101" s="290"/>
      <c r="L101" s="265"/>
      <c r="M101" s="266"/>
      <c r="N101" s="266"/>
      <c r="O101" s="266"/>
      <c r="P101" s="271"/>
      <c r="Q101" s="268"/>
      <c r="R101" s="269"/>
      <c r="S101" s="290"/>
      <c r="T101" s="265"/>
      <c r="U101" s="266"/>
      <c r="V101" s="266"/>
      <c r="W101" s="266"/>
      <c r="X101" s="271"/>
      <c r="Y101" s="268"/>
      <c r="Z101" s="269"/>
      <c r="AA101" s="290"/>
      <c r="AB101" s="265"/>
      <c r="AC101" s="266"/>
      <c r="AD101" s="266"/>
      <c r="AE101" s="266"/>
      <c r="AF101" s="271"/>
      <c r="AG101" s="268"/>
      <c r="AH101" s="269"/>
      <c r="AI101" s="290"/>
      <c r="AJ101" s="265"/>
      <c r="AK101" s="266"/>
      <c r="AL101" s="266"/>
      <c r="AM101" s="266"/>
      <c r="AN101" s="271"/>
      <c r="AO101" s="268"/>
      <c r="AP101" s="269"/>
      <c r="AQ101" s="290"/>
      <c r="AR101" s="272"/>
      <c r="AS101" s="268"/>
      <c r="AT101" s="268"/>
      <c r="AU101" s="268"/>
      <c r="AV101" s="273"/>
      <c r="AW101" s="268"/>
      <c r="AX101" s="269"/>
      <c r="AY101" s="45"/>
      <c r="AZ101" s="19">
        <f t="shared" si="6"/>
        <v>0</v>
      </c>
      <c r="BA101" s="227">
        <f t="shared" si="4"/>
        <v>3</v>
      </c>
      <c r="BB101" s="173"/>
      <c r="BC101" s="173"/>
      <c r="BD101" s="173"/>
      <c r="BE101" s="173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324">
        <f t="shared" si="5"/>
        <v>184</v>
      </c>
      <c r="BP101" s="319"/>
      <c r="BQ101" s="324">
        <v>172</v>
      </c>
      <c r="BR101" s="358"/>
      <c r="BS101" s="358">
        <v>3</v>
      </c>
      <c r="BT101" s="319"/>
      <c r="BU101" s="324">
        <v>307</v>
      </c>
      <c r="BV101" s="358">
        <v>41.698999999999998</v>
      </c>
      <c r="BW101" s="358">
        <v>8</v>
      </c>
      <c r="BX101" s="319"/>
      <c r="BY101" s="217"/>
      <c r="BZ101" s="219"/>
      <c r="CA101" s="262"/>
      <c r="CB101" s="218">
        <v>39580</v>
      </c>
      <c r="CC101" s="217">
        <v>133</v>
      </c>
      <c r="CD101" s="219">
        <v>18.475999999999999</v>
      </c>
      <c r="CE101" s="217">
        <v>1.6</v>
      </c>
      <c r="CF101" s="220">
        <v>39212</v>
      </c>
      <c r="CG101" s="217">
        <v>130</v>
      </c>
      <c r="CH101" s="211">
        <v>11.060000000000002</v>
      </c>
      <c r="CI101" s="262">
        <v>0.2</v>
      </c>
      <c r="CJ101" s="319">
        <v>38851</v>
      </c>
      <c r="CK101" s="217">
        <v>134</v>
      </c>
      <c r="CL101" s="211">
        <v>17.352</v>
      </c>
      <c r="CM101" s="258">
        <v>1.2</v>
      </c>
      <c r="CN101" s="173"/>
      <c r="CO101" s="173"/>
      <c r="CP101" s="173"/>
      <c r="CQ101" s="173"/>
      <c r="CR101" s="173"/>
      <c r="CS101" s="173"/>
      <c r="CT101" s="173"/>
      <c r="CU101" s="173"/>
    </row>
    <row r="102" spans="1:99" s="4" customFormat="1">
      <c r="A102" s="16" t="s">
        <v>34</v>
      </c>
      <c r="B102" s="21"/>
      <c r="C102" s="22"/>
      <c r="D102" s="265"/>
      <c r="E102" s="266"/>
      <c r="F102" s="266"/>
      <c r="G102" s="266"/>
      <c r="H102" s="267"/>
      <c r="I102" s="268"/>
      <c r="J102" s="269"/>
      <c r="K102" s="290"/>
      <c r="L102" s="265"/>
      <c r="M102" s="266"/>
      <c r="N102" s="266"/>
      <c r="O102" s="266"/>
      <c r="P102" s="271"/>
      <c r="Q102" s="268"/>
      <c r="R102" s="269"/>
      <c r="S102" s="290"/>
      <c r="T102" s="265"/>
      <c r="U102" s="266"/>
      <c r="V102" s="266"/>
      <c r="W102" s="266"/>
      <c r="X102" s="271"/>
      <c r="Y102" s="268"/>
      <c r="Z102" s="269"/>
      <c r="AA102" s="290"/>
      <c r="AB102" s="265"/>
      <c r="AC102" s="266"/>
      <c r="AD102" s="266"/>
      <c r="AE102" s="266"/>
      <c r="AF102" s="271"/>
      <c r="AG102" s="268"/>
      <c r="AH102" s="269"/>
      <c r="AI102" s="290"/>
      <c r="AJ102" s="265"/>
      <c r="AK102" s="266"/>
      <c r="AL102" s="266"/>
      <c r="AM102" s="266"/>
      <c r="AN102" s="271"/>
      <c r="AO102" s="268"/>
      <c r="AP102" s="269"/>
      <c r="AQ102" s="290"/>
      <c r="AR102" s="272"/>
      <c r="AS102" s="268"/>
      <c r="AT102" s="268"/>
      <c r="AU102" s="268"/>
      <c r="AV102" s="273"/>
      <c r="AW102" s="268"/>
      <c r="AX102" s="269"/>
      <c r="AY102" s="45"/>
      <c r="AZ102" s="19">
        <f t="shared" si="6"/>
        <v>0</v>
      </c>
      <c r="BA102" s="227">
        <f t="shared" si="4"/>
        <v>3</v>
      </c>
      <c r="BB102" s="173"/>
      <c r="BC102" s="173"/>
      <c r="BD102" s="173"/>
      <c r="BE102" s="173"/>
      <c r="BF102" s="173"/>
      <c r="BG102" s="173"/>
      <c r="BH102" s="173"/>
      <c r="BI102" s="173"/>
      <c r="BJ102" s="173"/>
      <c r="BK102" s="173"/>
      <c r="BL102" s="173"/>
      <c r="BM102" s="173"/>
      <c r="BN102" s="173"/>
      <c r="BO102" s="324">
        <f t="shared" si="5"/>
        <v>184</v>
      </c>
      <c r="BP102" s="319"/>
      <c r="BQ102" s="324">
        <v>172</v>
      </c>
      <c r="BR102" s="358"/>
      <c r="BS102" s="358">
        <v>3</v>
      </c>
      <c r="BT102" s="319"/>
      <c r="BU102" s="324">
        <v>307</v>
      </c>
      <c r="BV102" s="358">
        <v>41.698999999999998</v>
      </c>
      <c r="BW102" s="358">
        <v>8</v>
      </c>
      <c r="BX102" s="319"/>
      <c r="BY102" s="217"/>
      <c r="BZ102" s="219"/>
      <c r="CA102" s="262"/>
      <c r="CB102" s="218">
        <v>39581</v>
      </c>
      <c r="CC102" s="217">
        <v>134</v>
      </c>
      <c r="CD102" s="219">
        <v>18.956</v>
      </c>
      <c r="CE102" s="217">
        <v>1.6</v>
      </c>
      <c r="CF102" s="220">
        <v>39213</v>
      </c>
      <c r="CG102" s="217">
        <v>131</v>
      </c>
      <c r="CH102" s="211">
        <v>11.907999999999999</v>
      </c>
      <c r="CI102" s="262">
        <v>0.4</v>
      </c>
      <c r="CJ102" s="319">
        <v>38852</v>
      </c>
      <c r="CK102" s="217">
        <v>135</v>
      </c>
      <c r="CL102" s="211">
        <v>17.864000000000001</v>
      </c>
      <c r="CM102" s="258">
        <v>1.4</v>
      </c>
      <c r="CN102" s="173"/>
      <c r="CO102" s="173"/>
      <c r="CP102" s="173"/>
      <c r="CQ102" s="173"/>
      <c r="CR102" s="173"/>
      <c r="CS102" s="173"/>
      <c r="CT102" s="173"/>
      <c r="CU102" s="173"/>
    </row>
    <row r="103" spans="1:99" s="4" customFormat="1">
      <c r="A103" s="16" t="s">
        <v>34</v>
      </c>
      <c r="B103" s="21"/>
      <c r="C103" s="22"/>
      <c r="D103" s="265"/>
      <c r="E103" s="266"/>
      <c r="F103" s="266"/>
      <c r="G103" s="266"/>
      <c r="H103" s="267"/>
      <c r="I103" s="268"/>
      <c r="J103" s="269"/>
      <c r="K103" s="290"/>
      <c r="L103" s="265"/>
      <c r="M103" s="266"/>
      <c r="N103" s="266"/>
      <c r="O103" s="266"/>
      <c r="P103" s="271"/>
      <c r="Q103" s="268"/>
      <c r="R103" s="269"/>
      <c r="S103" s="290"/>
      <c r="T103" s="265"/>
      <c r="U103" s="266"/>
      <c r="V103" s="266"/>
      <c r="W103" s="266"/>
      <c r="X103" s="271"/>
      <c r="Y103" s="268"/>
      <c r="Z103" s="269"/>
      <c r="AA103" s="290"/>
      <c r="AB103" s="265"/>
      <c r="AC103" s="266"/>
      <c r="AD103" s="266"/>
      <c r="AE103" s="266"/>
      <c r="AF103" s="271"/>
      <c r="AG103" s="268"/>
      <c r="AH103" s="269"/>
      <c r="AI103" s="290"/>
      <c r="AJ103" s="265"/>
      <c r="AK103" s="266"/>
      <c r="AL103" s="266"/>
      <c r="AM103" s="266"/>
      <c r="AN103" s="271"/>
      <c r="AO103" s="268"/>
      <c r="AP103" s="269"/>
      <c r="AQ103" s="290"/>
      <c r="AR103" s="272"/>
      <c r="AS103" s="268"/>
      <c r="AT103" s="268"/>
      <c r="AU103" s="268"/>
      <c r="AV103" s="273"/>
      <c r="AW103" s="268"/>
      <c r="AX103" s="269"/>
      <c r="AY103" s="45"/>
      <c r="AZ103" s="19">
        <f t="shared" si="6"/>
        <v>0</v>
      </c>
      <c r="BA103" s="227">
        <f t="shared" si="4"/>
        <v>3</v>
      </c>
      <c r="BB103" s="173"/>
      <c r="BC103" s="173"/>
      <c r="BD103" s="173"/>
      <c r="BE103" s="173"/>
      <c r="BF103" s="173"/>
      <c r="BG103" s="173"/>
      <c r="BH103" s="173"/>
      <c r="BI103" s="173"/>
      <c r="BJ103" s="173"/>
      <c r="BK103" s="173"/>
      <c r="BL103" s="173"/>
      <c r="BM103" s="173"/>
      <c r="BN103" s="173"/>
      <c r="BO103" s="324">
        <f t="shared" si="5"/>
        <v>184</v>
      </c>
      <c r="BP103" s="319"/>
      <c r="BQ103" s="324">
        <v>172</v>
      </c>
      <c r="BR103" s="358"/>
      <c r="BS103" s="358">
        <v>3</v>
      </c>
      <c r="BT103" s="319"/>
      <c r="BU103" s="324">
        <v>307</v>
      </c>
      <c r="BV103" s="358">
        <v>41.698999999999998</v>
      </c>
      <c r="BW103" s="358">
        <v>8</v>
      </c>
      <c r="BX103" s="319"/>
      <c r="BY103" s="217"/>
      <c r="BZ103" s="219"/>
      <c r="CA103" s="262"/>
      <c r="CB103" s="218">
        <v>39582</v>
      </c>
      <c r="CC103" s="217">
        <v>135</v>
      </c>
      <c r="CD103" s="219">
        <v>19.667999999999999</v>
      </c>
      <c r="CE103" s="217">
        <v>1.6</v>
      </c>
      <c r="CF103" s="220">
        <v>39216</v>
      </c>
      <c r="CG103" s="217">
        <v>134</v>
      </c>
      <c r="CH103" s="211">
        <v>13.172000000000001</v>
      </c>
      <c r="CI103" s="262">
        <v>0.4</v>
      </c>
      <c r="CJ103" s="319">
        <v>38853</v>
      </c>
      <c r="CK103" s="217">
        <v>136</v>
      </c>
      <c r="CL103" s="211">
        <v>18.571999999999999</v>
      </c>
      <c r="CM103" s="258">
        <v>1.6</v>
      </c>
      <c r="CN103" s="173"/>
      <c r="CO103" s="173"/>
      <c r="CP103" s="173"/>
      <c r="CQ103" s="173"/>
      <c r="CR103" s="173"/>
      <c r="CS103" s="173"/>
      <c r="CT103" s="173"/>
      <c r="CU103" s="173"/>
    </row>
    <row r="104" spans="1:99" s="4" customFormat="1">
      <c r="A104" s="16" t="s">
        <v>34</v>
      </c>
      <c r="B104" s="21"/>
      <c r="C104" s="22"/>
      <c r="D104" s="265"/>
      <c r="E104" s="266"/>
      <c r="F104" s="266"/>
      <c r="G104" s="266"/>
      <c r="H104" s="267"/>
      <c r="I104" s="268"/>
      <c r="J104" s="269"/>
      <c r="K104" s="290"/>
      <c r="L104" s="265"/>
      <c r="M104" s="266"/>
      <c r="N104" s="266"/>
      <c r="O104" s="266"/>
      <c r="P104" s="271"/>
      <c r="Q104" s="268"/>
      <c r="R104" s="269"/>
      <c r="S104" s="290"/>
      <c r="T104" s="265"/>
      <c r="U104" s="266"/>
      <c r="V104" s="266"/>
      <c r="W104" s="266"/>
      <c r="X104" s="271"/>
      <c r="Y104" s="268"/>
      <c r="Z104" s="269"/>
      <c r="AA104" s="290"/>
      <c r="AB104" s="265"/>
      <c r="AC104" s="266"/>
      <c r="AD104" s="266"/>
      <c r="AE104" s="266"/>
      <c r="AF104" s="271"/>
      <c r="AG104" s="268"/>
      <c r="AH104" s="269"/>
      <c r="AI104" s="290"/>
      <c r="AJ104" s="265"/>
      <c r="AK104" s="266"/>
      <c r="AL104" s="266"/>
      <c r="AM104" s="266"/>
      <c r="AN104" s="271"/>
      <c r="AO104" s="268"/>
      <c r="AP104" s="269"/>
      <c r="AQ104" s="290"/>
      <c r="AR104" s="272"/>
      <c r="AS104" s="268"/>
      <c r="AT104" s="268"/>
      <c r="AU104" s="268"/>
      <c r="AV104" s="273"/>
      <c r="AW104" s="268"/>
      <c r="AX104" s="269"/>
      <c r="AY104" s="45"/>
      <c r="AZ104" s="19">
        <f t="shared" si="6"/>
        <v>0</v>
      </c>
      <c r="BA104" s="227">
        <f t="shared" si="4"/>
        <v>3</v>
      </c>
      <c r="BB104" s="173"/>
      <c r="BC104" s="173"/>
      <c r="BD104" s="173"/>
      <c r="BE104" s="173"/>
      <c r="BF104" s="173"/>
      <c r="BG104" s="173"/>
      <c r="BH104" s="173"/>
      <c r="BI104" s="173"/>
      <c r="BJ104" s="173"/>
      <c r="BK104" s="173"/>
      <c r="BL104" s="173"/>
      <c r="BM104" s="173"/>
      <c r="BN104" s="173"/>
      <c r="BO104" s="324">
        <f t="shared" si="5"/>
        <v>184</v>
      </c>
      <c r="BP104" s="319"/>
      <c r="BQ104" s="324">
        <v>172</v>
      </c>
      <c r="BR104" s="358"/>
      <c r="BS104" s="358">
        <v>3</v>
      </c>
      <c r="BT104" s="319"/>
      <c r="BU104" s="324">
        <v>307</v>
      </c>
      <c r="BV104" s="358">
        <v>41.698999999999998</v>
      </c>
      <c r="BW104" s="358">
        <v>8</v>
      </c>
      <c r="BX104" s="319"/>
      <c r="BY104" s="217"/>
      <c r="BZ104" s="219"/>
      <c r="CA104" s="262"/>
      <c r="CB104" s="218">
        <v>39583</v>
      </c>
      <c r="CC104" s="217">
        <v>136</v>
      </c>
      <c r="CD104" s="219">
        <v>20.080000000000002</v>
      </c>
      <c r="CE104" s="217">
        <v>2</v>
      </c>
      <c r="CF104" s="220">
        <v>39218</v>
      </c>
      <c r="CG104" s="217">
        <v>136</v>
      </c>
      <c r="CH104" s="211">
        <v>14.756</v>
      </c>
      <c r="CI104" s="262">
        <v>0.4</v>
      </c>
      <c r="CJ104" s="319">
        <v>38854</v>
      </c>
      <c r="CK104" s="217">
        <v>137</v>
      </c>
      <c r="CL104" s="211">
        <v>18.604000000000003</v>
      </c>
      <c r="CM104" s="258">
        <v>1.6</v>
      </c>
      <c r="CN104" s="173"/>
      <c r="CO104" s="173"/>
      <c r="CP104" s="173"/>
      <c r="CQ104" s="173"/>
      <c r="CR104" s="173"/>
      <c r="CS104" s="173"/>
      <c r="CT104" s="173"/>
      <c r="CU104" s="173"/>
    </row>
    <row r="105" spans="1:99" s="4" customFormat="1">
      <c r="A105" s="16" t="s">
        <v>34</v>
      </c>
      <c r="B105" s="21"/>
      <c r="C105" s="22"/>
      <c r="D105" s="265"/>
      <c r="E105" s="266"/>
      <c r="F105" s="266"/>
      <c r="G105" s="266"/>
      <c r="H105" s="267"/>
      <c r="I105" s="268"/>
      <c r="J105" s="269"/>
      <c r="K105" s="290"/>
      <c r="L105" s="265"/>
      <c r="M105" s="266"/>
      <c r="N105" s="266"/>
      <c r="O105" s="266"/>
      <c r="P105" s="271"/>
      <c r="Q105" s="268"/>
      <c r="R105" s="269"/>
      <c r="S105" s="290"/>
      <c r="T105" s="265"/>
      <c r="U105" s="266"/>
      <c r="V105" s="266"/>
      <c r="W105" s="266"/>
      <c r="X105" s="271"/>
      <c r="Y105" s="268"/>
      <c r="Z105" s="269"/>
      <c r="AA105" s="290"/>
      <c r="AB105" s="265"/>
      <c r="AC105" s="266"/>
      <c r="AD105" s="266"/>
      <c r="AE105" s="266"/>
      <c r="AF105" s="271"/>
      <c r="AG105" s="268"/>
      <c r="AH105" s="269"/>
      <c r="AI105" s="290"/>
      <c r="AJ105" s="265"/>
      <c r="AK105" s="266"/>
      <c r="AL105" s="266"/>
      <c r="AM105" s="266"/>
      <c r="AN105" s="271"/>
      <c r="AO105" s="268"/>
      <c r="AP105" s="269"/>
      <c r="AQ105" s="290"/>
      <c r="AR105" s="272"/>
      <c r="AS105" s="268"/>
      <c r="AT105" s="268"/>
      <c r="AU105" s="268"/>
      <c r="AV105" s="273"/>
      <c r="AW105" s="268"/>
      <c r="AX105" s="269"/>
      <c r="AY105" s="45"/>
      <c r="AZ105" s="19">
        <f t="shared" si="6"/>
        <v>0</v>
      </c>
      <c r="BA105" s="227">
        <f t="shared" si="4"/>
        <v>3</v>
      </c>
      <c r="BB105" s="173"/>
      <c r="BC105" s="173"/>
      <c r="BD105" s="173"/>
      <c r="BE105" s="173"/>
      <c r="BF105" s="173"/>
      <c r="BG105" s="173"/>
      <c r="BH105" s="173"/>
      <c r="BI105" s="173"/>
      <c r="BJ105" s="173"/>
      <c r="BK105" s="173"/>
      <c r="BL105" s="173"/>
      <c r="BM105" s="173"/>
      <c r="BN105" s="173"/>
      <c r="BO105" s="324">
        <f t="shared" si="5"/>
        <v>184</v>
      </c>
      <c r="BP105" s="319"/>
      <c r="BQ105" s="324">
        <v>172</v>
      </c>
      <c r="BR105" s="358"/>
      <c r="BS105" s="358">
        <v>3</v>
      </c>
      <c r="BT105" s="319"/>
      <c r="BU105" s="324">
        <v>307</v>
      </c>
      <c r="BV105" s="358">
        <v>41.698999999999998</v>
      </c>
      <c r="BW105" s="358">
        <v>8</v>
      </c>
      <c r="BX105" s="319"/>
      <c r="BY105" s="217"/>
      <c r="BZ105" s="219"/>
      <c r="CA105" s="262"/>
      <c r="CB105" s="218">
        <v>39587</v>
      </c>
      <c r="CC105" s="217">
        <v>140</v>
      </c>
      <c r="CD105" s="219">
        <v>21.651999999999997</v>
      </c>
      <c r="CE105" s="217">
        <v>2.2000000000000002</v>
      </c>
      <c r="CF105" s="220">
        <v>39221</v>
      </c>
      <c r="CG105" s="217">
        <v>139</v>
      </c>
      <c r="CH105" s="211">
        <v>17.983999999999998</v>
      </c>
      <c r="CI105" s="262">
        <v>0.8</v>
      </c>
      <c r="CJ105" s="319">
        <v>38856</v>
      </c>
      <c r="CK105" s="217">
        <v>139</v>
      </c>
      <c r="CL105" s="211">
        <v>19.791999999999998</v>
      </c>
      <c r="CM105" s="258">
        <v>1.8</v>
      </c>
      <c r="CN105" s="173"/>
      <c r="CO105" s="173"/>
      <c r="CP105" s="173"/>
      <c r="CQ105" s="173"/>
      <c r="CR105" s="173"/>
      <c r="CS105" s="173"/>
      <c r="CT105" s="173"/>
      <c r="CU105" s="173"/>
    </row>
    <row r="106" spans="1:99" s="4" customFormat="1">
      <c r="A106" s="16" t="s">
        <v>34</v>
      </c>
      <c r="B106" s="21"/>
      <c r="C106" s="22"/>
      <c r="D106" s="265"/>
      <c r="E106" s="266"/>
      <c r="F106" s="266"/>
      <c r="G106" s="266"/>
      <c r="H106" s="267"/>
      <c r="I106" s="268"/>
      <c r="J106" s="269"/>
      <c r="K106" s="290"/>
      <c r="L106" s="265"/>
      <c r="M106" s="266"/>
      <c r="N106" s="266"/>
      <c r="O106" s="266"/>
      <c r="P106" s="271"/>
      <c r="Q106" s="268"/>
      <c r="R106" s="269"/>
      <c r="S106" s="290"/>
      <c r="T106" s="265"/>
      <c r="U106" s="266"/>
      <c r="V106" s="266"/>
      <c r="W106" s="266"/>
      <c r="X106" s="271"/>
      <c r="Y106" s="268"/>
      <c r="Z106" s="269"/>
      <c r="AA106" s="290"/>
      <c r="AB106" s="265"/>
      <c r="AC106" s="266"/>
      <c r="AD106" s="266"/>
      <c r="AE106" s="266"/>
      <c r="AF106" s="271"/>
      <c r="AG106" s="268"/>
      <c r="AH106" s="269"/>
      <c r="AI106" s="290"/>
      <c r="AJ106" s="265"/>
      <c r="AK106" s="266"/>
      <c r="AL106" s="266"/>
      <c r="AM106" s="266"/>
      <c r="AN106" s="271"/>
      <c r="AO106" s="268"/>
      <c r="AP106" s="269"/>
      <c r="AQ106" s="290"/>
      <c r="AR106" s="272"/>
      <c r="AS106" s="268"/>
      <c r="AT106" s="268"/>
      <c r="AU106" s="268"/>
      <c r="AV106" s="273"/>
      <c r="AW106" s="268"/>
      <c r="AX106" s="269"/>
      <c r="AY106" s="45"/>
      <c r="AZ106" s="19">
        <f t="shared" si="6"/>
        <v>0</v>
      </c>
      <c r="BA106" s="227">
        <f t="shared" si="4"/>
        <v>3</v>
      </c>
      <c r="BB106" s="173"/>
      <c r="BC106" s="173"/>
      <c r="BD106" s="173"/>
      <c r="BE106" s="173"/>
      <c r="BF106" s="173"/>
      <c r="BG106" s="173"/>
      <c r="BH106" s="173"/>
      <c r="BI106" s="173"/>
      <c r="BJ106" s="173"/>
      <c r="BK106" s="173"/>
      <c r="BL106" s="173"/>
      <c r="BM106" s="173"/>
      <c r="BN106" s="173"/>
      <c r="BO106" s="324">
        <f t="shared" si="5"/>
        <v>184</v>
      </c>
      <c r="BP106" s="319"/>
      <c r="BQ106" s="324">
        <v>172</v>
      </c>
      <c r="BR106" s="358"/>
      <c r="BS106" s="358">
        <v>3</v>
      </c>
      <c r="BT106" s="319"/>
      <c r="BU106" s="324">
        <v>307</v>
      </c>
      <c r="BV106" s="358">
        <v>41.698999999999998</v>
      </c>
      <c r="BW106" s="358">
        <v>8</v>
      </c>
      <c r="BX106" s="319"/>
      <c r="BY106" s="217"/>
      <c r="BZ106" s="219"/>
      <c r="CA106" s="262"/>
      <c r="CB106" s="218">
        <v>39591</v>
      </c>
      <c r="CC106" s="217">
        <v>144</v>
      </c>
      <c r="CD106" s="219">
        <v>25.556000000000004</v>
      </c>
      <c r="CE106" s="217">
        <v>2.4</v>
      </c>
      <c r="CF106" s="220">
        <v>39223</v>
      </c>
      <c r="CG106" s="217">
        <v>141</v>
      </c>
      <c r="CH106" s="211">
        <v>20.080000000000002</v>
      </c>
      <c r="CI106" s="262">
        <v>1.8</v>
      </c>
      <c r="CJ106" s="319">
        <v>38857</v>
      </c>
      <c r="CK106" s="217">
        <v>140</v>
      </c>
      <c r="CL106" s="211">
        <v>21.868000000000002</v>
      </c>
      <c r="CM106" s="258">
        <v>2</v>
      </c>
      <c r="CN106" s="173"/>
      <c r="CO106" s="173"/>
      <c r="CP106" s="173"/>
      <c r="CQ106" s="173"/>
      <c r="CR106" s="173"/>
      <c r="CS106" s="173"/>
      <c r="CT106" s="173"/>
      <c r="CU106" s="173"/>
    </row>
    <row r="107" spans="1:99" s="4" customFormat="1">
      <c r="A107" s="16" t="s">
        <v>34</v>
      </c>
      <c r="B107" s="21"/>
      <c r="C107" s="22"/>
      <c r="D107" s="265"/>
      <c r="E107" s="266"/>
      <c r="F107" s="266"/>
      <c r="G107" s="266"/>
      <c r="H107" s="267"/>
      <c r="I107" s="268"/>
      <c r="J107" s="269"/>
      <c r="K107" s="290"/>
      <c r="L107" s="265"/>
      <c r="M107" s="266"/>
      <c r="N107" s="266"/>
      <c r="O107" s="266"/>
      <c r="P107" s="271"/>
      <c r="Q107" s="268"/>
      <c r="R107" s="269"/>
      <c r="S107" s="290"/>
      <c r="T107" s="265"/>
      <c r="U107" s="266"/>
      <c r="V107" s="266"/>
      <c r="W107" s="266"/>
      <c r="X107" s="271"/>
      <c r="Y107" s="268"/>
      <c r="Z107" s="269"/>
      <c r="AA107" s="290"/>
      <c r="AB107" s="265"/>
      <c r="AC107" s="266"/>
      <c r="AD107" s="266"/>
      <c r="AE107" s="266"/>
      <c r="AF107" s="271"/>
      <c r="AG107" s="268"/>
      <c r="AH107" s="269"/>
      <c r="AI107" s="290"/>
      <c r="AJ107" s="265"/>
      <c r="AK107" s="266"/>
      <c r="AL107" s="266"/>
      <c r="AM107" s="266"/>
      <c r="AN107" s="271"/>
      <c r="AO107" s="268"/>
      <c r="AP107" s="269"/>
      <c r="AQ107" s="290"/>
      <c r="AR107" s="272"/>
      <c r="AS107" s="268"/>
      <c r="AT107" s="268"/>
      <c r="AU107" s="268"/>
      <c r="AV107" s="273"/>
      <c r="AW107" s="268"/>
      <c r="AX107" s="269"/>
      <c r="AY107" s="45"/>
      <c r="AZ107" s="19">
        <f t="shared" si="6"/>
        <v>0</v>
      </c>
      <c r="BA107" s="227">
        <f t="shared" si="4"/>
        <v>3</v>
      </c>
      <c r="BB107" s="173"/>
      <c r="BC107" s="173"/>
      <c r="BD107" s="173"/>
      <c r="BE107" s="173"/>
      <c r="BF107" s="173"/>
      <c r="BG107" s="173"/>
      <c r="BH107" s="173"/>
      <c r="BI107" s="173"/>
      <c r="BJ107" s="173"/>
      <c r="BK107" s="173"/>
      <c r="BL107" s="173"/>
      <c r="BM107" s="173"/>
      <c r="BN107" s="173"/>
      <c r="BO107" s="324">
        <f t="shared" si="5"/>
        <v>184</v>
      </c>
      <c r="BP107" s="319"/>
      <c r="BQ107" s="324">
        <v>172</v>
      </c>
      <c r="BR107" s="358"/>
      <c r="BS107" s="358">
        <v>3</v>
      </c>
      <c r="BT107" s="319"/>
      <c r="BU107" s="324">
        <v>307</v>
      </c>
      <c r="BV107" s="358">
        <v>41.698999999999998</v>
      </c>
      <c r="BW107" s="358">
        <v>8</v>
      </c>
      <c r="BX107" s="319"/>
      <c r="BY107" s="217"/>
      <c r="BZ107" s="219"/>
      <c r="CA107" s="262"/>
      <c r="CB107" s="218">
        <v>39595</v>
      </c>
      <c r="CC107" s="217">
        <v>148</v>
      </c>
      <c r="CD107" s="219">
        <v>36.911999999999999</v>
      </c>
      <c r="CE107" s="217">
        <v>3</v>
      </c>
      <c r="CF107" s="220">
        <v>39224</v>
      </c>
      <c r="CG107" s="217">
        <v>142</v>
      </c>
      <c r="CH107" s="211">
        <v>23.42</v>
      </c>
      <c r="CI107" s="262">
        <v>2</v>
      </c>
      <c r="CJ107" s="319"/>
      <c r="CK107" s="211"/>
      <c r="CL107" s="211"/>
      <c r="CM107" s="258"/>
      <c r="CN107" s="173"/>
      <c r="CO107" s="173"/>
      <c r="CP107" s="173"/>
      <c r="CQ107" s="173"/>
      <c r="CR107" s="173"/>
      <c r="CS107" s="173"/>
      <c r="CT107" s="173"/>
      <c r="CU107" s="173"/>
    </row>
    <row r="108" spans="1:99" s="4" customFormat="1">
      <c r="A108" s="16" t="s">
        <v>34</v>
      </c>
      <c r="B108" s="21"/>
      <c r="C108" s="22"/>
      <c r="D108" s="265"/>
      <c r="E108" s="266"/>
      <c r="F108" s="266"/>
      <c r="G108" s="266"/>
      <c r="H108" s="267"/>
      <c r="I108" s="268"/>
      <c r="J108" s="269"/>
      <c r="K108" s="290"/>
      <c r="L108" s="265"/>
      <c r="M108" s="266"/>
      <c r="N108" s="266"/>
      <c r="O108" s="266"/>
      <c r="P108" s="271"/>
      <c r="Q108" s="268"/>
      <c r="R108" s="269"/>
      <c r="S108" s="290"/>
      <c r="T108" s="265"/>
      <c r="U108" s="266"/>
      <c r="V108" s="266"/>
      <c r="W108" s="266"/>
      <c r="X108" s="271"/>
      <c r="Y108" s="268"/>
      <c r="Z108" s="269"/>
      <c r="AA108" s="290"/>
      <c r="AB108" s="265"/>
      <c r="AC108" s="266"/>
      <c r="AD108" s="266"/>
      <c r="AE108" s="266"/>
      <c r="AF108" s="271"/>
      <c r="AG108" s="268"/>
      <c r="AH108" s="269"/>
      <c r="AI108" s="290"/>
      <c r="AJ108" s="265"/>
      <c r="AK108" s="266"/>
      <c r="AL108" s="266"/>
      <c r="AM108" s="266"/>
      <c r="AN108" s="271"/>
      <c r="AO108" s="268"/>
      <c r="AP108" s="269"/>
      <c r="AQ108" s="290"/>
      <c r="AR108" s="272"/>
      <c r="AS108" s="268"/>
      <c r="AT108" s="268"/>
      <c r="AU108" s="268"/>
      <c r="AV108" s="273"/>
      <c r="AW108" s="268"/>
      <c r="AX108" s="269"/>
      <c r="AY108" s="45"/>
      <c r="AZ108" s="19">
        <f t="shared" si="6"/>
        <v>0</v>
      </c>
      <c r="BA108" s="227">
        <f t="shared" si="4"/>
        <v>3</v>
      </c>
      <c r="BB108" s="173"/>
      <c r="BC108" s="173"/>
      <c r="BD108" s="173"/>
      <c r="BE108" s="173"/>
      <c r="BF108" s="173"/>
      <c r="BG108" s="173"/>
      <c r="BH108" s="173"/>
      <c r="BI108" s="173"/>
      <c r="BJ108" s="173"/>
      <c r="BK108" s="173"/>
      <c r="BL108" s="173"/>
      <c r="BM108" s="173"/>
      <c r="BN108" s="173"/>
      <c r="BO108" s="324">
        <f t="shared" si="5"/>
        <v>184</v>
      </c>
      <c r="BP108" s="319"/>
      <c r="BQ108" s="324">
        <v>172</v>
      </c>
      <c r="BR108" s="358"/>
      <c r="BS108" s="358">
        <v>3</v>
      </c>
      <c r="BT108" s="319"/>
      <c r="BU108" s="324">
        <v>307</v>
      </c>
      <c r="BV108" s="358"/>
      <c r="BW108" s="358">
        <v>8</v>
      </c>
      <c r="BX108" s="319"/>
      <c r="BY108" s="217"/>
      <c r="BZ108" s="219"/>
      <c r="CA108" s="262"/>
      <c r="CB108" s="218">
        <v>39598</v>
      </c>
      <c r="CC108" s="217">
        <v>151</v>
      </c>
      <c r="CD108" s="219">
        <v>48.552</v>
      </c>
      <c r="CE108" s="217"/>
      <c r="CF108" s="220">
        <v>39227</v>
      </c>
      <c r="CG108" s="217">
        <v>145</v>
      </c>
      <c r="CH108" s="211">
        <v>32.244</v>
      </c>
      <c r="CI108" s="262">
        <v>2.2000000000000002</v>
      </c>
      <c r="CJ108" s="319"/>
      <c r="CK108" s="211"/>
      <c r="CL108" s="211"/>
      <c r="CM108" s="258"/>
      <c r="CN108" s="173"/>
      <c r="CO108" s="173"/>
      <c r="CP108" s="173"/>
      <c r="CQ108" s="173"/>
      <c r="CR108" s="173"/>
      <c r="CS108" s="173"/>
      <c r="CT108" s="173"/>
      <c r="CU108" s="173"/>
    </row>
    <row r="109" spans="1:99" s="4" customFormat="1">
      <c r="A109" s="16" t="s">
        <v>34</v>
      </c>
      <c r="B109" s="21"/>
      <c r="C109" s="22"/>
      <c r="D109" s="265"/>
      <c r="E109" s="266"/>
      <c r="F109" s="266"/>
      <c r="G109" s="266"/>
      <c r="H109" s="267"/>
      <c r="I109" s="268"/>
      <c r="J109" s="269"/>
      <c r="K109" s="290"/>
      <c r="L109" s="265"/>
      <c r="M109" s="266"/>
      <c r="N109" s="266"/>
      <c r="O109" s="266"/>
      <c r="P109" s="271"/>
      <c r="Q109" s="268"/>
      <c r="R109" s="269"/>
      <c r="S109" s="290"/>
      <c r="T109" s="265"/>
      <c r="U109" s="266"/>
      <c r="V109" s="266"/>
      <c r="W109" s="266"/>
      <c r="X109" s="271"/>
      <c r="Y109" s="268"/>
      <c r="Z109" s="269"/>
      <c r="AA109" s="290"/>
      <c r="AB109" s="265"/>
      <c r="AC109" s="266"/>
      <c r="AD109" s="266"/>
      <c r="AE109" s="266"/>
      <c r="AF109" s="271"/>
      <c r="AG109" s="268"/>
      <c r="AH109" s="269"/>
      <c r="AI109" s="290"/>
      <c r="AJ109" s="265"/>
      <c r="AK109" s="266"/>
      <c r="AL109" s="266"/>
      <c r="AM109" s="266"/>
      <c r="AN109" s="271"/>
      <c r="AO109" s="268"/>
      <c r="AP109" s="269"/>
      <c r="AQ109" s="290"/>
      <c r="AR109" s="272"/>
      <c r="AS109" s="268"/>
      <c r="AT109" s="268"/>
      <c r="AU109" s="268"/>
      <c r="AV109" s="273"/>
      <c r="AW109" s="268"/>
      <c r="AX109" s="269"/>
      <c r="AY109" s="45"/>
      <c r="AZ109" s="19">
        <f t="shared" si="6"/>
        <v>0</v>
      </c>
      <c r="BA109" s="227">
        <f t="shared" si="4"/>
        <v>3</v>
      </c>
      <c r="BB109" s="173"/>
      <c r="BC109" s="173"/>
      <c r="BD109" s="173"/>
      <c r="BE109" s="173"/>
      <c r="BF109" s="173"/>
      <c r="BG109" s="173"/>
      <c r="BH109" s="173"/>
      <c r="BI109" s="173"/>
      <c r="BJ109" s="173"/>
      <c r="BK109" s="173"/>
      <c r="BL109" s="173"/>
      <c r="BM109" s="173"/>
      <c r="BN109" s="173"/>
      <c r="BO109" s="324">
        <f t="shared" si="5"/>
        <v>184</v>
      </c>
      <c r="BP109" s="319"/>
      <c r="BQ109" s="324">
        <v>172</v>
      </c>
      <c r="BR109" s="358"/>
      <c r="BS109" s="358">
        <v>3</v>
      </c>
      <c r="BT109" s="319"/>
      <c r="BU109" s="324">
        <v>307</v>
      </c>
      <c r="BV109" s="358"/>
      <c r="BW109" s="358">
        <v>8</v>
      </c>
      <c r="BX109" s="319"/>
      <c r="BY109" s="217"/>
      <c r="BZ109" s="219"/>
      <c r="CA109" s="262"/>
      <c r="CB109" s="218">
        <v>39601</v>
      </c>
      <c r="CC109" s="217">
        <v>154</v>
      </c>
      <c r="CD109" s="219">
        <v>62.636000000000003</v>
      </c>
      <c r="CE109" s="217"/>
      <c r="CF109" s="220">
        <v>39232</v>
      </c>
      <c r="CG109" s="217">
        <v>150</v>
      </c>
      <c r="CH109" s="211">
        <v>46.239999999999995</v>
      </c>
      <c r="CI109" s="262">
        <v>3</v>
      </c>
      <c r="CJ109" s="319"/>
      <c r="CK109" s="211"/>
      <c r="CL109" s="211"/>
      <c r="CM109" s="258"/>
      <c r="CN109" s="173"/>
      <c r="CO109" s="173"/>
      <c r="CP109" s="173"/>
      <c r="CQ109" s="173"/>
      <c r="CR109" s="173"/>
      <c r="CS109" s="173"/>
      <c r="CT109" s="173"/>
      <c r="CU109" s="173"/>
    </row>
    <row r="110" spans="1:99" s="4" customFormat="1">
      <c r="A110" s="16" t="s">
        <v>34</v>
      </c>
      <c r="B110" s="21"/>
      <c r="C110" s="22"/>
      <c r="D110" s="265"/>
      <c r="E110" s="266"/>
      <c r="F110" s="266"/>
      <c r="G110" s="266"/>
      <c r="H110" s="267"/>
      <c r="I110" s="268"/>
      <c r="J110" s="269"/>
      <c r="K110" s="290"/>
      <c r="L110" s="265"/>
      <c r="M110" s="266"/>
      <c r="N110" s="266"/>
      <c r="O110" s="266"/>
      <c r="P110" s="271"/>
      <c r="Q110" s="268"/>
      <c r="R110" s="269"/>
      <c r="S110" s="290"/>
      <c r="T110" s="265"/>
      <c r="U110" s="266"/>
      <c r="V110" s="266"/>
      <c r="W110" s="266"/>
      <c r="X110" s="271"/>
      <c r="Y110" s="268"/>
      <c r="Z110" s="269"/>
      <c r="AA110" s="290"/>
      <c r="AB110" s="265"/>
      <c r="AC110" s="266"/>
      <c r="AD110" s="266"/>
      <c r="AE110" s="266"/>
      <c r="AF110" s="271"/>
      <c r="AG110" s="268"/>
      <c r="AH110" s="269"/>
      <c r="AI110" s="290"/>
      <c r="AJ110" s="265"/>
      <c r="AK110" s="266"/>
      <c r="AL110" s="266"/>
      <c r="AM110" s="266"/>
      <c r="AN110" s="271"/>
      <c r="AO110" s="268"/>
      <c r="AP110" s="269"/>
      <c r="AQ110" s="290"/>
      <c r="AR110" s="272"/>
      <c r="AS110" s="268"/>
      <c r="AT110" s="268"/>
      <c r="AU110" s="268"/>
      <c r="AV110" s="273"/>
      <c r="AW110" s="268"/>
      <c r="AX110" s="269"/>
      <c r="AY110" s="45"/>
      <c r="AZ110" s="19">
        <f t="shared" si="6"/>
        <v>0</v>
      </c>
      <c r="BA110" s="227">
        <f t="shared" si="4"/>
        <v>3</v>
      </c>
      <c r="BB110" s="173"/>
      <c r="BC110" s="173"/>
      <c r="BD110" s="173"/>
      <c r="BE110" s="173"/>
      <c r="BF110" s="173"/>
      <c r="BG110" s="173"/>
      <c r="BH110" s="173"/>
      <c r="BI110" s="173"/>
      <c r="BJ110" s="173"/>
      <c r="BK110" s="173"/>
      <c r="BL110" s="173"/>
      <c r="BM110" s="173"/>
      <c r="BN110" s="173"/>
      <c r="BO110" s="324">
        <f t="shared" si="5"/>
        <v>184</v>
      </c>
      <c r="BP110" s="319"/>
      <c r="BQ110" s="324">
        <v>172</v>
      </c>
      <c r="BR110" s="358"/>
      <c r="BS110" s="358">
        <v>3</v>
      </c>
      <c r="BT110" s="319"/>
      <c r="BU110" s="324">
        <v>307</v>
      </c>
      <c r="BV110" s="358"/>
      <c r="BW110" s="358">
        <v>8</v>
      </c>
      <c r="BX110" s="319"/>
      <c r="BY110" s="217"/>
      <c r="BZ110" s="219"/>
      <c r="CA110" s="262"/>
      <c r="CB110" s="218">
        <v>39615</v>
      </c>
      <c r="CC110" s="217">
        <v>168</v>
      </c>
      <c r="CD110" s="219">
        <v>74.844000000000008</v>
      </c>
      <c r="CE110" s="217"/>
      <c r="CF110" s="220"/>
      <c r="CG110" s="211"/>
      <c r="CH110" s="211"/>
      <c r="CI110" s="262"/>
      <c r="CJ110" s="319"/>
      <c r="CK110" s="211"/>
      <c r="CL110" s="211"/>
      <c r="CM110" s="258"/>
      <c r="CN110" s="173"/>
      <c r="CO110" s="173"/>
      <c r="CP110" s="173"/>
      <c r="CQ110" s="173"/>
      <c r="CR110" s="173"/>
      <c r="CS110" s="173"/>
      <c r="CT110" s="173"/>
      <c r="CU110" s="173"/>
    </row>
    <row r="111" spans="1:99" s="4" customFormat="1">
      <c r="A111" s="16" t="s">
        <v>34</v>
      </c>
      <c r="B111" s="21"/>
      <c r="C111" s="22"/>
      <c r="D111" s="265"/>
      <c r="E111" s="266"/>
      <c r="F111" s="266"/>
      <c r="G111" s="266"/>
      <c r="H111" s="267"/>
      <c r="I111" s="268"/>
      <c r="J111" s="269"/>
      <c r="K111" s="290"/>
      <c r="L111" s="265"/>
      <c r="M111" s="266"/>
      <c r="N111" s="266"/>
      <c r="O111" s="266"/>
      <c r="P111" s="271"/>
      <c r="Q111" s="268"/>
      <c r="R111" s="269"/>
      <c r="S111" s="290"/>
      <c r="T111" s="265"/>
      <c r="U111" s="266"/>
      <c r="V111" s="266"/>
      <c r="W111" s="266"/>
      <c r="X111" s="271"/>
      <c r="Y111" s="268"/>
      <c r="Z111" s="269"/>
      <c r="AA111" s="290"/>
      <c r="AB111" s="265"/>
      <c r="AC111" s="266"/>
      <c r="AD111" s="266"/>
      <c r="AE111" s="266"/>
      <c r="AF111" s="271"/>
      <c r="AG111" s="268"/>
      <c r="AH111" s="269"/>
      <c r="AI111" s="290"/>
      <c r="AJ111" s="265"/>
      <c r="AK111" s="266"/>
      <c r="AL111" s="266"/>
      <c r="AM111" s="266"/>
      <c r="AN111" s="271"/>
      <c r="AO111" s="268"/>
      <c r="AP111" s="269"/>
      <c r="AQ111" s="290"/>
      <c r="AR111" s="272"/>
      <c r="AS111" s="268"/>
      <c r="AT111" s="268"/>
      <c r="AU111" s="268"/>
      <c r="AV111" s="273"/>
      <c r="AW111" s="268"/>
      <c r="AX111" s="269"/>
      <c r="AY111" s="45"/>
      <c r="AZ111" s="19">
        <f t="shared" si="6"/>
        <v>0</v>
      </c>
      <c r="BA111" s="227">
        <f t="shared" si="4"/>
        <v>3</v>
      </c>
      <c r="BB111" s="173"/>
      <c r="BC111" s="173"/>
      <c r="BD111" s="173"/>
      <c r="BE111" s="173"/>
      <c r="BF111" s="173"/>
      <c r="BG111" s="173"/>
      <c r="BH111" s="173"/>
      <c r="BI111" s="173"/>
      <c r="BJ111" s="173"/>
      <c r="BK111" s="173"/>
      <c r="BL111" s="173"/>
      <c r="BM111" s="173"/>
      <c r="BN111" s="173"/>
      <c r="BO111" s="324">
        <f t="shared" si="5"/>
        <v>184</v>
      </c>
      <c r="BP111" s="319"/>
      <c r="BQ111" s="324">
        <v>172</v>
      </c>
      <c r="BR111" s="358"/>
      <c r="BS111" s="358">
        <v>3</v>
      </c>
      <c r="BT111" s="319"/>
      <c r="BU111" s="324">
        <v>307</v>
      </c>
      <c r="BV111" s="358"/>
      <c r="BW111" s="358">
        <v>8</v>
      </c>
      <c r="BX111" s="319"/>
      <c r="BY111" s="217"/>
      <c r="BZ111" s="219"/>
      <c r="CA111" s="262"/>
      <c r="CB111" s="218">
        <v>39626</v>
      </c>
      <c r="CC111" s="217">
        <v>179</v>
      </c>
      <c r="CD111" s="219">
        <v>76.231999999999999</v>
      </c>
      <c r="CE111" s="217"/>
      <c r="CF111" s="220"/>
      <c r="CG111" s="211"/>
      <c r="CH111" s="211"/>
      <c r="CI111" s="262"/>
      <c r="CJ111" s="319"/>
      <c r="CK111" s="211"/>
      <c r="CL111" s="211"/>
      <c r="CM111" s="258"/>
      <c r="CN111" s="173"/>
      <c r="CO111" s="173"/>
      <c r="CP111" s="173"/>
      <c r="CQ111" s="173"/>
      <c r="CR111" s="173"/>
      <c r="CS111" s="173"/>
      <c r="CT111" s="173"/>
      <c r="CU111" s="173"/>
    </row>
    <row r="112" spans="1:99" s="4" customFormat="1">
      <c r="A112" s="16" t="s">
        <v>34</v>
      </c>
      <c r="B112" s="21"/>
      <c r="C112" s="22"/>
      <c r="D112" s="265"/>
      <c r="E112" s="266"/>
      <c r="F112" s="266"/>
      <c r="G112" s="266"/>
      <c r="H112" s="267"/>
      <c r="I112" s="268"/>
      <c r="J112" s="269"/>
      <c r="K112" s="290"/>
      <c r="L112" s="265"/>
      <c r="M112" s="266"/>
      <c r="N112" s="266"/>
      <c r="O112" s="266"/>
      <c r="P112" s="271"/>
      <c r="Q112" s="268"/>
      <c r="R112" s="269"/>
      <c r="S112" s="290"/>
      <c r="T112" s="265"/>
      <c r="U112" s="266"/>
      <c r="V112" s="266"/>
      <c r="W112" s="266"/>
      <c r="X112" s="271"/>
      <c r="Y112" s="268"/>
      <c r="Z112" s="269"/>
      <c r="AA112" s="290"/>
      <c r="AB112" s="265"/>
      <c r="AC112" s="266"/>
      <c r="AD112" s="266"/>
      <c r="AE112" s="266"/>
      <c r="AF112" s="271"/>
      <c r="AG112" s="268"/>
      <c r="AH112" s="269"/>
      <c r="AI112" s="290"/>
      <c r="AJ112" s="265"/>
      <c r="AK112" s="266"/>
      <c r="AL112" s="266"/>
      <c r="AM112" s="266"/>
      <c r="AN112" s="271"/>
      <c r="AO112" s="268"/>
      <c r="AP112" s="269"/>
      <c r="AQ112" s="290"/>
      <c r="AR112" s="272"/>
      <c r="AS112" s="268"/>
      <c r="AT112" s="268"/>
      <c r="AU112" s="268"/>
      <c r="AV112" s="273"/>
      <c r="AW112" s="268"/>
      <c r="AX112" s="269"/>
      <c r="AY112" s="45"/>
      <c r="AZ112" s="19">
        <f t="shared" si="6"/>
        <v>0</v>
      </c>
      <c r="BA112" s="227">
        <f t="shared" si="4"/>
        <v>3</v>
      </c>
      <c r="BB112" s="173"/>
      <c r="BC112" s="173"/>
      <c r="BD112" s="173"/>
      <c r="BE112" s="173"/>
      <c r="BF112" s="173"/>
      <c r="BG112" s="173"/>
      <c r="BH112" s="173"/>
      <c r="BI112" s="173"/>
      <c r="BJ112" s="173"/>
      <c r="BK112" s="173"/>
      <c r="BL112" s="173"/>
      <c r="BM112" s="173"/>
      <c r="BN112" s="173"/>
      <c r="BO112" s="324">
        <f t="shared" si="5"/>
        <v>184</v>
      </c>
      <c r="BP112" s="319"/>
      <c r="BQ112" s="324">
        <v>172</v>
      </c>
      <c r="BR112" s="358"/>
      <c r="BS112" s="358">
        <v>3</v>
      </c>
      <c r="BT112" s="319"/>
      <c r="BU112" s="324">
        <v>307</v>
      </c>
      <c r="BV112" s="358"/>
      <c r="BW112" s="358">
        <v>8</v>
      </c>
      <c r="BX112" s="319"/>
      <c r="BY112" s="217"/>
      <c r="BZ112" s="219"/>
      <c r="CA112" s="262"/>
      <c r="CB112" s="218">
        <v>39633</v>
      </c>
      <c r="CC112" s="217">
        <v>186</v>
      </c>
      <c r="CD112" s="219">
        <v>76.091999999999999</v>
      </c>
      <c r="CE112" s="217"/>
      <c r="CF112" s="220"/>
      <c r="CG112" s="211"/>
      <c r="CH112" s="211"/>
      <c r="CI112" s="262"/>
      <c r="CJ112" s="319"/>
      <c r="CK112" s="211"/>
      <c r="CL112" s="211"/>
      <c r="CM112" s="258"/>
      <c r="CN112" s="173"/>
      <c r="CO112" s="173"/>
      <c r="CP112" s="173"/>
      <c r="CQ112" s="173"/>
      <c r="CR112" s="173"/>
      <c r="CS112" s="173"/>
      <c r="CT112" s="173"/>
      <c r="CU112" s="173"/>
    </row>
    <row r="113" spans="1:99" s="4" customFormat="1">
      <c r="A113" s="16" t="s">
        <v>34</v>
      </c>
      <c r="B113" s="21"/>
      <c r="C113" s="22"/>
      <c r="D113" s="265"/>
      <c r="E113" s="266"/>
      <c r="F113" s="266"/>
      <c r="G113" s="266"/>
      <c r="H113" s="267"/>
      <c r="I113" s="268"/>
      <c r="J113" s="269"/>
      <c r="K113" s="290"/>
      <c r="L113" s="265"/>
      <c r="M113" s="266"/>
      <c r="N113" s="266"/>
      <c r="O113" s="266"/>
      <c r="P113" s="271"/>
      <c r="Q113" s="268"/>
      <c r="R113" s="269"/>
      <c r="S113" s="290"/>
      <c r="T113" s="265"/>
      <c r="U113" s="266"/>
      <c r="V113" s="266"/>
      <c r="W113" s="266"/>
      <c r="X113" s="271"/>
      <c r="Y113" s="268"/>
      <c r="Z113" s="269"/>
      <c r="AA113" s="290"/>
      <c r="AB113" s="265"/>
      <c r="AC113" s="266"/>
      <c r="AD113" s="266"/>
      <c r="AE113" s="266"/>
      <c r="AF113" s="271"/>
      <c r="AG113" s="268"/>
      <c r="AH113" s="269"/>
      <c r="AI113" s="290"/>
      <c r="AJ113" s="265"/>
      <c r="AK113" s="266"/>
      <c r="AL113" s="266"/>
      <c r="AM113" s="266"/>
      <c r="AN113" s="271"/>
      <c r="AO113" s="268"/>
      <c r="AP113" s="269"/>
      <c r="AQ113" s="290"/>
      <c r="AR113" s="272"/>
      <c r="AS113" s="268"/>
      <c r="AT113" s="268"/>
      <c r="AU113" s="268"/>
      <c r="AV113" s="273"/>
      <c r="AW113" s="268"/>
      <c r="AX113" s="269"/>
      <c r="AY113" s="45"/>
      <c r="AZ113" s="19">
        <f t="shared" si="6"/>
        <v>0</v>
      </c>
      <c r="BA113" s="227">
        <f t="shared" si="4"/>
        <v>3</v>
      </c>
      <c r="BB113" s="173"/>
      <c r="BC113" s="173"/>
      <c r="BD113" s="173"/>
      <c r="BE113" s="173"/>
      <c r="BF113" s="173"/>
      <c r="BG113" s="173"/>
      <c r="BH113" s="173"/>
      <c r="BI113" s="173"/>
      <c r="BJ113" s="173"/>
      <c r="BK113" s="173"/>
      <c r="BL113" s="173"/>
      <c r="BM113" s="173"/>
      <c r="BN113" s="173"/>
      <c r="BO113" s="324">
        <f t="shared" si="5"/>
        <v>184</v>
      </c>
      <c r="BP113" s="319"/>
      <c r="BQ113" s="324">
        <v>172</v>
      </c>
      <c r="BR113" s="358"/>
      <c r="BS113" s="358">
        <v>3</v>
      </c>
      <c r="BT113" s="319"/>
      <c r="BU113" s="324">
        <v>307</v>
      </c>
      <c r="BV113" s="358"/>
      <c r="BW113" s="358">
        <v>8</v>
      </c>
      <c r="BX113" s="319"/>
      <c r="BY113" s="217"/>
      <c r="BZ113" s="219"/>
      <c r="CA113" s="262"/>
      <c r="CB113" s="218"/>
      <c r="CC113" s="217"/>
      <c r="CD113" s="219"/>
      <c r="CE113" s="217"/>
      <c r="CF113" s="220"/>
      <c r="CG113" s="211"/>
      <c r="CH113" s="211"/>
      <c r="CI113" s="262"/>
      <c r="CJ113" s="319"/>
      <c r="CK113" s="211"/>
      <c r="CL113" s="211"/>
      <c r="CM113" s="258"/>
      <c r="CN113" s="173"/>
      <c r="CO113" s="173"/>
      <c r="CP113" s="173"/>
      <c r="CQ113" s="173"/>
      <c r="CR113" s="173"/>
      <c r="CS113" s="173"/>
      <c r="CT113" s="173"/>
      <c r="CU113" s="173"/>
    </row>
    <row r="114" spans="1:99" s="4" customFormat="1">
      <c r="A114" s="16" t="s">
        <v>34</v>
      </c>
      <c r="B114" s="21"/>
      <c r="C114" s="22"/>
      <c r="D114" s="265"/>
      <c r="E114" s="266"/>
      <c r="F114" s="266"/>
      <c r="G114" s="266"/>
      <c r="H114" s="267"/>
      <c r="I114" s="268"/>
      <c r="J114" s="269"/>
      <c r="K114" s="290"/>
      <c r="L114" s="265"/>
      <c r="M114" s="266"/>
      <c r="N114" s="266"/>
      <c r="O114" s="266"/>
      <c r="P114" s="271"/>
      <c r="Q114" s="268"/>
      <c r="R114" s="269"/>
      <c r="S114" s="290"/>
      <c r="T114" s="265"/>
      <c r="U114" s="266"/>
      <c r="V114" s="266"/>
      <c r="W114" s="266"/>
      <c r="X114" s="271"/>
      <c r="Y114" s="268"/>
      <c r="Z114" s="269"/>
      <c r="AA114" s="290"/>
      <c r="AB114" s="265"/>
      <c r="AC114" s="266"/>
      <c r="AD114" s="266"/>
      <c r="AE114" s="266"/>
      <c r="AF114" s="271"/>
      <c r="AG114" s="268"/>
      <c r="AH114" s="269"/>
      <c r="AI114" s="290"/>
      <c r="AJ114" s="265"/>
      <c r="AK114" s="266"/>
      <c r="AL114" s="266"/>
      <c r="AM114" s="266"/>
      <c r="AN114" s="271"/>
      <c r="AO114" s="268"/>
      <c r="AP114" s="269"/>
      <c r="AQ114" s="290"/>
      <c r="AR114" s="272"/>
      <c r="AS114" s="268"/>
      <c r="AT114" s="268"/>
      <c r="AU114" s="268"/>
      <c r="AV114" s="273"/>
      <c r="AW114" s="268"/>
      <c r="AX114" s="269"/>
      <c r="AY114" s="45"/>
      <c r="AZ114" s="19">
        <f t="shared" si="6"/>
        <v>0</v>
      </c>
      <c r="BA114" s="227">
        <f t="shared" si="4"/>
        <v>3</v>
      </c>
      <c r="BB114" s="173"/>
      <c r="BC114" s="173"/>
      <c r="BD114" s="173"/>
      <c r="BE114" s="173"/>
      <c r="BF114" s="173"/>
      <c r="BG114" s="173"/>
      <c r="BH114" s="173"/>
      <c r="BI114" s="173"/>
      <c r="BJ114" s="173"/>
      <c r="BK114" s="173"/>
      <c r="BL114" s="173"/>
      <c r="BM114" s="173"/>
      <c r="BN114" s="173"/>
      <c r="BO114" s="324">
        <f t="shared" si="5"/>
        <v>184</v>
      </c>
      <c r="BP114" s="319"/>
      <c r="BQ114" s="324">
        <v>172</v>
      </c>
      <c r="BR114" s="358"/>
      <c r="BS114" s="358">
        <v>3</v>
      </c>
      <c r="BT114" s="319"/>
      <c r="BU114" s="324">
        <v>307</v>
      </c>
      <c r="BV114" s="358"/>
      <c r="BW114" s="358">
        <v>8</v>
      </c>
      <c r="BX114" s="319"/>
      <c r="BY114" s="217"/>
      <c r="BZ114" s="219"/>
      <c r="CA114" s="262"/>
      <c r="CB114" s="218"/>
      <c r="CC114" s="217"/>
      <c r="CD114" s="219"/>
      <c r="CE114" s="217"/>
      <c r="CF114" s="220"/>
      <c r="CG114" s="211"/>
      <c r="CH114" s="211"/>
      <c r="CI114" s="262"/>
      <c r="CJ114" s="319"/>
      <c r="CK114" s="211"/>
      <c r="CL114" s="211"/>
      <c r="CM114" s="258"/>
      <c r="CN114" s="173"/>
      <c r="CO114" s="173"/>
      <c r="CP114" s="173"/>
      <c r="CQ114" s="173"/>
      <c r="CR114" s="173"/>
      <c r="CS114" s="173"/>
      <c r="CT114" s="173"/>
      <c r="CU114" s="173"/>
    </row>
    <row r="115" spans="1:99" s="4" customFormat="1">
      <c r="A115" s="16" t="s">
        <v>34</v>
      </c>
      <c r="B115" s="21"/>
      <c r="C115" s="22"/>
      <c r="D115" s="265"/>
      <c r="E115" s="266"/>
      <c r="F115" s="266"/>
      <c r="G115" s="266"/>
      <c r="H115" s="267"/>
      <c r="I115" s="268"/>
      <c r="J115" s="269"/>
      <c r="K115" s="290"/>
      <c r="L115" s="265"/>
      <c r="M115" s="266"/>
      <c r="N115" s="266"/>
      <c r="O115" s="266"/>
      <c r="P115" s="271"/>
      <c r="Q115" s="268"/>
      <c r="R115" s="269"/>
      <c r="S115" s="290"/>
      <c r="T115" s="265"/>
      <c r="U115" s="266"/>
      <c r="V115" s="266"/>
      <c r="W115" s="266"/>
      <c r="X115" s="271"/>
      <c r="Y115" s="268"/>
      <c r="Z115" s="269"/>
      <c r="AA115" s="290"/>
      <c r="AB115" s="265"/>
      <c r="AC115" s="266"/>
      <c r="AD115" s="266"/>
      <c r="AE115" s="266"/>
      <c r="AF115" s="271"/>
      <c r="AG115" s="268"/>
      <c r="AH115" s="269"/>
      <c r="AI115" s="290"/>
      <c r="AJ115" s="265"/>
      <c r="AK115" s="266"/>
      <c r="AL115" s="266"/>
      <c r="AM115" s="266"/>
      <c r="AN115" s="271"/>
      <c r="AO115" s="268"/>
      <c r="AP115" s="269"/>
      <c r="AQ115" s="290"/>
      <c r="AR115" s="272"/>
      <c r="AS115" s="268"/>
      <c r="AT115" s="268"/>
      <c r="AU115" s="268"/>
      <c r="AV115" s="273"/>
      <c r="AW115" s="268"/>
      <c r="AX115" s="269"/>
      <c r="AY115" s="45"/>
      <c r="AZ115" s="19">
        <f t="shared" si="6"/>
        <v>0</v>
      </c>
      <c r="BA115" s="227">
        <f t="shared" si="4"/>
        <v>3</v>
      </c>
      <c r="BB115" s="173"/>
      <c r="BC115" s="173"/>
      <c r="BD115" s="173"/>
      <c r="BE115" s="173"/>
      <c r="BF115" s="173"/>
      <c r="BG115" s="173"/>
      <c r="BH115" s="173"/>
      <c r="BI115" s="173"/>
      <c r="BJ115" s="173"/>
      <c r="BK115" s="173"/>
      <c r="BL115" s="173"/>
      <c r="BM115" s="173"/>
      <c r="BN115" s="173"/>
      <c r="BO115" s="324">
        <f t="shared" si="5"/>
        <v>184</v>
      </c>
      <c r="BP115" s="319"/>
      <c r="BQ115" s="324">
        <v>172</v>
      </c>
      <c r="BR115" s="358"/>
      <c r="BS115" s="358">
        <v>3</v>
      </c>
      <c r="BT115" s="319"/>
      <c r="BU115" s="324">
        <v>307</v>
      </c>
      <c r="BV115" s="358"/>
      <c r="BW115" s="358">
        <v>8</v>
      </c>
      <c r="BX115" s="319"/>
      <c r="BY115" s="217"/>
      <c r="BZ115" s="219"/>
      <c r="CA115" s="262"/>
      <c r="CB115" s="218"/>
      <c r="CC115" s="217"/>
      <c r="CD115" s="219"/>
      <c r="CE115" s="217"/>
      <c r="CF115" s="220"/>
      <c r="CG115" s="211"/>
      <c r="CH115" s="211"/>
      <c r="CI115" s="262"/>
      <c r="CJ115" s="319"/>
      <c r="CK115" s="211"/>
      <c r="CL115" s="211"/>
      <c r="CM115" s="258"/>
      <c r="CN115" s="173"/>
      <c r="CO115" s="173"/>
      <c r="CP115" s="173"/>
      <c r="CQ115" s="173"/>
      <c r="CR115" s="173"/>
      <c r="CS115" s="173"/>
      <c r="CT115" s="173"/>
      <c r="CU115" s="173"/>
    </row>
    <row r="116" spans="1:99" s="4" customFormat="1">
      <c r="A116" s="16" t="s">
        <v>34</v>
      </c>
      <c r="B116" s="21"/>
      <c r="C116" s="22"/>
      <c r="D116" s="265"/>
      <c r="E116" s="266"/>
      <c r="F116" s="266"/>
      <c r="G116" s="266"/>
      <c r="H116" s="267"/>
      <c r="I116" s="268"/>
      <c r="J116" s="269"/>
      <c r="K116" s="290"/>
      <c r="L116" s="265"/>
      <c r="M116" s="266"/>
      <c r="N116" s="266"/>
      <c r="O116" s="266"/>
      <c r="P116" s="271"/>
      <c r="Q116" s="268"/>
      <c r="R116" s="269"/>
      <c r="S116" s="290"/>
      <c r="T116" s="265"/>
      <c r="U116" s="266"/>
      <c r="V116" s="266"/>
      <c r="W116" s="266"/>
      <c r="X116" s="271"/>
      <c r="Y116" s="268"/>
      <c r="Z116" s="269"/>
      <c r="AA116" s="290"/>
      <c r="AB116" s="265"/>
      <c r="AC116" s="266"/>
      <c r="AD116" s="266"/>
      <c r="AE116" s="266"/>
      <c r="AF116" s="271"/>
      <c r="AG116" s="268"/>
      <c r="AH116" s="269"/>
      <c r="AI116" s="290"/>
      <c r="AJ116" s="265"/>
      <c r="AK116" s="266"/>
      <c r="AL116" s="266"/>
      <c r="AM116" s="266"/>
      <c r="AN116" s="271"/>
      <c r="AO116" s="268"/>
      <c r="AP116" s="269"/>
      <c r="AQ116" s="290"/>
      <c r="AR116" s="272"/>
      <c r="AS116" s="268"/>
      <c r="AT116" s="268"/>
      <c r="AU116" s="268"/>
      <c r="AV116" s="273"/>
      <c r="AW116" s="268"/>
      <c r="AX116" s="269"/>
      <c r="AY116" s="45"/>
      <c r="AZ116" s="19">
        <f t="shared" si="6"/>
        <v>0</v>
      </c>
      <c r="BA116" s="227">
        <f t="shared" si="4"/>
        <v>3</v>
      </c>
      <c r="BB116" s="173"/>
      <c r="BC116" s="173"/>
      <c r="BD116" s="173"/>
      <c r="BE116" s="173"/>
      <c r="BF116" s="173"/>
      <c r="BG116" s="173"/>
      <c r="BH116" s="173"/>
      <c r="BI116" s="173"/>
      <c r="BJ116" s="173"/>
      <c r="BK116" s="173"/>
      <c r="BL116" s="173"/>
      <c r="BM116" s="173"/>
      <c r="BN116" s="173"/>
      <c r="BO116" s="324">
        <f t="shared" si="5"/>
        <v>184</v>
      </c>
      <c r="BP116" s="319"/>
      <c r="BQ116" s="324">
        <v>172</v>
      </c>
      <c r="BR116" s="358"/>
      <c r="BS116" s="358">
        <v>3</v>
      </c>
      <c r="BT116" s="319"/>
      <c r="BU116" s="324">
        <v>307</v>
      </c>
      <c r="BV116" s="358"/>
      <c r="BW116" s="358">
        <v>8</v>
      </c>
      <c r="BX116" s="319"/>
      <c r="BY116" s="217"/>
      <c r="BZ116" s="219"/>
      <c r="CA116" s="262"/>
      <c r="CB116" s="218"/>
      <c r="CC116" s="217"/>
      <c r="CD116" s="219"/>
      <c r="CE116" s="217"/>
      <c r="CF116" s="220"/>
      <c r="CG116" s="211"/>
      <c r="CH116" s="211"/>
      <c r="CI116" s="262"/>
      <c r="CJ116" s="319"/>
      <c r="CK116" s="211"/>
      <c r="CL116" s="211"/>
      <c r="CM116" s="258"/>
      <c r="CN116" s="173"/>
      <c r="CO116" s="173"/>
      <c r="CP116" s="173"/>
      <c r="CQ116" s="173"/>
      <c r="CR116" s="173"/>
      <c r="CS116" s="173"/>
      <c r="CT116" s="173"/>
      <c r="CU116" s="173"/>
    </row>
    <row r="117" spans="1:99" s="4" customFormat="1">
      <c r="A117" s="16" t="s">
        <v>34</v>
      </c>
      <c r="B117" s="21"/>
      <c r="C117" s="22"/>
      <c r="D117" s="265"/>
      <c r="E117" s="266"/>
      <c r="F117" s="266"/>
      <c r="G117" s="266"/>
      <c r="H117" s="267"/>
      <c r="I117" s="268"/>
      <c r="J117" s="269"/>
      <c r="K117" s="290"/>
      <c r="L117" s="265"/>
      <c r="M117" s="266"/>
      <c r="N117" s="266"/>
      <c r="O117" s="266"/>
      <c r="P117" s="271"/>
      <c r="Q117" s="268"/>
      <c r="R117" s="269"/>
      <c r="S117" s="290"/>
      <c r="T117" s="265"/>
      <c r="U117" s="266"/>
      <c r="V117" s="266"/>
      <c r="W117" s="266"/>
      <c r="X117" s="271"/>
      <c r="Y117" s="268"/>
      <c r="Z117" s="269"/>
      <c r="AA117" s="290"/>
      <c r="AB117" s="265"/>
      <c r="AC117" s="266"/>
      <c r="AD117" s="266"/>
      <c r="AE117" s="266"/>
      <c r="AF117" s="271"/>
      <c r="AG117" s="268"/>
      <c r="AH117" s="269"/>
      <c r="AI117" s="290"/>
      <c r="AJ117" s="265"/>
      <c r="AK117" s="266"/>
      <c r="AL117" s="266"/>
      <c r="AM117" s="266"/>
      <c r="AN117" s="271"/>
      <c r="AO117" s="268"/>
      <c r="AP117" s="269"/>
      <c r="AQ117" s="290"/>
      <c r="AR117" s="272"/>
      <c r="AS117" s="268"/>
      <c r="AT117" s="268"/>
      <c r="AU117" s="268"/>
      <c r="AV117" s="273"/>
      <c r="AW117" s="268"/>
      <c r="AX117" s="269"/>
      <c r="AY117" s="45"/>
      <c r="AZ117" s="19">
        <f t="shared" si="6"/>
        <v>0</v>
      </c>
      <c r="BA117" s="227">
        <f t="shared" si="4"/>
        <v>3</v>
      </c>
      <c r="BB117" s="173"/>
      <c r="BC117" s="173"/>
      <c r="BD117" s="173"/>
      <c r="BE117" s="173"/>
      <c r="BF117" s="173"/>
      <c r="BG117" s="173"/>
      <c r="BH117" s="173"/>
      <c r="BI117" s="173"/>
      <c r="BJ117" s="173"/>
      <c r="BK117" s="173"/>
      <c r="BL117" s="173"/>
      <c r="BM117" s="173"/>
      <c r="BN117" s="173"/>
      <c r="BO117" s="324">
        <f t="shared" si="5"/>
        <v>184</v>
      </c>
      <c r="BP117" s="319"/>
      <c r="BQ117" s="324">
        <v>172</v>
      </c>
      <c r="BR117" s="358"/>
      <c r="BS117" s="358">
        <v>3</v>
      </c>
      <c r="BT117" s="319"/>
      <c r="BU117" s="324">
        <v>307</v>
      </c>
      <c r="BV117" s="358"/>
      <c r="BW117" s="358">
        <v>8</v>
      </c>
      <c r="BX117" s="319"/>
      <c r="BY117" s="217"/>
      <c r="BZ117" s="219"/>
      <c r="CA117" s="262"/>
      <c r="CB117" s="218"/>
      <c r="CC117" s="217"/>
      <c r="CD117" s="219"/>
      <c r="CE117" s="217"/>
      <c r="CF117" s="220"/>
      <c r="CG117" s="211"/>
      <c r="CH117" s="211"/>
      <c r="CI117" s="262"/>
      <c r="CJ117" s="319"/>
      <c r="CK117" s="211"/>
      <c r="CL117" s="211"/>
      <c r="CM117" s="258"/>
      <c r="CN117" s="173"/>
      <c r="CO117" s="173"/>
      <c r="CP117" s="173"/>
      <c r="CQ117" s="173"/>
      <c r="CR117" s="173"/>
      <c r="CS117" s="173"/>
      <c r="CT117" s="173"/>
      <c r="CU117" s="173"/>
    </row>
    <row r="118" spans="1:99" s="4" customFormat="1">
      <c r="A118" s="16" t="s">
        <v>34</v>
      </c>
      <c r="B118" s="21"/>
      <c r="C118" s="22"/>
      <c r="D118" s="265"/>
      <c r="E118" s="266"/>
      <c r="F118" s="266"/>
      <c r="G118" s="266"/>
      <c r="H118" s="267"/>
      <c r="I118" s="268"/>
      <c r="J118" s="269"/>
      <c r="K118" s="290"/>
      <c r="L118" s="265"/>
      <c r="M118" s="266"/>
      <c r="N118" s="266"/>
      <c r="O118" s="266"/>
      <c r="P118" s="271"/>
      <c r="Q118" s="268"/>
      <c r="R118" s="269"/>
      <c r="S118" s="290"/>
      <c r="T118" s="265"/>
      <c r="U118" s="266"/>
      <c r="V118" s="266"/>
      <c r="W118" s="266"/>
      <c r="X118" s="271"/>
      <c r="Y118" s="268"/>
      <c r="Z118" s="269"/>
      <c r="AA118" s="290"/>
      <c r="AB118" s="265"/>
      <c r="AC118" s="266"/>
      <c r="AD118" s="266"/>
      <c r="AE118" s="266"/>
      <c r="AF118" s="271"/>
      <c r="AG118" s="268"/>
      <c r="AH118" s="269"/>
      <c r="AI118" s="290"/>
      <c r="AJ118" s="265"/>
      <c r="AK118" s="266"/>
      <c r="AL118" s="266"/>
      <c r="AM118" s="266"/>
      <c r="AN118" s="271"/>
      <c r="AO118" s="268"/>
      <c r="AP118" s="269"/>
      <c r="AQ118" s="290"/>
      <c r="AR118" s="272"/>
      <c r="AS118" s="268"/>
      <c r="AT118" s="268"/>
      <c r="AU118" s="268"/>
      <c r="AV118" s="273"/>
      <c r="AW118" s="268"/>
      <c r="AX118" s="269"/>
      <c r="AY118" s="45"/>
      <c r="AZ118" s="19">
        <f t="shared" si="6"/>
        <v>0</v>
      </c>
      <c r="BA118" s="227">
        <f t="shared" si="4"/>
        <v>3</v>
      </c>
      <c r="BB118" s="173"/>
      <c r="BC118" s="173"/>
      <c r="BD118" s="173"/>
      <c r="BE118" s="173"/>
      <c r="BF118" s="173"/>
      <c r="BG118" s="173"/>
      <c r="BH118" s="173"/>
      <c r="BI118" s="173"/>
      <c r="BJ118" s="173"/>
      <c r="BK118" s="173"/>
      <c r="BL118" s="173"/>
      <c r="BM118" s="173"/>
      <c r="BN118" s="173"/>
      <c r="BO118" s="324">
        <f t="shared" si="5"/>
        <v>184</v>
      </c>
      <c r="BP118" s="319"/>
      <c r="BQ118" s="324">
        <v>172</v>
      </c>
      <c r="BR118" s="358"/>
      <c r="BS118" s="358">
        <v>3</v>
      </c>
      <c r="BT118" s="319"/>
      <c r="BU118" s="324">
        <v>307</v>
      </c>
      <c r="BV118" s="358"/>
      <c r="BW118" s="358">
        <v>8</v>
      </c>
      <c r="BX118" s="319"/>
      <c r="BY118" s="217"/>
      <c r="BZ118" s="219"/>
      <c r="CA118" s="262"/>
      <c r="CB118" s="218"/>
      <c r="CC118" s="217"/>
      <c r="CD118" s="219"/>
      <c r="CE118" s="217"/>
      <c r="CF118" s="220"/>
      <c r="CG118" s="211"/>
      <c r="CH118" s="211"/>
      <c r="CI118" s="262"/>
      <c r="CJ118" s="319"/>
      <c r="CK118" s="211"/>
      <c r="CL118" s="211"/>
      <c r="CM118" s="258"/>
      <c r="CN118" s="173"/>
      <c r="CO118" s="173"/>
      <c r="CP118" s="173"/>
      <c r="CQ118" s="173"/>
      <c r="CR118" s="173"/>
      <c r="CS118" s="173"/>
      <c r="CT118" s="173"/>
      <c r="CU118" s="173"/>
    </row>
    <row r="119" spans="1:99" s="4" customFormat="1">
      <c r="A119" s="16" t="s">
        <v>34</v>
      </c>
      <c r="B119" s="21"/>
      <c r="C119" s="22"/>
      <c r="D119" s="265"/>
      <c r="E119" s="266"/>
      <c r="F119" s="266"/>
      <c r="G119" s="266"/>
      <c r="H119" s="267"/>
      <c r="I119" s="268"/>
      <c r="J119" s="269"/>
      <c r="K119" s="290"/>
      <c r="L119" s="265"/>
      <c r="M119" s="266"/>
      <c r="N119" s="266"/>
      <c r="O119" s="266"/>
      <c r="P119" s="271"/>
      <c r="Q119" s="268"/>
      <c r="R119" s="269"/>
      <c r="S119" s="290"/>
      <c r="T119" s="265"/>
      <c r="U119" s="266"/>
      <c r="V119" s="266"/>
      <c r="W119" s="266"/>
      <c r="X119" s="271"/>
      <c r="Y119" s="268"/>
      <c r="Z119" s="269"/>
      <c r="AA119" s="290"/>
      <c r="AB119" s="265"/>
      <c r="AC119" s="266"/>
      <c r="AD119" s="266"/>
      <c r="AE119" s="266"/>
      <c r="AF119" s="271"/>
      <c r="AG119" s="268"/>
      <c r="AH119" s="269"/>
      <c r="AI119" s="290"/>
      <c r="AJ119" s="265"/>
      <c r="AK119" s="266"/>
      <c r="AL119" s="266"/>
      <c r="AM119" s="266"/>
      <c r="AN119" s="271"/>
      <c r="AO119" s="268"/>
      <c r="AP119" s="269"/>
      <c r="AQ119" s="290"/>
      <c r="AR119" s="272"/>
      <c r="AS119" s="268"/>
      <c r="AT119" s="268"/>
      <c r="AU119" s="268"/>
      <c r="AV119" s="273"/>
      <c r="AW119" s="268"/>
      <c r="AX119" s="269"/>
      <c r="AY119" s="45"/>
      <c r="AZ119" s="19">
        <f t="shared" si="6"/>
        <v>0</v>
      </c>
      <c r="BA119" s="227">
        <f t="shared" si="4"/>
        <v>3</v>
      </c>
      <c r="BB119" s="173"/>
      <c r="BC119" s="173"/>
      <c r="BD119" s="173"/>
      <c r="BE119" s="173"/>
      <c r="BF119" s="173"/>
      <c r="BG119" s="173"/>
      <c r="BH119" s="173"/>
      <c r="BI119" s="173"/>
      <c r="BJ119" s="173"/>
      <c r="BK119" s="173"/>
      <c r="BL119" s="173"/>
      <c r="BM119" s="173"/>
      <c r="BN119" s="173"/>
      <c r="BO119" s="324">
        <f t="shared" si="5"/>
        <v>184</v>
      </c>
      <c r="BP119" s="319"/>
      <c r="BQ119" s="324">
        <v>172</v>
      </c>
      <c r="BR119" s="358"/>
      <c r="BS119" s="358">
        <v>3</v>
      </c>
      <c r="BT119" s="319"/>
      <c r="BU119" s="324">
        <v>307</v>
      </c>
      <c r="BV119" s="358"/>
      <c r="BW119" s="358">
        <v>8</v>
      </c>
      <c r="BX119" s="319"/>
      <c r="BY119" s="217"/>
      <c r="BZ119" s="219"/>
      <c r="CA119" s="262"/>
      <c r="CB119" s="218"/>
      <c r="CC119" s="217"/>
      <c r="CD119" s="219"/>
      <c r="CE119" s="217"/>
      <c r="CF119" s="220"/>
      <c r="CG119" s="211"/>
      <c r="CH119" s="211"/>
      <c r="CI119" s="262"/>
      <c r="CJ119" s="319"/>
      <c r="CK119" s="211"/>
      <c r="CL119" s="211"/>
      <c r="CM119" s="258"/>
      <c r="CN119" s="173"/>
      <c r="CO119" s="173"/>
      <c r="CP119" s="173"/>
      <c r="CQ119" s="173"/>
      <c r="CR119" s="173"/>
      <c r="CS119" s="173"/>
      <c r="CT119" s="173"/>
      <c r="CU119" s="173"/>
    </row>
    <row r="120" spans="1:99" s="4" customFormat="1">
      <c r="A120" s="16" t="s">
        <v>34</v>
      </c>
      <c r="B120" s="21"/>
      <c r="C120" s="22"/>
      <c r="D120" s="265"/>
      <c r="E120" s="266"/>
      <c r="F120" s="266"/>
      <c r="G120" s="266"/>
      <c r="H120" s="267"/>
      <c r="I120" s="268"/>
      <c r="J120" s="269"/>
      <c r="K120" s="290"/>
      <c r="L120" s="265"/>
      <c r="M120" s="266"/>
      <c r="N120" s="266"/>
      <c r="O120" s="266"/>
      <c r="P120" s="271"/>
      <c r="Q120" s="268"/>
      <c r="R120" s="269"/>
      <c r="S120" s="290"/>
      <c r="T120" s="265"/>
      <c r="U120" s="266"/>
      <c r="V120" s="266"/>
      <c r="W120" s="266"/>
      <c r="X120" s="271"/>
      <c r="Y120" s="268"/>
      <c r="Z120" s="269"/>
      <c r="AA120" s="290"/>
      <c r="AB120" s="265"/>
      <c r="AC120" s="266"/>
      <c r="AD120" s="266"/>
      <c r="AE120" s="266"/>
      <c r="AF120" s="271"/>
      <c r="AG120" s="268"/>
      <c r="AH120" s="269"/>
      <c r="AI120" s="290"/>
      <c r="AJ120" s="265"/>
      <c r="AK120" s="266"/>
      <c r="AL120" s="266"/>
      <c r="AM120" s="266"/>
      <c r="AN120" s="271"/>
      <c r="AO120" s="268"/>
      <c r="AP120" s="269"/>
      <c r="AQ120" s="290"/>
      <c r="AR120" s="272"/>
      <c r="AS120" s="268"/>
      <c r="AT120" s="268"/>
      <c r="AU120" s="268"/>
      <c r="AV120" s="273"/>
      <c r="AW120" s="268"/>
      <c r="AX120" s="269"/>
      <c r="AY120" s="45"/>
      <c r="AZ120" s="19">
        <f t="shared" si="6"/>
        <v>0</v>
      </c>
      <c r="BA120" s="227">
        <f t="shared" si="4"/>
        <v>3</v>
      </c>
      <c r="BB120" s="173"/>
      <c r="BC120" s="173"/>
      <c r="BD120" s="173"/>
      <c r="BE120" s="173"/>
      <c r="BF120" s="173"/>
      <c r="BG120" s="173"/>
      <c r="BH120" s="173"/>
      <c r="BI120" s="173"/>
      <c r="BJ120" s="173"/>
      <c r="BK120" s="173"/>
      <c r="BL120" s="173"/>
      <c r="BM120" s="173"/>
      <c r="BN120" s="173"/>
      <c r="BO120" s="324">
        <f t="shared" si="5"/>
        <v>184</v>
      </c>
      <c r="BP120" s="319"/>
      <c r="BQ120" s="324">
        <v>172</v>
      </c>
      <c r="BR120" s="358"/>
      <c r="BS120" s="358">
        <v>3</v>
      </c>
      <c r="BT120" s="319"/>
      <c r="BU120" s="324">
        <v>307</v>
      </c>
      <c r="BV120" s="358"/>
      <c r="BW120" s="358">
        <v>8</v>
      </c>
      <c r="BX120" s="319"/>
      <c r="BY120" s="217"/>
      <c r="BZ120" s="219"/>
      <c r="CA120" s="262"/>
      <c r="CB120" s="218"/>
      <c r="CC120" s="217"/>
      <c r="CD120" s="219"/>
      <c r="CE120" s="217"/>
      <c r="CF120" s="220"/>
      <c r="CG120" s="211"/>
      <c r="CH120" s="211"/>
      <c r="CI120" s="262"/>
      <c r="CJ120" s="319"/>
      <c r="CK120" s="211"/>
      <c r="CL120" s="211"/>
      <c r="CM120" s="258"/>
      <c r="CN120" s="173"/>
      <c r="CO120" s="173"/>
      <c r="CP120" s="173"/>
      <c r="CQ120" s="173"/>
      <c r="CR120" s="173"/>
      <c r="CS120" s="173"/>
      <c r="CT120" s="173"/>
      <c r="CU120" s="173"/>
    </row>
    <row r="121" spans="1:99" s="4" customFormat="1">
      <c r="A121" s="16" t="s">
        <v>34</v>
      </c>
      <c r="B121" s="21"/>
      <c r="C121" s="22"/>
      <c r="D121" s="265"/>
      <c r="E121" s="266"/>
      <c r="F121" s="266"/>
      <c r="G121" s="266"/>
      <c r="H121" s="267"/>
      <c r="I121" s="268"/>
      <c r="J121" s="269"/>
      <c r="K121" s="290"/>
      <c r="L121" s="265"/>
      <c r="M121" s="266"/>
      <c r="N121" s="266"/>
      <c r="O121" s="266"/>
      <c r="P121" s="271"/>
      <c r="Q121" s="268"/>
      <c r="R121" s="269"/>
      <c r="S121" s="290"/>
      <c r="T121" s="265"/>
      <c r="U121" s="266"/>
      <c r="V121" s="266"/>
      <c r="W121" s="266"/>
      <c r="X121" s="271"/>
      <c r="Y121" s="268"/>
      <c r="Z121" s="269"/>
      <c r="AA121" s="290"/>
      <c r="AB121" s="265"/>
      <c r="AC121" s="266"/>
      <c r="AD121" s="266"/>
      <c r="AE121" s="266"/>
      <c r="AF121" s="271"/>
      <c r="AG121" s="268"/>
      <c r="AH121" s="269"/>
      <c r="AI121" s="290"/>
      <c r="AJ121" s="265"/>
      <c r="AK121" s="266"/>
      <c r="AL121" s="266"/>
      <c r="AM121" s="266"/>
      <c r="AN121" s="271"/>
      <c r="AO121" s="268"/>
      <c r="AP121" s="269"/>
      <c r="AQ121" s="290"/>
      <c r="AR121" s="272"/>
      <c r="AS121" s="268"/>
      <c r="AT121" s="268"/>
      <c r="AU121" s="268"/>
      <c r="AV121" s="273"/>
      <c r="AW121" s="268"/>
      <c r="AX121" s="269"/>
      <c r="AY121" s="45"/>
      <c r="AZ121" s="19">
        <f t="shared" si="6"/>
        <v>0</v>
      </c>
      <c r="BA121" s="227">
        <f t="shared" si="4"/>
        <v>3</v>
      </c>
      <c r="BB121" s="173"/>
      <c r="BC121" s="173"/>
      <c r="BD121" s="173"/>
      <c r="BE121" s="173"/>
      <c r="BF121" s="173"/>
      <c r="BG121" s="173"/>
      <c r="BH121" s="173"/>
      <c r="BI121" s="173"/>
      <c r="BJ121" s="173"/>
      <c r="BK121" s="173"/>
      <c r="BL121" s="173"/>
      <c r="BM121" s="173"/>
      <c r="BN121" s="173"/>
      <c r="BO121" s="324">
        <f t="shared" si="5"/>
        <v>184</v>
      </c>
      <c r="BP121" s="319"/>
      <c r="BQ121" s="324">
        <v>172</v>
      </c>
      <c r="BR121" s="358"/>
      <c r="BS121" s="358">
        <v>3</v>
      </c>
      <c r="BT121" s="319"/>
      <c r="BU121" s="324">
        <v>307</v>
      </c>
      <c r="BV121" s="358"/>
      <c r="BW121" s="358">
        <v>8</v>
      </c>
      <c r="BX121" s="319"/>
      <c r="BY121" s="217"/>
      <c r="BZ121" s="219"/>
      <c r="CA121" s="262"/>
      <c r="CB121" s="218"/>
      <c r="CC121" s="217"/>
      <c r="CD121" s="219"/>
      <c r="CE121" s="217"/>
      <c r="CF121" s="220"/>
      <c r="CG121" s="211"/>
      <c r="CH121" s="211"/>
      <c r="CI121" s="262"/>
      <c r="CJ121" s="319"/>
      <c r="CK121" s="211"/>
      <c r="CL121" s="211"/>
      <c r="CM121" s="258"/>
      <c r="CN121" s="173"/>
      <c r="CO121" s="173"/>
      <c r="CP121" s="173"/>
      <c r="CQ121" s="173"/>
      <c r="CR121" s="173"/>
      <c r="CS121" s="173"/>
      <c r="CT121" s="173"/>
      <c r="CU121" s="173"/>
    </row>
    <row r="122" spans="1:99" s="4" customFormat="1">
      <c r="A122" s="16" t="s">
        <v>34</v>
      </c>
      <c r="B122" s="21"/>
      <c r="C122" s="22"/>
      <c r="D122" s="265"/>
      <c r="E122" s="266"/>
      <c r="F122" s="266"/>
      <c r="G122" s="266"/>
      <c r="H122" s="267"/>
      <c r="I122" s="268"/>
      <c r="J122" s="269"/>
      <c r="K122" s="290"/>
      <c r="L122" s="265"/>
      <c r="M122" s="266"/>
      <c r="N122" s="266"/>
      <c r="O122" s="266"/>
      <c r="P122" s="271"/>
      <c r="Q122" s="268"/>
      <c r="R122" s="269"/>
      <c r="S122" s="290"/>
      <c r="T122" s="265"/>
      <c r="U122" s="266"/>
      <c r="V122" s="266"/>
      <c r="W122" s="266"/>
      <c r="X122" s="271"/>
      <c r="Y122" s="268"/>
      <c r="Z122" s="269"/>
      <c r="AA122" s="290"/>
      <c r="AB122" s="265"/>
      <c r="AC122" s="266"/>
      <c r="AD122" s="266"/>
      <c r="AE122" s="266"/>
      <c r="AF122" s="271"/>
      <c r="AG122" s="268"/>
      <c r="AH122" s="269"/>
      <c r="AI122" s="290"/>
      <c r="AJ122" s="265"/>
      <c r="AK122" s="266"/>
      <c r="AL122" s="266"/>
      <c r="AM122" s="266"/>
      <c r="AN122" s="271"/>
      <c r="AO122" s="268"/>
      <c r="AP122" s="269"/>
      <c r="AQ122" s="290"/>
      <c r="AR122" s="272"/>
      <c r="AS122" s="268"/>
      <c r="AT122" s="268"/>
      <c r="AU122" s="268"/>
      <c r="AV122" s="273"/>
      <c r="AW122" s="268"/>
      <c r="AX122" s="269"/>
      <c r="AY122" s="45"/>
      <c r="AZ122" s="19">
        <f t="shared" si="6"/>
        <v>0</v>
      </c>
      <c r="BA122" s="227">
        <f t="shared" si="4"/>
        <v>3</v>
      </c>
      <c r="BB122" s="173"/>
      <c r="BC122" s="173"/>
      <c r="BD122" s="173"/>
      <c r="BE122" s="173"/>
      <c r="BF122" s="173"/>
      <c r="BG122" s="173"/>
      <c r="BH122" s="173"/>
      <c r="BI122" s="173"/>
      <c r="BJ122" s="173"/>
      <c r="BK122" s="173"/>
      <c r="BL122" s="173"/>
      <c r="BM122" s="173"/>
      <c r="BN122" s="173"/>
      <c r="BO122" s="324">
        <f t="shared" si="5"/>
        <v>184</v>
      </c>
      <c r="BP122" s="319"/>
      <c r="BQ122" s="324">
        <v>172</v>
      </c>
      <c r="BR122" s="358"/>
      <c r="BS122" s="358">
        <v>3</v>
      </c>
      <c r="BT122" s="319"/>
      <c r="BU122" s="324">
        <v>307</v>
      </c>
      <c r="BV122" s="358"/>
      <c r="BW122" s="358">
        <v>8</v>
      </c>
      <c r="BX122" s="319"/>
      <c r="BY122" s="217"/>
      <c r="BZ122" s="219"/>
      <c r="CA122" s="262"/>
      <c r="CB122" s="218"/>
      <c r="CC122" s="217"/>
      <c r="CD122" s="219"/>
      <c r="CE122" s="217"/>
      <c r="CF122" s="220"/>
      <c r="CG122" s="211"/>
      <c r="CH122" s="211"/>
      <c r="CI122" s="262"/>
      <c r="CJ122" s="319"/>
      <c r="CK122" s="211"/>
      <c r="CL122" s="211"/>
      <c r="CM122" s="258"/>
      <c r="CN122" s="173"/>
      <c r="CO122" s="173"/>
      <c r="CP122" s="173"/>
      <c r="CQ122" s="173"/>
      <c r="CR122" s="173"/>
      <c r="CS122" s="173"/>
      <c r="CT122" s="173"/>
      <c r="CU122" s="173"/>
    </row>
    <row r="123" spans="1:99" s="4" customFormat="1">
      <c r="A123" s="16" t="s">
        <v>34</v>
      </c>
      <c r="B123" s="21"/>
      <c r="C123" s="22"/>
      <c r="D123" s="265"/>
      <c r="E123" s="266"/>
      <c r="F123" s="266"/>
      <c r="G123" s="266"/>
      <c r="H123" s="267"/>
      <c r="I123" s="268"/>
      <c r="J123" s="269"/>
      <c r="K123" s="290"/>
      <c r="L123" s="265"/>
      <c r="M123" s="266"/>
      <c r="N123" s="266"/>
      <c r="O123" s="266"/>
      <c r="P123" s="271"/>
      <c r="Q123" s="268"/>
      <c r="R123" s="269"/>
      <c r="S123" s="290"/>
      <c r="T123" s="265"/>
      <c r="U123" s="266"/>
      <c r="V123" s="266"/>
      <c r="W123" s="266"/>
      <c r="X123" s="271"/>
      <c r="Y123" s="268"/>
      <c r="Z123" s="269"/>
      <c r="AA123" s="290"/>
      <c r="AB123" s="265"/>
      <c r="AC123" s="266"/>
      <c r="AD123" s="266"/>
      <c r="AE123" s="266"/>
      <c r="AF123" s="271"/>
      <c r="AG123" s="268"/>
      <c r="AH123" s="269"/>
      <c r="AI123" s="290"/>
      <c r="AJ123" s="265"/>
      <c r="AK123" s="266"/>
      <c r="AL123" s="266"/>
      <c r="AM123" s="266"/>
      <c r="AN123" s="271"/>
      <c r="AO123" s="268"/>
      <c r="AP123" s="269"/>
      <c r="AQ123" s="290"/>
      <c r="AR123" s="272"/>
      <c r="AS123" s="268"/>
      <c r="AT123" s="268"/>
      <c r="AU123" s="268"/>
      <c r="AV123" s="273"/>
      <c r="AW123" s="268"/>
      <c r="AX123" s="269"/>
      <c r="AY123" s="45"/>
      <c r="AZ123" s="19">
        <f t="shared" si="6"/>
        <v>0</v>
      </c>
      <c r="BA123" s="227">
        <f t="shared" si="4"/>
        <v>3</v>
      </c>
      <c r="BB123" s="173"/>
      <c r="BC123" s="173"/>
      <c r="BD123" s="173"/>
      <c r="BE123" s="173"/>
      <c r="BF123" s="173"/>
      <c r="BG123" s="173"/>
      <c r="BH123" s="173"/>
      <c r="BI123" s="173"/>
      <c r="BJ123" s="173"/>
      <c r="BK123" s="173"/>
      <c r="BL123" s="173"/>
      <c r="BM123" s="173"/>
      <c r="BN123" s="173"/>
      <c r="BO123" s="324">
        <f t="shared" si="5"/>
        <v>184</v>
      </c>
      <c r="BP123" s="319"/>
      <c r="BQ123" s="324">
        <v>172</v>
      </c>
      <c r="BR123" s="358"/>
      <c r="BS123" s="358">
        <v>3</v>
      </c>
      <c r="BT123" s="319"/>
      <c r="BU123" s="324">
        <v>307</v>
      </c>
      <c r="BV123" s="358"/>
      <c r="BW123" s="358">
        <v>8</v>
      </c>
      <c r="BX123" s="319"/>
      <c r="BY123" s="217"/>
      <c r="BZ123" s="219"/>
      <c r="CA123" s="262"/>
      <c r="CB123" s="218"/>
      <c r="CC123" s="217"/>
      <c r="CD123" s="219"/>
      <c r="CE123" s="217"/>
      <c r="CF123" s="220"/>
      <c r="CG123" s="211"/>
      <c r="CH123" s="211"/>
      <c r="CI123" s="262"/>
      <c r="CJ123" s="319"/>
      <c r="CK123" s="211"/>
      <c r="CL123" s="211"/>
      <c r="CM123" s="258"/>
      <c r="CN123" s="173"/>
      <c r="CO123" s="173"/>
      <c r="CP123" s="173"/>
      <c r="CQ123" s="173"/>
      <c r="CR123" s="173"/>
      <c r="CS123" s="173"/>
      <c r="CT123" s="173"/>
      <c r="CU123" s="173"/>
    </row>
    <row r="124" spans="1:99" s="4" customFormat="1">
      <c r="A124" s="16" t="s">
        <v>34</v>
      </c>
      <c r="B124" s="21"/>
      <c r="C124" s="22"/>
      <c r="D124" s="265"/>
      <c r="E124" s="266"/>
      <c r="F124" s="266"/>
      <c r="G124" s="266"/>
      <c r="H124" s="267"/>
      <c r="I124" s="268"/>
      <c r="J124" s="269"/>
      <c r="K124" s="290"/>
      <c r="L124" s="265"/>
      <c r="M124" s="266"/>
      <c r="N124" s="266"/>
      <c r="O124" s="266"/>
      <c r="P124" s="271"/>
      <c r="Q124" s="268"/>
      <c r="R124" s="269"/>
      <c r="S124" s="290"/>
      <c r="T124" s="265"/>
      <c r="U124" s="266"/>
      <c r="V124" s="266"/>
      <c r="W124" s="266"/>
      <c r="X124" s="271"/>
      <c r="Y124" s="268"/>
      <c r="Z124" s="269"/>
      <c r="AA124" s="290"/>
      <c r="AB124" s="265"/>
      <c r="AC124" s="266"/>
      <c r="AD124" s="266"/>
      <c r="AE124" s="266"/>
      <c r="AF124" s="271"/>
      <c r="AG124" s="268"/>
      <c r="AH124" s="269"/>
      <c r="AI124" s="290"/>
      <c r="AJ124" s="265"/>
      <c r="AK124" s="266"/>
      <c r="AL124" s="266"/>
      <c r="AM124" s="266"/>
      <c r="AN124" s="271"/>
      <c r="AO124" s="268"/>
      <c r="AP124" s="269"/>
      <c r="AQ124" s="290"/>
      <c r="AR124" s="272"/>
      <c r="AS124" s="268"/>
      <c r="AT124" s="268"/>
      <c r="AU124" s="268"/>
      <c r="AV124" s="273"/>
      <c r="AW124" s="268"/>
      <c r="AX124" s="269"/>
      <c r="AY124" s="45"/>
      <c r="AZ124" s="19">
        <f t="shared" si="6"/>
        <v>0</v>
      </c>
      <c r="BA124" s="227">
        <f t="shared" si="4"/>
        <v>3</v>
      </c>
      <c r="BB124" s="173"/>
      <c r="BC124" s="173"/>
      <c r="BD124" s="173"/>
      <c r="BE124" s="173"/>
      <c r="BF124" s="173"/>
      <c r="BG124" s="173"/>
      <c r="BH124" s="173"/>
      <c r="BI124" s="173"/>
      <c r="BJ124" s="173"/>
      <c r="BK124" s="173"/>
      <c r="BL124" s="173"/>
      <c r="BM124" s="173"/>
      <c r="BN124" s="173"/>
      <c r="BO124" s="324">
        <f t="shared" si="5"/>
        <v>184</v>
      </c>
      <c r="BP124" s="319"/>
      <c r="BQ124" s="324">
        <v>172</v>
      </c>
      <c r="BR124" s="358"/>
      <c r="BS124" s="358">
        <v>3</v>
      </c>
      <c r="BT124" s="319"/>
      <c r="BU124" s="324">
        <v>307</v>
      </c>
      <c r="BV124" s="358"/>
      <c r="BW124" s="358">
        <v>8</v>
      </c>
      <c r="BX124" s="319"/>
      <c r="BY124" s="217"/>
      <c r="BZ124" s="219"/>
      <c r="CA124" s="262"/>
      <c r="CB124" s="218"/>
      <c r="CC124" s="217"/>
      <c r="CD124" s="219"/>
      <c r="CE124" s="217"/>
      <c r="CF124" s="220"/>
      <c r="CG124" s="211"/>
      <c r="CH124" s="211"/>
      <c r="CI124" s="262"/>
      <c r="CJ124" s="319"/>
      <c r="CK124" s="211"/>
      <c r="CL124" s="211"/>
      <c r="CM124" s="258"/>
      <c r="CN124" s="173"/>
      <c r="CO124" s="173"/>
      <c r="CP124" s="173"/>
      <c r="CQ124" s="173"/>
      <c r="CR124" s="173"/>
      <c r="CS124" s="173"/>
      <c r="CT124" s="173"/>
      <c r="CU124" s="173"/>
    </row>
    <row r="125" spans="1:99" s="13" customFormat="1" ht="13" thickBot="1">
      <c r="A125" s="17" t="s">
        <v>34</v>
      </c>
      <c r="B125" s="29"/>
      <c r="C125" s="30"/>
      <c r="D125" s="274"/>
      <c r="E125" s="275"/>
      <c r="F125" s="275"/>
      <c r="G125" s="275"/>
      <c r="H125" s="276"/>
      <c r="I125" s="277"/>
      <c r="J125" s="278"/>
      <c r="K125" s="291"/>
      <c r="L125" s="274"/>
      <c r="M125" s="275"/>
      <c r="N125" s="275"/>
      <c r="O125" s="275"/>
      <c r="P125" s="279"/>
      <c r="Q125" s="277"/>
      <c r="R125" s="278"/>
      <c r="S125" s="291"/>
      <c r="T125" s="274"/>
      <c r="U125" s="275"/>
      <c r="V125" s="275"/>
      <c r="W125" s="275"/>
      <c r="X125" s="279"/>
      <c r="Y125" s="277"/>
      <c r="Z125" s="278"/>
      <c r="AA125" s="291"/>
      <c r="AB125" s="274"/>
      <c r="AC125" s="275"/>
      <c r="AD125" s="275"/>
      <c r="AE125" s="275"/>
      <c r="AF125" s="279"/>
      <c r="AG125" s="277"/>
      <c r="AH125" s="278"/>
      <c r="AI125" s="291"/>
      <c r="AJ125" s="274"/>
      <c r="AK125" s="275"/>
      <c r="AL125" s="275"/>
      <c r="AM125" s="275"/>
      <c r="AN125" s="279"/>
      <c r="AO125" s="277"/>
      <c r="AP125" s="278"/>
      <c r="AQ125" s="291"/>
      <c r="AR125" s="280"/>
      <c r="AS125" s="277"/>
      <c r="AT125" s="277"/>
      <c r="AU125" s="277"/>
      <c r="AV125" s="281"/>
      <c r="AW125" s="277"/>
      <c r="AX125" s="278"/>
      <c r="AY125" s="46"/>
      <c r="AZ125" s="20"/>
      <c r="BA125" s="208">
        <f t="shared" si="4"/>
        <v>3</v>
      </c>
      <c r="BB125" s="176"/>
      <c r="BC125" s="176"/>
      <c r="BD125" s="176"/>
      <c r="BE125" s="176"/>
      <c r="BF125" s="176"/>
      <c r="BG125" s="176"/>
      <c r="BH125" s="176"/>
      <c r="BI125" s="176"/>
      <c r="BJ125" s="176"/>
      <c r="BK125" s="176"/>
      <c r="BL125" s="176"/>
      <c r="BM125" s="176"/>
      <c r="BN125" s="176"/>
      <c r="BO125" s="325">
        <f t="shared" si="5"/>
        <v>184</v>
      </c>
      <c r="BP125" s="238"/>
      <c r="BQ125" s="325">
        <v>172</v>
      </c>
      <c r="BR125" s="359"/>
      <c r="BS125" s="359">
        <v>3</v>
      </c>
      <c r="BT125" s="238"/>
      <c r="BU125" s="325">
        <v>307</v>
      </c>
      <c r="BV125" s="359"/>
      <c r="BW125" s="359">
        <v>8</v>
      </c>
      <c r="BX125" s="238"/>
      <c r="BY125" s="255"/>
      <c r="BZ125" s="244"/>
      <c r="CA125" s="264"/>
      <c r="CB125" s="254"/>
      <c r="CC125" s="255"/>
      <c r="CD125" s="244"/>
      <c r="CE125" s="255"/>
      <c r="CF125" s="263"/>
      <c r="CG125" s="239"/>
      <c r="CH125" s="239"/>
      <c r="CI125" s="264"/>
      <c r="CJ125" s="238"/>
      <c r="CK125" s="239"/>
      <c r="CL125" s="239"/>
      <c r="CM125" s="240"/>
      <c r="CN125" s="176"/>
      <c r="CO125" s="176"/>
      <c r="CP125" s="176"/>
      <c r="CQ125" s="176"/>
      <c r="CR125" s="176"/>
      <c r="CS125" s="176"/>
      <c r="CT125" s="176"/>
      <c r="CU125" s="176"/>
    </row>
    <row r="126" spans="1:99" s="4" customFormat="1">
      <c r="A126" s="15" t="s">
        <v>33</v>
      </c>
      <c r="B126" s="37"/>
      <c r="C126" s="38"/>
      <c r="D126" s="282"/>
      <c r="E126" s="283"/>
      <c r="F126" s="283"/>
      <c r="G126" s="283"/>
      <c r="H126" s="284"/>
      <c r="I126" s="285"/>
      <c r="J126" s="286"/>
      <c r="K126" s="292"/>
      <c r="L126" s="282"/>
      <c r="M126" s="283"/>
      <c r="N126" s="283"/>
      <c r="O126" s="283"/>
      <c r="P126" s="287"/>
      <c r="Q126" s="285"/>
      <c r="R126" s="286"/>
      <c r="S126" s="292"/>
      <c r="T126" s="282"/>
      <c r="U126" s="283"/>
      <c r="V126" s="283"/>
      <c r="W126" s="283"/>
      <c r="X126" s="287"/>
      <c r="Y126" s="285"/>
      <c r="Z126" s="286"/>
      <c r="AA126" s="292"/>
      <c r="AB126" s="282"/>
      <c r="AC126" s="283"/>
      <c r="AD126" s="283"/>
      <c r="AE126" s="283"/>
      <c r="AF126" s="287"/>
      <c r="AG126" s="285"/>
      <c r="AH126" s="286"/>
      <c r="AI126" s="292"/>
      <c r="AJ126" s="282"/>
      <c r="AK126" s="283"/>
      <c r="AL126" s="283"/>
      <c r="AM126" s="283"/>
      <c r="AN126" s="287"/>
      <c r="AO126" s="285"/>
      <c r="AP126" s="286"/>
      <c r="AQ126" s="292"/>
      <c r="AR126" s="288"/>
      <c r="AS126" s="285"/>
      <c r="AT126" s="285"/>
      <c r="AU126" s="285"/>
      <c r="AV126" s="289"/>
      <c r="AW126" s="285"/>
      <c r="AX126" s="286"/>
      <c r="AY126" s="44"/>
      <c r="AZ126" s="18">
        <f t="shared" si="6"/>
        <v>0</v>
      </c>
      <c r="BA126" s="200">
        <f t="shared" si="4"/>
        <v>3</v>
      </c>
      <c r="BB126" s="173"/>
      <c r="BC126" s="173"/>
      <c r="BD126" s="173"/>
      <c r="BE126" s="173"/>
      <c r="BF126" s="173"/>
      <c r="BG126" s="173"/>
      <c r="BH126" s="173"/>
      <c r="BI126" s="173"/>
      <c r="BJ126" s="173"/>
      <c r="BK126" s="173"/>
      <c r="BL126" s="173"/>
      <c r="BM126" s="173"/>
      <c r="BN126" s="173"/>
      <c r="BO126" s="324">
        <f t="shared" si="5"/>
        <v>184</v>
      </c>
      <c r="BP126" s="319"/>
      <c r="BQ126" s="324">
        <v>172</v>
      </c>
      <c r="BR126" s="358"/>
      <c r="BS126" s="358">
        <v>3</v>
      </c>
      <c r="BT126" s="319"/>
      <c r="BU126" s="324">
        <v>307</v>
      </c>
      <c r="BV126" s="358">
        <v>0</v>
      </c>
      <c r="BW126" s="358">
        <v>8</v>
      </c>
      <c r="BX126" s="319">
        <v>39904</v>
      </c>
      <c r="BY126" s="217">
        <v>91</v>
      </c>
      <c r="BZ126" s="219">
        <v>0</v>
      </c>
      <c r="CA126" s="262">
        <v>8</v>
      </c>
      <c r="CB126" s="218">
        <v>39570</v>
      </c>
      <c r="CC126" s="217">
        <v>123</v>
      </c>
      <c r="CD126" s="219">
        <v>5.8880000000000008</v>
      </c>
      <c r="CE126" s="217">
        <v>0</v>
      </c>
      <c r="CF126" s="220">
        <v>39205</v>
      </c>
      <c r="CG126" s="217">
        <v>123</v>
      </c>
      <c r="CH126" s="211">
        <v>7.1319999999999997</v>
      </c>
      <c r="CI126" s="262">
        <v>0</v>
      </c>
      <c r="CJ126" s="319">
        <v>38843</v>
      </c>
      <c r="CK126" s="217">
        <v>126</v>
      </c>
      <c r="CL126" s="211"/>
      <c r="CM126" s="258">
        <v>0</v>
      </c>
      <c r="CN126" s="173"/>
      <c r="CO126" s="173"/>
      <c r="CP126" s="173"/>
      <c r="CQ126" s="173"/>
      <c r="CR126" s="173"/>
      <c r="CS126" s="173"/>
      <c r="CT126" s="173"/>
      <c r="CU126" s="173"/>
    </row>
    <row r="127" spans="1:99" s="4" customFormat="1">
      <c r="A127" s="16" t="s">
        <v>33</v>
      </c>
      <c r="B127" s="21"/>
      <c r="C127" s="22"/>
      <c r="D127" s="265"/>
      <c r="E127" s="266"/>
      <c r="F127" s="266"/>
      <c r="G127" s="266"/>
      <c r="H127" s="267"/>
      <c r="I127" s="268"/>
      <c r="J127" s="269"/>
      <c r="K127" s="290"/>
      <c r="L127" s="265"/>
      <c r="M127" s="266"/>
      <c r="N127" s="266"/>
      <c r="O127" s="266"/>
      <c r="P127" s="271"/>
      <c r="Q127" s="268"/>
      <c r="R127" s="269"/>
      <c r="S127" s="290"/>
      <c r="T127" s="265"/>
      <c r="U127" s="266"/>
      <c r="V127" s="266"/>
      <c r="W127" s="266"/>
      <c r="X127" s="271"/>
      <c r="Y127" s="268"/>
      <c r="Z127" s="269"/>
      <c r="AA127" s="290"/>
      <c r="AB127" s="265"/>
      <c r="AC127" s="266"/>
      <c r="AD127" s="266"/>
      <c r="AE127" s="266"/>
      <c r="AF127" s="271"/>
      <c r="AG127" s="268"/>
      <c r="AH127" s="269"/>
      <c r="AI127" s="290"/>
      <c r="AJ127" s="265"/>
      <c r="AK127" s="266"/>
      <c r="AL127" s="266"/>
      <c r="AM127" s="266"/>
      <c r="AN127" s="271"/>
      <c r="AO127" s="268"/>
      <c r="AP127" s="269"/>
      <c r="AQ127" s="290"/>
      <c r="AR127" s="272"/>
      <c r="AS127" s="268"/>
      <c r="AT127" s="268"/>
      <c r="AU127" s="268"/>
      <c r="AV127" s="273"/>
      <c r="AW127" s="268"/>
      <c r="AX127" s="269"/>
      <c r="AY127" s="45"/>
      <c r="AZ127" s="19">
        <f t="shared" si="6"/>
        <v>0</v>
      </c>
      <c r="BA127" s="227">
        <f t="shared" si="4"/>
        <v>3</v>
      </c>
      <c r="BB127" s="173"/>
      <c r="BC127" s="173"/>
      <c r="BD127" s="173"/>
      <c r="BE127" s="173"/>
      <c r="BF127" s="173"/>
      <c r="BG127" s="173"/>
      <c r="BH127" s="173"/>
      <c r="BI127" s="173"/>
      <c r="BJ127" s="173"/>
      <c r="BK127" s="173"/>
      <c r="BL127" s="173"/>
      <c r="BM127" s="173"/>
      <c r="BN127" s="173"/>
      <c r="BO127" s="324">
        <f t="shared" si="5"/>
        <v>184</v>
      </c>
      <c r="BP127" s="319"/>
      <c r="BQ127" s="324">
        <v>172</v>
      </c>
      <c r="BR127" s="358"/>
      <c r="BS127" s="358">
        <v>3</v>
      </c>
      <c r="BT127" s="319"/>
      <c r="BU127" s="324">
        <v>307</v>
      </c>
      <c r="BV127" s="358">
        <v>0</v>
      </c>
      <c r="BW127" s="358">
        <v>8</v>
      </c>
      <c r="BX127" s="319"/>
      <c r="BY127" s="217"/>
      <c r="BZ127" s="219"/>
      <c r="CA127" s="262"/>
      <c r="CB127" s="218">
        <v>39576</v>
      </c>
      <c r="CC127" s="217">
        <v>129</v>
      </c>
      <c r="CD127" s="219">
        <v>7</v>
      </c>
      <c r="CE127" s="217">
        <v>0</v>
      </c>
      <c r="CF127" s="220">
        <v>39209</v>
      </c>
      <c r="CG127" s="217">
        <v>127</v>
      </c>
      <c r="CH127" s="211">
        <v>7.8599999999999994</v>
      </c>
      <c r="CI127" s="262">
        <v>0</v>
      </c>
      <c r="CJ127" s="319">
        <v>38845</v>
      </c>
      <c r="CK127" s="217">
        <v>128</v>
      </c>
      <c r="CL127" s="211"/>
      <c r="CM127" s="258">
        <v>0.2</v>
      </c>
      <c r="CN127" s="173"/>
      <c r="CO127" s="173"/>
      <c r="CP127" s="173"/>
      <c r="CQ127" s="173"/>
      <c r="CR127" s="173"/>
      <c r="CS127" s="173"/>
      <c r="CT127" s="173"/>
      <c r="CU127" s="173"/>
    </row>
    <row r="128" spans="1:99" s="4" customFormat="1">
      <c r="A128" s="16" t="s">
        <v>33</v>
      </c>
      <c r="B128" s="21"/>
      <c r="C128" s="22"/>
      <c r="D128" s="265"/>
      <c r="E128" s="266"/>
      <c r="F128" s="266"/>
      <c r="G128" s="266"/>
      <c r="H128" s="267"/>
      <c r="I128" s="268"/>
      <c r="J128" s="269"/>
      <c r="K128" s="290"/>
      <c r="L128" s="265"/>
      <c r="M128" s="266"/>
      <c r="N128" s="266"/>
      <c r="O128" s="266"/>
      <c r="P128" s="271"/>
      <c r="Q128" s="268"/>
      <c r="R128" s="269"/>
      <c r="S128" s="290"/>
      <c r="T128" s="265"/>
      <c r="U128" s="266"/>
      <c r="V128" s="266"/>
      <c r="W128" s="266"/>
      <c r="X128" s="271"/>
      <c r="Y128" s="268"/>
      <c r="Z128" s="269"/>
      <c r="AA128" s="290"/>
      <c r="AB128" s="265"/>
      <c r="AC128" s="266"/>
      <c r="AD128" s="266"/>
      <c r="AE128" s="266"/>
      <c r="AF128" s="271"/>
      <c r="AG128" s="268"/>
      <c r="AH128" s="269"/>
      <c r="AI128" s="290"/>
      <c r="AJ128" s="265"/>
      <c r="AK128" s="266"/>
      <c r="AL128" s="266"/>
      <c r="AM128" s="266"/>
      <c r="AN128" s="271"/>
      <c r="AO128" s="268"/>
      <c r="AP128" s="269"/>
      <c r="AQ128" s="290"/>
      <c r="AR128" s="272"/>
      <c r="AS128" s="268"/>
      <c r="AT128" s="268"/>
      <c r="AU128" s="268"/>
      <c r="AV128" s="273"/>
      <c r="AW128" s="268"/>
      <c r="AX128" s="269"/>
      <c r="AY128" s="45"/>
      <c r="AZ128" s="19">
        <f t="shared" si="6"/>
        <v>0</v>
      </c>
      <c r="BA128" s="227">
        <f t="shared" si="4"/>
        <v>3</v>
      </c>
      <c r="BB128" s="173"/>
      <c r="BC128" s="173"/>
      <c r="BD128" s="173"/>
      <c r="BE128" s="173"/>
      <c r="BF128" s="173"/>
      <c r="BG128" s="173"/>
      <c r="BH128" s="173"/>
      <c r="BI128" s="173"/>
      <c r="BJ128" s="173"/>
      <c r="BK128" s="173"/>
      <c r="BL128" s="173"/>
      <c r="BM128" s="173"/>
      <c r="BN128" s="173"/>
      <c r="BO128" s="324">
        <f t="shared" si="5"/>
        <v>184</v>
      </c>
      <c r="BP128" s="319"/>
      <c r="BQ128" s="324">
        <v>172</v>
      </c>
      <c r="BR128" s="358"/>
      <c r="BS128" s="358">
        <v>3</v>
      </c>
      <c r="BT128" s="319"/>
      <c r="BU128" s="324">
        <v>307</v>
      </c>
      <c r="BV128" s="358">
        <v>0</v>
      </c>
      <c r="BW128" s="358">
        <v>8</v>
      </c>
      <c r="BX128" s="319"/>
      <c r="BY128" s="217"/>
      <c r="BZ128" s="219"/>
      <c r="CA128" s="262"/>
      <c r="CB128" s="218">
        <v>39580</v>
      </c>
      <c r="CC128" s="217">
        <v>133</v>
      </c>
      <c r="CD128" s="219">
        <v>9.3239999999999998</v>
      </c>
      <c r="CE128" s="217">
        <v>0</v>
      </c>
      <c r="CF128" s="220">
        <v>39212</v>
      </c>
      <c r="CG128" s="217">
        <v>130</v>
      </c>
      <c r="CH128" s="211">
        <v>8.7360000000000007</v>
      </c>
      <c r="CI128" s="262">
        <v>0</v>
      </c>
      <c r="CJ128" s="319">
        <v>38848</v>
      </c>
      <c r="CK128" s="217">
        <v>131</v>
      </c>
      <c r="CL128" s="211">
        <v>12.795999999999998</v>
      </c>
      <c r="CM128" s="258">
        <v>1.2</v>
      </c>
      <c r="CN128" s="173"/>
      <c r="CO128" s="173"/>
      <c r="CP128" s="173"/>
      <c r="CQ128" s="173"/>
      <c r="CR128" s="173"/>
      <c r="CS128" s="173"/>
      <c r="CT128" s="173"/>
      <c r="CU128" s="173"/>
    </row>
    <row r="129" spans="1:99" s="4" customFormat="1">
      <c r="A129" s="16" t="s">
        <v>33</v>
      </c>
      <c r="B129" s="21"/>
      <c r="C129" s="22"/>
      <c r="D129" s="265"/>
      <c r="E129" s="266"/>
      <c r="F129" s="266"/>
      <c r="G129" s="266"/>
      <c r="H129" s="267"/>
      <c r="I129" s="268"/>
      <c r="J129" s="269"/>
      <c r="K129" s="290"/>
      <c r="L129" s="265"/>
      <c r="M129" s="266"/>
      <c r="N129" s="266"/>
      <c r="O129" s="266"/>
      <c r="P129" s="271"/>
      <c r="Q129" s="268"/>
      <c r="R129" s="269"/>
      <c r="S129" s="290"/>
      <c r="T129" s="265"/>
      <c r="U129" s="266"/>
      <c r="V129" s="266"/>
      <c r="W129" s="266"/>
      <c r="X129" s="271"/>
      <c r="Y129" s="268"/>
      <c r="Z129" s="269"/>
      <c r="AA129" s="290"/>
      <c r="AB129" s="265"/>
      <c r="AC129" s="266"/>
      <c r="AD129" s="266"/>
      <c r="AE129" s="266"/>
      <c r="AF129" s="271"/>
      <c r="AG129" s="268"/>
      <c r="AH129" s="269"/>
      <c r="AI129" s="290"/>
      <c r="AJ129" s="265"/>
      <c r="AK129" s="266"/>
      <c r="AL129" s="266"/>
      <c r="AM129" s="266"/>
      <c r="AN129" s="271"/>
      <c r="AO129" s="268"/>
      <c r="AP129" s="269"/>
      <c r="AQ129" s="290"/>
      <c r="AR129" s="272"/>
      <c r="AS129" s="268"/>
      <c r="AT129" s="268"/>
      <c r="AU129" s="268"/>
      <c r="AV129" s="273"/>
      <c r="AW129" s="268"/>
      <c r="AX129" s="269"/>
      <c r="AY129" s="45"/>
      <c r="AZ129" s="19">
        <f t="shared" si="6"/>
        <v>0</v>
      </c>
      <c r="BA129" s="227">
        <f t="shared" si="4"/>
        <v>3</v>
      </c>
      <c r="BB129" s="173"/>
      <c r="BC129" s="173"/>
      <c r="BD129" s="173"/>
      <c r="BE129" s="173"/>
      <c r="BF129" s="173"/>
      <c r="BG129" s="173"/>
      <c r="BH129" s="173"/>
      <c r="BI129" s="173"/>
      <c r="BJ129" s="173"/>
      <c r="BK129" s="173"/>
      <c r="BL129" s="173"/>
      <c r="BM129" s="173"/>
      <c r="BN129" s="173"/>
      <c r="BO129" s="324">
        <f t="shared" si="5"/>
        <v>184</v>
      </c>
      <c r="BP129" s="319"/>
      <c r="BQ129" s="324">
        <v>172</v>
      </c>
      <c r="BR129" s="358"/>
      <c r="BS129" s="358">
        <v>3</v>
      </c>
      <c r="BT129" s="319"/>
      <c r="BU129" s="324">
        <v>307</v>
      </c>
      <c r="BV129" s="358">
        <v>0</v>
      </c>
      <c r="BW129" s="358">
        <v>8</v>
      </c>
      <c r="BX129" s="319"/>
      <c r="BY129" s="217"/>
      <c r="BZ129" s="219"/>
      <c r="CA129" s="262"/>
      <c r="CB129" s="218">
        <v>39584</v>
      </c>
      <c r="CC129" s="217">
        <v>137</v>
      </c>
      <c r="CD129" s="219">
        <v>9.76</v>
      </c>
      <c r="CE129" s="217">
        <v>0</v>
      </c>
      <c r="CF129" s="220">
        <v>39216</v>
      </c>
      <c r="CG129" s="217">
        <v>134</v>
      </c>
      <c r="CH129" s="211">
        <v>9.9520000000000017</v>
      </c>
      <c r="CI129" s="262">
        <v>0</v>
      </c>
      <c r="CJ129" s="319">
        <v>38854</v>
      </c>
      <c r="CK129" s="217">
        <v>137</v>
      </c>
      <c r="CL129" s="211">
        <v>15.688000000000002</v>
      </c>
      <c r="CM129" s="258">
        <v>1.2</v>
      </c>
      <c r="CN129" s="173"/>
      <c r="CO129" s="173"/>
      <c r="CP129" s="173"/>
      <c r="CQ129" s="173"/>
      <c r="CR129" s="173"/>
      <c r="CS129" s="173"/>
      <c r="CT129" s="173"/>
      <c r="CU129" s="173"/>
    </row>
    <row r="130" spans="1:99" s="4" customFormat="1">
      <c r="A130" s="16" t="s">
        <v>33</v>
      </c>
      <c r="B130" s="21"/>
      <c r="C130" s="22"/>
      <c r="D130" s="265"/>
      <c r="E130" s="266"/>
      <c r="F130" s="266"/>
      <c r="G130" s="266"/>
      <c r="H130" s="267"/>
      <c r="I130" s="268"/>
      <c r="J130" s="269"/>
      <c r="K130" s="290"/>
      <c r="L130" s="265"/>
      <c r="M130" s="266"/>
      <c r="N130" s="266"/>
      <c r="O130" s="266"/>
      <c r="P130" s="271"/>
      <c r="Q130" s="268"/>
      <c r="R130" s="269"/>
      <c r="S130" s="290"/>
      <c r="T130" s="265"/>
      <c r="U130" s="266"/>
      <c r="V130" s="266"/>
      <c r="W130" s="266"/>
      <c r="X130" s="271"/>
      <c r="Y130" s="268"/>
      <c r="Z130" s="269"/>
      <c r="AA130" s="290"/>
      <c r="AB130" s="265"/>
      <c r="AC130" s="266"/>
      <c r="AD130" s="266"/>
      <c r="AE130" s="266"/>
      <c r="AF130" s="271"/>
      <c r="AG130" s="268"/>
      <c r="AH130" s="269"/>
      <c r="AI130" s="290"/>
      <c r="AJ130" s="265"/>
      <c r="AK130" s="266"/>
      <c r="AL130" s="266"/>
      <c r="AM130" s="266"/>
      <c r="AN130" s="271"/>
      <c r="AO130" s="268"/>
      <c r="AP130" s="269"/>
      <c r="AQ130" s="290"/>
      <c r="AR130" s="272"/>
      <c r="AS130" s="268"/>
      <c r="AT130" s="268"/>
      <c r="AU130" s="268"/>
      <c r="AV130" s="273"/>
      <c r="AW130" s="268"/>
      <c r="AX130" s="269"/>
      <c r="AY130" s="45"/>
      <c r="AZ130" s="19">
        <f t="shared" si="6"/>
        <v>0</v>
      </c>
      <c r="BA130" s="227">
        <f t="shared" si="4"/>
        <v>3</v>
      </c>
      <c r="BB130" s="173"/>
      <c r="BC130" s="173"/>
      <c r="BD130" s="173"/>
      <c r="BE130" s="173"/>
      <c r="BF130" s="173"/>
      <c r="BG130" s="173"/>
      <c r="BH130" s="173"/>
      <c r="BI130" s="173"/>
      <c r="BJ130" s="173"/>
      <c r="BK130" s="173"/>
      <c r="BL130" s="173"/>
      <c r="BM130" s="173"/>
      <c r="BN130" s="173"/>
      <c r="BO130" s="324">
        <f t="shared" si="5"/>
        <v>184</v>
      </c>
      <c r="BP130" s="319"/>
      <c r="BQ130" s="324">
        <v>172</v>
      </c>
      <c r="BR130" s="358"/>
      <c r="BS130" s="358">
        <v>3</v>
      </c>
      <c r="BT130" s="319"/>
      <c r="BU130" s="324">
        <v>307</v>
      </c>
      <c r="BV130" s="358">
        <v>0</v>
      </c>
      <c r="BW130" s="358">
        <v>8</v>
      </c>
      <c r="BX130" s="319"/>
      <c r="BY130" s="217"/>
      <c r="BZ130" s="219"/>
      <c r="CA130" s="262"/>
      <c r="CB130" s="218">
        <v>39591</v>
      </c>
      <c r="CC130" s="217">
        <v>144</v>
      </c>
      <c r="CD130" s="219">
        <v>11.519000000000002</v>
      </c>
      <c r="CE130" s="217">
        <v>0.4</v>
      </c>
      <c r="CF130" s="220">
        <v>39218</v>
      </c>
      <c r="CG130" s="217">
        <v>136</v>
      </c>
      <c r="CH130" s="211">
        <v>10.495999999999999</v>
      </c>
      <c r="CI130" s="262">
        <v>0</v>
      </c>
      <c r="CJ130" s="319">
        <v>38859</v>
      </c>
      <c r="CK130" s="217">
        <v>142</v>
      </c>
      <c r="CL130" s="211">
        <v>19.5</v>
      </c>
      <c r="CM130" s="258">
        <v>1.2</v>
      </c>
      <c r="CN130" s="173"/>
      <c r="CO130" s="173"/>
      <c r="CP130" s="173"/>
      <c r="CQ130" s="173"/>
      <c r="CR130" s="173"/>
      <c r="CS130" s="173"/>
      <c r="CT130" s="173"/>
      <c r="CU130" s="173"/>
    </row>
    <row r="131" spans="1:99" s="4" customFormat="1">
      <c r="A131" s="16" t="s">
        <v>33</v>
      </c>
      <c r="B131" s="21"/>
      <c r="C131" s="22"/>
      <c r="D131" s="265"/>
      <c r="E131" s="266"/>
      <c r="F131" s="266"/>
      <c r="G131" s="266"/>
      <c r="H131" s="267"/>
      <c r="I131" s="268"/>
      <c r="J131" s="269"/>
      <c r="K131" s="290"/>
      <c r="L131" s="265"/>
      <c r="M131" s="266"/>
      <c r="N131" s="266"/>
      <c r="O131" s="266"/>
      <c r="P131" s="271"/>
      <c r="Q131" s="268"/>
      <c r="R131" s="269"/>
      <c r="S131" s="290"/>
      <c r="T131" s="265"/>
      <c r="U131" s="266"/>
      <c r="V131" s="266"/>
      <c r="W131" s="266"/>
      <c r="X131" s="271"/>
      <c r="Y131" s="268"/>
      <c r="Z131" s="269"/>
      <c r="AA131" s="290"/>
      <c r="AB131" s="265"/>
      <c r="AC131" s="266"/>
      <c r="AD131" s="266"/>
      <c r="AE131" s="266"/>
      <c r="AF131" s="271"/>
      <c r="AG131" s="268"/>
      <c r="AH131" s="269"/>
      <c r="AI131" s="290"/>
      <c r="AJ131" s="265"/>
      <c r="AK131" s="266"/>
      <c r="AL131" s="266"/>
      <c r="AM131" s="266"/>
      <c r="AN131" s="271"/>
      <c r="AO131" s="268"/>
      <c r="AP131" s="269"/>
      <c r="AQ131" s="290"/>
      <c r="AR131" s="272"/>
      <c r="AS131" s="268"/>
      <c r="AT131" s="268"/>
      <c r="AU131" s="268"/>
      <c r="AV131" s="273"/>
      <c r="AW131" s="268"/>
      <c r="AX131" s="269"/>
      <c r="AY131" s="45"/>
      <c r="AZ131" s="19">
        <f t="shared" si="6"/>
        <v>0</v>
      </c>
      <c r="BA131" s="227">
        <f t="shared" si="4"/>
        <v>3</v>
      </c>
      <c r="BB131" s="173"/>
      <c r="BC131" s="173"/>
      <c r="BD131" s="173"/>
      <c r="BE131" s="173"/>
      <c r="BF131" s="173"/>
      <c r="BG131" s="173"/>
      <c r="BH131" s="173"/>
      <c r="BI131" s="173"/>
      <c r="BJ131" s="173"/>
      <c r="BK131" s="173"/>
      <c r="BL131" s="173"/>
      <c r="BM131" s="173"/>
      <c r="BN131" s="173"/>
      <c r="BO131" s="324">
        <f t="shared" si="5"/>
        <v>184</v>
      </c>
      <c r="BP131" s="319"/>
      <c r="BQ131" s="324">
        <v>172</v>
      </c>
      <c r="BR131" s="358"/>
      <c r="BS131" s="358">
        <v>3</v>
      </c>
      <c r="BT131" s="319"/>
      <c r="BU131" s="324">
        <v>307</v>
      </c>
      <c r="BV131" s="358">
        <v>0</v>
      </c>
      <c r="BW131" s="358">
        <v>8</v>
      </c>
      <c r="BX131" s="319"/>
      <c r="BY131" s="217"/>
      <c r="BZ131" s="219"/>
      <c r="CA131" s="262"/>
      <c r="CB131" s="218">
        <v>39594</v>
      </c>
      <c r="CC131" s="217">
        <v>147</v>
      </c>
      <c r="CD131" s="219">
        <v>14.916</v>
      </c>
      <c r="CE131" s="217">
        <v>1</v>
      </c>
      <c r="CF131" s="220">
        <v>39220</v>
      </c>
      <c r="CG131" s="217">
        <v>138</v>
      </c>
      <c r="CH131" s="211">
        <v>11.311999999999999</v>
      </c>
      <c r="CI131" s="262">
        <v>0.4</v>
      </c>
      <c r="CJ131" s="319">
        <v>38863</v>
      </c>
      <c r="CK131" s="217">
        <v>146</v>
      </c>
      <c r="CL131" s="211">
        <v>23.84</v>
      </c>
      <c r="CM131" s="258">
        <v>1.4</v>
      </c>
      <c r="CN131" s="173"/>
      <c r="CO131" s="173"/>
      <c r="CP131" s="173"/>
      <c r="CQ131" s="173"/>
      <c r="CR131" s="173"/>
      <c r="CS131" s="173"/>
      <c r="CT131" s="173"/>
      <c r="CU131" s="173"/>
    </row>
    <row r="132" spans="1:99" s="4" customFormat="1">
      <c r="A132" s="16" t="s">
        <v>33</v>
      </c>
      <c r="B132" s="21"/>
      <c r="C132" s="22"/>
      <c r="D132" s="265"/>
      <c r="E132" s="266"/>
      <c r="F132" s="266"/>
      <c r="G132" s="266"/>
      <c r="H132" s="267"/>
      <c r="I132" s="268"/>
      <c r="J132" s="269"/>
      <c r="K132" s="290"/>
      <c r="L132" s="265"/>
      <c r="M132" s="266"/>
      <c r="N132" s="266"/>
      <c r="O132" s="266"/>
      <c r="P132" s="271"/>
      <c r="Q132" s="268"/>
      <c r="R132" s="269"/>
      <c r="S132" s="290"/>
      <c r="T132" s="265"/>
      <c r="U132" s="266"/>
      <c r="V132" s="266"/>
      <c r="W132" s="266"/>
      <c r="X132" s="271"/>
      <c r="Y132" s="268"/>
      <c r="Z132" s="269"/>
      <c r="AA132" s="290"/>
      <c r="AB132" s="265"/>
      <c r="AC132" s="266"/>
      <c r="AD132" s="266"/>
      <c r="AE132" s="266"/>
      <c r="AF132" s="271"/>
      <c r="AG132" s="268"/>
      <c r="AH132" s="269"/>
      <c r="AI132" s="290"/>
      <c r="AJ132" s="265"/>
      <c r="AK132" s="266"/>
      <c r="AL132" s="266"/>
      <c r="AM132" s="266"/>
      <c r="AN132" s="271"/>
      <c r="AO132" s="268"/>
      <c r="AP132" s="269"/>
      <c r="AQ132" s="290"/>
      <c r="AR132" s="272"/>
      <c r="AS132" s="268"/>
      <c r="AT132" s="268"/>
      <c r="AU132" s="268"/>
      <c r="AV132" s="273"/>
      <c r="AW132" s="268"/>
      <c r="AX132" s="269"/>
      <c r="AY132" s="45"/>
      <c r="AZ132" s="19">
        <f t="shared" si="6"/>
        <v>0</v>
      </c>
      <c r="BA132" s="227">
        <f t="shared" si="4"/>
        <v>3</v>
      </c>
      <c r="BB132" s="173"/>
      <c r="BC132" s="173"/>
      <c r="BD132" s="173"/>
      <c r="BE132" s="173"/>
      <c r="BF132" s="173"/>
      <c r="BG132" s="173"/>
      <c r="BH132" s="173"/>
      <c r="BI132" s="173"/>
      <c r="BJ132" s="173"/>
      <c r="BK132" s="173"/>
      <c r="BL132" s="173"/>
      <c r="BM132" s="173"/>
      <c r="BN132" s="173"/>
      <c r="BO132" s="324">
        <f t="shared" si="5"/>
        <v>184</v>
      </c>
      <c r="BP132" s="319"/>
      <c r="BQ132" s="324">
        <v>172</v>
      </c>
      <c r="BR132" s="358"/>
      <c r="BS132" s="358">
        <v>3</v>
      </c>
      <c r="BT132" s="319"/>
      <c r="BU132" s="324">
        <v>307</v>
      </c>
      <c r="BV132" s="358">
        <v>0</v>
      </c>
      <c r="BW132" s="358">
        <v>8</v>
      </c>
      <c r="BX132" s="319"/>
      <c r="BY132" s="217"/>
      <c r="BZ132" s="219"/>
      <c r="CA132" s="262"/>
      <c r="CB132" s="218">
        <v>39597</v>
      </c>
      <c r="CC132" s="217">
        <v>150</v>
      </c>
      <c r="CD132" s="219">
        <v>19.600000000000001</v>
      </c>
      <c r="CE132" s="217">
        <v>1</v>
      </c>
      <c r="CF132" s="220">
        <v>39223</v>
      </c>
      <c r="CG132" s="217">
        <v>141</v>
      </c>
      <c r="CH132" s="211">
        <v>13.611999999999998</v>
      </c>
      <c r="CI132" s="262">
        <v>1</v>
      </c>
      <c r="CJ132" s="319">
        <v>38866</v>
      </c>
      <c r="CK132" s="217">
        <v>149</v>
      </c>
      <c r="CL132" s="211">
        <v>26.96</v>
      </c>
      <c r="CM132" s="258">
        <v>1.8</v>
      </c>
      <c r="CN132" s="173"/>
      <c r="CO132" s="173"/>
      <c r="CP132" s="173"/>
      <c r="CQ132" s="173"/>
      <c r="CR132" s="173"/>
      <c r="CS132" s="173"/>
      <c r="CT132" s="173"/>
      <c r="CU132" s="173"/>
    </row>
    <row r="133" spans="1:99" s="4" customFormat="1">
      <c r="A133" s="16" t="s">
        <v>33</v>
      </c>
      <c r="B133" s="21"/>
      <c r="C133" s="22"/>
      <c r="D133" s="265"/>
      <c r="E133" s="266"/>
      <c r="F133" s="266"/>
      <c r="G133" s="266"/>
      <c r="H133" s="267"/>
      <c r="I133" s="268"/>
      <c r="J133" s="269"/>
      <c r="K133" s="290"/>
      <c r="L133" s="265"/>
      <c r="M133" s="266"/>
      <c r="N133" s="266"/>
      <c r="O133" s="266"/>
      <c r="P133" s="271"/>
      <c r="Q133" s="268"/>
      <c r="R133" s="269"/>
      <c r="S133" s="290"/>
      <c r="T133" s="265"/>
      <c r="U133" s="266"/>
      <c r="V133" s="266"/>
      <c r="W133" s="266"/>
      <c r="X133" s="271"/>
      <c r="Y133" s="268"/>
      <c r="Z133" s="269"/>
      <c r="AA133" s="290"/>
      <c r="AB133" s="265"/>
      <c r="AC133" s="266"/>
      <c r="AD133" s="266"/>
      <c r="AE133" s="266"/>
      <c r="AF133" s="271"/>
      <c r="AG133" s="268"/>
      <c r="AH133" s="269"/>
      <c r="AI133" s="290"/>
      <c r="AJ133" s="265"/>
      <c r="AK133" s="266"/>
      <c r="AL133" s="266"/>
      <c r="AM133" s="266"/>
      <c r="AN133" s="271"/>
      <c r="AO133" s="268"/>
      <c r="AP133" s="269"/>
      <c r="AQ133" s="290"/>
      <c r="AR133" s="272"/>
      <c r="AS133" s="268"/>
      <c r="AT133" s="268"/>
      <c r="AU133" s="268"/>
      <c r="AV133" s="273"/>
      <c r="AW133" s="268"/>
      <c r="AX133" s="269"/>
      <c r="AY133" s="45"/>
      <c r="AZ133" s="19">
        <f t="shared" si="6"/>
        <v>0</v>
      </c>
      <c r="BA133" s="227">
        <f t="shared" si="4"/>
        <v>3</v>
      </c>
      <c r="BB133" s="173"/>
      <c r="BC133" s="173"/>
      <c r="BD133" s="173"/>
      <c r="BE133" s="173"/>
      <c r="BF133" s="173"/>
      <c r="BG133" s="173"/>
      <c r="BH133" s="173"/>
      <c r="BI133" s="173"/>
      <c r="BJ133" s="173"/>
      <c r="BK133" s="173"/>
      <c r="BL133" s="173"/>
      <c r="BM133" s="173"/>
      <c r="BN133" s="173"/>
      <c r="BO133" s="324">
        <f t="shared" si="5"/>
        <v>184</v>
      </c>
      <c r="BP133" s="319"/>
      <c r="BQ133" s="324">
        <v>172</v>
      </c>
      <c r="BR133" s="358"/>
      <c r="BS133" s="358">
        <v>3</v>
      </c>
      <c r="BT133" s="319"/>
      <c r="BU133" s="324">
        <v>307</v>
      </c>
      <c r="BV133" s="358">
        <v>0</v>
      </c>
      <c r="BW133" s="358">
        <v>8</v>
      </c>
      <c r="BX133" s="319"/>
      <c r="BY133" s="217"/>
      <c r="BZ133" s="219"/>
      <c r="CA133" s="262"/>
      <c r="CB133" s="218">
        <v>39601</v>
      </c>
      <c r="CC133" s="217">
        <v>154</v>
      </c>
      <c r="CD133" s="219">
        <v>31.560000000000002</v>
      </c>
      <c r="CE133" s="217">
        <v>2</v>
      </c>
      <c r="CF133" s="220">
        <v>39225</v>
      </c>
      <c r="CG133" s="217">
        <v>143</v>
      </c>
      <c r="CH133" s="211">
        <v>16.684000000000001</v>
      </c>
      <c r="CI133" s="262">
        <v>1</v>
      </c>
      <c r="CJ133" s="319">
        <v>38868</v>
      </c>
      <c r="CK133" s="217">
        <v>151</v>
      </c>
      <c r="CL133" s="211">
        <v>28.52</v>
      </c>
      <c r="CM133" s="258">
        <v>1.8</v>
      </c>
      <c r="CN133" s="173"/>
      <c r="CO133" s="173"/>
      <c r="CP133" s="173"/>
      <c r="CQ133" s="173"/>
      <c r="CR133" s="173"/>
      <c r="CS133" s="173"/>
      <c r="CT133" s="173"/>
      <c r="CU133" s="173"/>
    </row>
    <row r="134" spans="1:99" s="4" customFormat="1">
      <c r="A134" s="16" t="s">
        <v>33</v>
      </c>
      <c r="B134" s="21"/>
      <c r="C134" s="22"/>
      <c r="D134" s="265"/>
      <c r="E134" s="266"/>
      <c r="F134" s="266"/>
      <c r="G134" s="266"/>
      <c r="H134" s="267"/>
      <c r="I134" s="268"/>
      <c r="J134" s="269"/>
      <c r="K134" s="290"/>
      <c r="L134" s="265"/>
      <c r="M134" s="266"/>
      <c r="N134" s="266"/>
      <c r="O134" s="266"/>
      <c r="P134" s="271"/>
      <c r="Q134" s="268"/>
      <c r="R134" s="269"/>
      <c r="S134" s="290"/>
      <c r="T134" s="265"/>
      <c r="U134" s="266"/>
      <c r="V134" s="266"/>
      <c r="W134" s="266"/>
      <c r="X134" s="271"/>
      <c r="Y134" s="268"/>
      <c r="Z134" s="269"/>
      <c r="AA134" s="290"/>
      <c r="AB134" s="265"/>
      <c r="AC134" s="266"/>
      <c r="AD134" s="266"/>
      <c r="AE134" s="266"/>
      <c r="AF134" s="271"/>
      <c r="AG134" s="268"/>
      <c r="AH134" s="269"/>
      <c r="AI134" s="290"/>
      <c r="AJ134" s="265"/>
      <c r="AK134" s="266"/>
      <c r="AL134" s="266"/>
      <c r="AM134" s="266"/>
      <c r="AN134" s="271"/>
      <c r="AO134" s="268"/>
      <c r="AP134" s="269"/>
      <c r="AQ134" s="290"/>
      <c r="AR134" s="272"/>
      <c r="AS134" s="268"/>
      <c r="AT134" s="268"/>
      <c r="AU134" s="268"/>
      <c r="AV134" s="273"/>
      <c r="AW134" s="268"/>
      <c r="AX134" s="269"/>
      <c r="AY134" s="45"/>
      <c r="AZ134" s="19">
        <f t="shared" si="6"/>
        <v>0</v>
      </c>
      <c r="BA134" s="227">
        <f t="shared" ref="BA134:BA155" si="7">IF(COUNT(K134,S134,AA134,AI134,AQ134)=0,BA133,AVERAGE(K134,S134,AA134,AI134,AQ134))</f>
        <v>3</v>
      </c>
      <c r="BB134" s="173"/>
      <c r="BC134" s="173"/>
      <c r="BD134" s="173"/>
      <c r="BE134" s="173"/>
      <c r="BF134" s="173"/>
      <c r="BG134" s="173"/>
      <c r="BH134" s="173"/>
      <c r="BI134" s="173"/>
      <c r="BJ134" s="173"/>
      <c r="BK134" s="173"/>
      <c r="BL134" s="173"/>
      <c r="BM134" s="173"/>
      <c r="BN134" s="173"/>
      <c r="BO134" s="324">
        <f t="shared" ref="BO134:BO155" si="8">IF(B134=0,BO133,B134-DATE(YEAR(B134)-1,12,31))</f>
        <v>184</v>
      </c>
      <c r="BP134" s="319"/>
      <c r="BQ134" s="324">
        <v>172</v>
      </c>
      <c r="BR134" s="358"/>
      <c r="BS134" s="358">
        <v>3</v>
      </c>
      <c r="BT134" s="319"/>
      <c r="BU134" s="324">
        <v>307</v>
      </c>
      <c r="BV134" s="358">
        <v>0</v>
      </c>
      <c r="BW134" s="358">
        <v>8</v>
      </c>
      <c r="BX134" s="319"/>
      <c r="BY134" s="217"/>
      <c r="BZ134" s="219"/>
      <c r="CA134" s="262"/>
      <c r="CB134" s="218">
        <v>39604</v>
      </c>
      <c r="CC134" s="217">
        <v>157</v>
      </c>
      <c r="CD134" s="219">
        <v>38.923999999999999</v>
      </c>
      <c r="CE134" s="217">
        <v>2</v>
      </c>
      <c r="CF134" s="220">
        <v>39227</v>
      </c>
      <c r="CG134" s="217">
        <v>145</v>
      </c>
      <c r="CH134" s="211">
        <v>19.744</v>
      </c>
      <c r="CI134" s="262">
        <v>1.6</v>
      </c>
      <c r="CJ134" s="319">
        <v>38870</v>
      </c>
      <c r="CK134" s="217">
        <v>153</v>
      </c>
      <c r="CL134" s="211">
        <v>30.972000000000001</v>
      </c>
      <c r="CM134" s="258">
        <v>2</v>
      </c>
      <c r="CN134" s="173"/>
      <c r="CO134" s="173"/>
      <c r="CP134" s="173"/>
      <c r="CQ134" s="173"/>
      <c r="CR134" s="173"/>
      <c r="CS134" s="173"/>
      <c r="CT134" s="173"/>
      <c r="CU134" s="173"/>
    </row>
    <row r="135" spans="1:99" s="4" customFormat="1">
      <c r="A135" s="16" t="s">
        <v>33</v>
      </c>
      <c r="B135" s="21"/>
      <c r="C135" s="22"/>
      <c r="D135" s="265"/>
      <c r="E135" s="266"/>
      <c r="F135" s="266"/>
      <c r="G135" s="266"/>
      <c r="H135" s="267"/>
      <c r="I135" s="268"/>
      <c r="J135" s="269"/>
      <c r="K135" s="290"/>
      <c r="L135" s="265"/>
      <c r="M135" s="266"/>
      <c r="N135" s="266"/>
      <c r="O135" s="266"/>
      <c r="P135" s="271"/>
      <c r="Q135" s="268"/>
      <c r="R135" s="269"/>
      <c r="S135" s="290"/>
      <c r="T135" s="265"/>
      <c r="U135" s="266"/>
      <c r="V135" s="266"/>
      <c r="W135" s="266"/>
      <c r="X135" s="271"/>
      <c r="Y135" s="268"/>
      <c r="Z135" s="269"/>
      <c r="AA135" s="290"/>
      <c r="AB135" s="265"/>
      <c r="AC135" s="266"/>
      <c r="AD135" s="266"/>
      <c r="AE135" s="266"/>
      <c r="AF135" s="271"/>
      <c r="AG135" s="268"/>
      <c r="AH135" s="269"/>
      <c r="AI135" s="290"/>
      <c r="AJ135" s="265"/>
      <c r="AK135" s="266"/>
      <c r="AL135" s="266"/>
      <c r="AM135" s="266"/>
      <c r="AN135" s="271"/>
      <c r="AO135" s="268"/>
      <c r="AP135" s="269"/>
      <c r="AQ135" s="290"/>
      <c r="AR135" s="272"/>
      <c r="AS135" s="268"/>
      <c r="AT135" s="268"/>
      <c r="AU135" s="268"/>
      <c r="AV135" s="273"/>
      <c r="AW135" s="268"/>
      <c r="AX135" s="269"/>
      <c r="AY135" s="45"/>
      <c r="AZ135" s="19">
        <f t="shared" si="6"/>
        <v>0</v>
      </c>
      <c r="BA135" s="227">
        <f t="shared" si="7"/>
        <v>3</v>
      </c>
      <c r="BB135" s="173"/>
      <c r="BC135" s="173"/>
      <c r="BD135" s="173"/>
      <c r="BE135" s="173"/>
      <c r="BF135" s="173"/>
      <c r="BG135" s="173"/>
      <c r="BH135" s="173"/>
      <c r="BI135" s="173"/>
      <c r="BJ135" s="173"/>
      <c r="BK135" s="173"/>
      <c r="BL135" s="173"/>
      <c r="BM135" s="173"/>
      <c r="BN135" s="173"/>
      <c r="BO135" s="324">
        <f t="shared" si="8"/>
        <v>184</v>
      </c>
      <c r="BP135" s="319"/>
      <c r="BQ135" s="324">
        <v>172</v>
      </c>
      <c r="BR135" s="358"/>
      <c r="BS135" s="358">
        <v>3</v>
      </c>
      <c r="BT135" s="319"/>
      <c r="BU135" s="324">
        <v>307</v>
      </c>
      <c r="BV135" s="358">
        <v>0</v>
      </c>
      <c r="BW135" s="358">
        <v>8</v>
      </c>
      <c r="BX135" s="319"/>
      <c r="BY135" s="217"/>
      <c r="BZ135" s="219"/>
      <c r="CA135" s="262"/>
      <c r="CB135" s="218">
        <v>39610</v>
      </c>
      <c r="CC135" s="217">
        <v>163</v>
      </c>
      <c r="CD135" s="219">
        <v>43.16</v>
      </c>
      <c r="CE135" s="217">
        <v>2</v>
      </c>
      <c r="CF135" s="220">
        <v>39230</v>
      </c>
      <c r="CG135" s="217">
        <v>148</v>
      </c>
      <c r="CH135" s="211">
        <v>25.355999999999998</v>
      </c>
      <c r="CI135" s="262">
        <v>2</v>
      </c>
      <c r="CJ135" s="319">
        <v>38875</v>
      </c>
      <c r="CK135" s="217">
        <v>158</v>
      </c>
      <c r="CL135" s="211">
        <v>36.347999999999999</v>
      </c>
      <c r="CM135" s="258">
        <v>2</v>
      </c>
      <c r="CN135" s="173"/>
      <c r="CO135" s="173"/>
      <c r="CP135" s="173"/>
      <c r="CQ135" s="173"/>
      <c r="CR135" s="173"/>
      <c r="CS135" s="173"/>
      <c r="CT135" s="173"/>
      <c r="CU135" s="173"/>
    </row>
    <row r="136" spans="1:99" s="4" customFormat="1">
      <c r="A136" s="16" t="s">
        <v>33</v>
      </c>
      <c r="B136" s="21"/>
      <c r="C136" s="22"/>
      <c r="D136" s="265"/>
      <c r="E136" s="266"/>
      <c r="F136" s="266"/>
      <c r="G136" s="266"/>
      <c r="H136" s="267"/>
      <c r="I136" s="268"/>
      <c r="J136" s="269"/>
      <c r="K136" s="290"/>
      <c r="L136" s="265"/>
      <c r="M136" s="266"/>
      <c r="N136" s="266"/>
      <c r="O136" s="266"/>
      <c r="P136" s="271"/>
      <c r="Q136" s="268"/>
      <c r="R136" s="269"/>
      <c r="S136" s="290"/>
      <c r="T136" s="265"/>
      <c r="U136" s="266"/>
      <c r="V136" s="266"/>
      <c r="W136" s="266"/>
      <c r="X136" s="271"/>
      <c r="Y136" s="268"/>
      <c r="Z136" s="269"/>
      <c r="AA136" s="290"/>
      <c r="AB136" s="265"/>
      <c r="AC136" s="266"/>
      <c r="AD136" s="266"/>
      <c r="AE136" s="266"/>
      <c r="AF136" s="271"/>
      <c r="AG136" s="268"/>
      <c r="AH136" s="269"/>
      <c r="AI136" s="290"/>
      <c r="AJ136" s="265"/>
      <c r="AK136" s="266"/>
      <c r="AL136" s="266"/>
      <c r="AM136" s="266"/>
      <c r="AN136" s="271"/>
      <c r="AO136" s="268"/>
      <c r="AP136" s="269"/>
      <c r="AQ136" s="290"/>
      <c r="AR136" s="272"/>
      <c r="AS136" s="268"/>
      <c r="AT136" s="268"/>
      <c r="AU136" s="268"/>
      <c r="AV136" s="273"/>
      <c r="AW136" s="268"/>
      <c r="AX136" s="269"/>
      <c r="AY136" s="45"/>
      <c r="AZ136" s="19">
        <f t="shared" si="6"/>
        <v>0</v>
      </c>
      <c r="BA136" s="227">
        <f t="shared" si="7"/>
        <v>3</v>
      </c>
      <c r="BB136" s="173"/>
      <c r="BC136" s="173"/>
      <c r="BD136" s="173"/>
      <c r="BE136" s="173"/>
      <c r="BF136" s="173"/>
      <c r="BG136" s="173"/>
      <c r="BH136" s="173"/>
      <c r="BI136" s="173"/>
      <c r="BJ136" s="173"/>
      <c r="BK136" s="173"/>
      <c r="BL136" s="173"/>
      <c r="BM136" s="173"/>
      <c r="BN136" s="173"/>
      <c r="BO136" s="324">
        <f t="shared" si="8"/>
        <v>184</v>
      </c>
      <c r="BP136" s="319"/>
      <c r="BQ136" s="324">
        <v>172</v>
      </c>
      <c r="BR136" s="358"/>
      <c r="BS136" s="358">
        <v>3</v>
      </c>
      <c r="BT136" s="319"/>
      <c r="BU136" s="324">
        <v>307</v>
      </c>
      <c r="BV136" s="358">
        <v>0</v>
      </c>
      <c r="BW136" s="358">
        <v>8</v>
      </c>
      <c r="BX136" s="319"/>
      <c r="BY136" s="217"/>
      <c r="BZ136" s="219"/>
      <c r="CA136" s="262"/>
      <c r="CB136" s="218">
        <v>39617</v>
      </c>
      <c r="CC136" s="217">
        <v>170</v>
      </c>
      <c r="CD136" s="219">
        <v>46.315999999999995</v>
      </c>
      <c r="CE136" s="217">
        <v>2</v>
      </c>
      <c r="CF136" s="220">
        <v>39233</v>
      </c>
      <c r="CG136" s="217">
        <v>151</v>
      </c>
      <c r="CH136" s="211">
        <v>31.715999999999998</v>
      </c>
      <c r="CI136" s="262">
        <v>2</v>
      </c>
      <c r="CJ136" s="319">
        <v>38877</v>
      </c>
      <c r="CK136" s="217">
        <v>160</v>
      </c>
      <c r="CL136" s="211">
        <v>39.904000000000003</v>
      </c>
      <c r="CM136" s="258">
        <v>2</v>
      </c>
      <c r="CN136" s="173"/>
      <c r="CO136" s="173"/>
      <c r="CP136" s="173"/>
      <c r="CQ136" s="173"/>
      <c r="CR136" s="173"/>
      <c r="CS136" s="173"/>
      <c r="CT136" s="173"/>
      <c r="CU136" s="173"/>
    </row>
    <row r="137" spans="1:99" s="4" customFormat="1">
      <c r="A137" s="16" t="s">
        <v>33</v>
      </c>
      <c r="B137" s="21"/>
      <c r="C137" s="22"/>
      <c r="D137" s="265"/>
      <c r="E137" s="266"/>
      <c r="F137" s="266"/>
      <c r="G137" s="266"/>
      <c r="H137" s="267"/>
      <c r="I137" s="268"/>
      <c r="J137" s="269"/>
      <c r="K137" s="290"/>
      <c r="L137" s="265"/>
      <c r="M137" s="266"/>
      <c r="N137" s="266"/>
      <c r="O137" s="266"/>
      <c r="P137" s="271"/>
      <c r="Q137" s="268"/>
      <c r="R137" s="269"/>
      <c r="S137" s="290"/>
      <c r="T137" s="265"/>
      <c r="U137" s="266"/>
      <c r="V137" s="266"/>
      <c r="W137" s="266"/>
      <c r="X137" s="271"/>
      <c r="Y137" s="268"/>
      <c r="Z137" s="269"/>
      <c r="AA137" s="290"/>
      <c r="AB137" s="265"/>
      <c r="AC137" s="266"/>
      <c r="AD137" s="266"/>
      <c r="AE137" s="266"/>
      <c r="AF137" s="271"/>
      <c r="AG137" s="268"/>
      <c r="AH137" s="269"/>
      <c r="AI137" s="290"/>
      <c r="AJ137" s="265"/>
      <c r="AK137" s="266"/>
      <c r="AL137" s="266"/>
      <c r="AM137" s="266"/>
      <c r="AN137" s="271"/>
      <c r="AO137" s="268"/>
      <c r="AP137" s="269"/>
      <c r="AQ137" s="290"/>
      <c r="AR137" s="272"/>
      <c r="AS137" s="268"/>
      <c r="AT137" s="268"/>
      <c r="AU137" s="268"/>
      <c r="AV137" s="273"/>
      <c r="AW137" s="268"/>
      <c r="AX137" s="269"/>
      <c r="AY137" s="45"/>
      <c r="AZ137" s="19">
        <f t="shared" si="6"/>
        <v>0</v>
      </c>
      <c r="BA137" s="227">
        <f t="shared" si="7"/>
        <v>3</v>
      </c>
      <c r="BB137" s="173"/>
      <c r="BC137" s="173"/>
      <c r="BD137" s="173"/>
      <c r="BE137" s="173"/>
      <c r="BF137" s="173"/>
      <c r="BG137" s="173"/>
      <c r="BH137" s="173"/>
      <c r="BI137" s="173"/>
      <c r="BJ137" s="173"/>
      <c r="BK137" s="173"/>
      <c r="BL137" s="173"/>
      <c r="BM137" s="173"/>
      <c r="BN137" s="173"/>
      <c r="BO137" s="324">
        <f t="shared" si="8"/>
        <v>184</v>
      </c>
      <c r="BP137" s="319"/>
      <c r="BQ137" s="324">
        <v>172</v>
      </c>
      <c r="BR137" s="358"/>
      <c r="BS137" s="358">
        <v>3</v>
      </c>
      <c r="BT137" s="319"/>
      <c r="BU137" s="324">
        <v>307</v>
      </c>
      <c r="BV137" s="358">
        <v>0</v>
      </c>
      <c r="BW137" s="358">
        <v>8</v>
      </c>
      <c r="BX137" s="319"/>
      <c r="BY137" s="217"/>
      <c r="BZ137" s="219"/>
      <c r="CA137" s="262"/>
      <c r="CB137" s="218">
        <v>39625</v>
      </c>
      <c r="CC137" s="217">
        <v>178</v>
      </c>
      <c r="CD137" s="219">
        <v>47.508000000000003</v>
      </c>
      <c r="CE137" s="217">
        <v>3</v>
      </c>
      <c r="CF137" s="220">
        <v>39237</v>
      </c>
      <c r="CG137" s="217">
        <v>155</v>
      </c>
      <c r="CH137" s="211">
        <v>39.003999999999998</v>
      </c>
      <c r="CI137" s="262">
        <v>2</v>
      </c>
      <c r="CJ137" s="319">
        <v>38880</v>
      </c>
      <c r="CK137" s="217">
        <v>163</v>
      </c>
      <c r="CL137" s="211">
        <v>43.043999999999997</v>
      </c>
      <c r="CM137" s="258">
        <v>2</v>
      </c>
      <c r="CN137" s="173"/>
      <c r="CO137" s="173"/>
      <c r="CP137" s="173"/>
      <c r="CQ137" s="173"/>
      <c r="CR137" s="173"/>
      <c r="CS137" s="173"/>
      <c r="CT137" s="173"/>
      <c r="CU137" s="173"/>
    </row>
    <row r="138" spans="1:99" s="4" customFormat="1">
      <c r="A138" s="16" t="s">
        <v>33</v>
      </c>
      <c r="B138" s="21"/>
      <c r="C138" s="22"/>
      <c r="D138" s="265"/>
      <c r="E138" s="266"/>
      <c r="F138" s="266"/>
      <c r="G138" s="266"/>
      <c r="H138" s="267"/>
      <c r="I138" s="268"/>
      <c r="J138" s="269"/>
      <c r="K138" s="290"/>
      <c r="L138" s="265"/>
      <c r="M138" s="266"/>
      <c r="N138" s="266"/>
      <c r="O138" s="266"/>
      <c r="P138" s="271"/>
      <c r="Q138" s="268"/>
      <c r="R138" s="269"/>
      <c r="S138" s="290"/>
      <c r="T138" s="265"/>
      <c r="U138" s="266"/>
      <c r="V138" s="266"/>
      <c r="W138" s="266"/>
      <c r="X138" s="271"/>
      <c r="Y138" s="268"/>
      <c r="Z138" s="269"/>
      <c r="AA138" s="290"/>
      <c r="AB138" s="265"/>
      <c r="AC138" s="266"/>
      <c r="AD138" s="266"/>
      <c r="AE138" s="266"/>
      <c r="AF138" s="271"/>
      <c r="AG138" s="268"/>
      <c r="AH138" s="269"/>
      <c r="AI138" s="290"/>
      <c r="AJ138" s="265"/>
      <c r="AK138" s="266"/>
      <c r="AL138" s="266"/>
      <c r="AM138" s="266"/>
      <c r="AN138" s="271"/>
      <c r="AO138" s="268"/>
      <c r="AP138" s="269"/>
      <c r="AQ138" s="290"/>
      <c r="AR138" s="272"/>
      <c r="AS138" s="268"/>
      <c r="AT138" s="268"/>
      <c r="AU138" s="268"/>
      <c r="AV138" s="273"/>
      <c r="AW138" s="268"/>
      <c r="AX138" s="269"/>
      <c r="AY138" s="45"/>
      <c r="AZ138" s="19">
        <f t="shared" si="6"/>
        <v>0</v>
      </c>
      <c r="BA138" s="227">
        <f t="shared" si="7"/>
        <v>3</v>
      </c>
      <c r="BB138" s="173"/>
      <c r="BC138" s="173"/>
      <c r="BD138" s="173"/>
      <c r="BE138" s="173"/>
      <c r="BF138" s="173"/>
      <c r="BG138" s="173"/>
      <c r="BH138" s="173"/>
      <c r="BI138" s="173"/>
      <c r="BJ138" s="173"/>
      <c r="BK138" s="173"/>
      <c r="BL138" s="173"/>
      <c r="BM138" s="173"/>
      <c r="BN138" s="173"/>
      <c r="BO138" s="324">
        <f t="shared" si="8"/>
        <v>184</v>
      </c>
      <c r="BP138" s="319"/>
      <c r="BQ138" s="324">
        <v>172</v>
      </c>
      <c r="BR138" s="358"/>
      <c r="BS138" s="358">
        <v>3</v>
      </c>
      <c r="BT138" s="319"/>
      <c r="BU138" s="324">
        <v>307</v>
      </c>
      <c r="BV138" s="358">
        <v>0</v>
      </c>
      <c r="BW138" s="358">
        <v>8</v>
      </c>
      <c r="BX138" s="319"/>
      <c r="BY138" s="217"/>
      <c r="BZ138" s="219"/>
      <c r="CA138" s="262"/>
      <c r="CB138" s="218">
        <v>39686</v>
      </c>
      <c r="CC138" s="217">
        <v>239</v>
      </c>
      <c r="CD138" s="219"/>
      <c r="CE138" s="217">
        <v>3.8</v>
      </c>
      <c r="CF138" s="220">
        <v>39241</v>
      </c>
      <c r="CG138" s="217">
        <v>159</v>
      </c>
      <c r="CH138" s="211">
        <v>42.432000000000002</v>
      </c>
      <c r="CI138" s="262">
        <v>2</v>
      </c>
      <c r="CJ138" s="319">
        <v>38882</v>
      </c>
      <c r="CK138" s="217">
        <v>165</v>
      </c>
      <c r="CL138" s="211">
        <v>44.355999999999995</v>
      </c>
      <c r="CM138" s="258">
        <v>2</v>
      </c>
      <c r="CN138" s="173"/>
      <c r="CO138" s="173"/>
      <c r="CP138" s="173"/>
      <c r="CQ138" s="173"/>
      <c r="CR138" s="173"/>
      <c r="CS138" s="173"/>
      <c r="CT138" s="173"/>
      <c r="CU138" s="173"/>
    </row>
    <row r="139" spans="1:99" s="4" customFormat="1">
      <c r="A139" s="16" t="s">
        <v>33</v>
      </c>
      <c r="B139" s="21"/>
      <c r="C139" s="22"/>
      <c r="D139" s="265"/>
      <c r="E139" s="266"/>
      <c r="F139" s="266"/>
      <c r="G139" s="266"/>
      <c r="H139" s="267"/>
      <c r="I139" s="268"/>
      <c r="J139" s="269"/>
      <c r="K139" s="290"/>
      <c r="L139" s="265"/>
      <c r="M139" s="266"/>
      <c r="N139" s="266"/>
      <c r="O139" s="266"/>
      <c r="P139" s="271"/>
      <c r="Q139" s="268"/>
      <c r="R139" s="269"/>
      <c r="S139" s="290"/>
      <c r="T139" s="265"/>
      <c r="U139" s="266"/>
      <c r="V139" s="266"/>
      <c r="W139" s="266"/>
      <c r="X139" s="271"/>
      <c r="Y139" s="268"/>
      <c r="Z139" s="269"/>
      <c r="AA139" s="290"/>
      <c r="AB139" s="265"/>
      <c r="AC139" s="266"/>
      <c r="AD139" s="266"/>
      <c r="AE139" s="266"/>
      <c r="AF139" s="271"/>
      <c r="AG139" s="268"/>
      <c r="AH139" s="269"/>
      <c r="AI139" s="290"/>
      <c r="AJ139" s="265"/>
      <c r="AK139" s="266"/>
      <c r="AL139" s="266"/>
      <c r="AM139" s="266"/>
      <c r="AN139" s="271"/>
      <c r="AO139" s="268"/>
      <c r="AP139" s="269"/>
      <c r="AQ139" s="290"/>
      <c r="AR139" s="272"/>
      <c r="AS139" s="268"/>
      <c r="AT139" s="268"/>
      <c r="AU139" s="268"/>
      <c r="AV139" s="273"/>
      <c r="AW139" s="268"/>
      <c r="AX139" s="269"/>
      <c r="AY139" s="45"/>
      <c r="AZ139" s="19">
        <f t="shared" si="6"/>
        <v>0</v>
      </c>
      <c r="BA139" s="227">
        <f t="shared" si="7"/>
        <v>3</v>
      </c>
      <c r="BB139" s="173"/>
      <c r="BC139" s="173"/>
      <c r="BD139" s="173"/>
      <c r="BE139" s="173"/>
      <c r="BF139" s="173"/>
      <c r="BG139" s="173"/>
      <c r="BH139" s="173"/>
      <c r="BI139" s="173"/>
      <c r="BJ139" s="173"/>
      <c r="BK139" s="173"/>
      <c r="BL139" s="173"/>
      <c r="BM139" s="173"/>
      <c r="BN139" s="173"/>
      <c r="BO139" s="324">
        <f t="shared" si="8"/>
        <v>184</v>
      </c>
      <c r="BP139" s="319"/>
      <c r="BQ139" s="324">
        <v>172</v>
      </c>
      <c r="BR139" s="358"/>
      <c r="BS139" s="358">
        <v>3</v>
      </c>
      <c r="BT139" s="319"/>
      <c r="BU139" s="324">
        <v>307</v>
      </c>
      <c r="BV139" s="358">
        <v>0</v>
      </c>
      <c r="BW139" s="358">
        <v>8</v>
      </c>
      <c r="BX139" s="319"/>
      <c r="BY139" s="217"/>
      <c r="BZ139" s="219"/>
      <c r="CA139" s="262"/>
      <c r="CB139" s="218">
        <v>39693</v>
      </c>
      <c r="CC139" s="217">
        <v>246</v>
      </c>
      <c r="CD139" s="219"/>
      <c r="CE139" s="217">
        <v>4</v>
      </c>
      <c r="CF139" s="220">
        <v>39244</v>
      </c>
      <c r="CG139" s="217">
        <v>162</v>
      </c>
      <c r="CH139" s="211">
        <v>43.236000000000004</v>
      </c>
      <c r="CI139" s="262">
        <v>2</v>
      </c>
      <c r="CJ139" s="319">
        <v>38884</v>
      </c>
      <c r="CK139" s="217">
        <v>167</v>
      </c>
      <c r="CL139" s="211">
        <v>44.872</v>
      </c>
      <c r="CM139" s="258">
        <v>2.2000000000000002</v>
      </c>
      <c r="CN139" s="173"/>
      <c r="CO139" s="173"/>
      <c r="CP139" s="173"/>
      <c r="CQ139" s="173"/>
      <c r="CR139" s="173"/>
      <c r="CS139" s="173"/>
      <c r="CT139" s="173"/>
      <c r="CU139" s="173"/>
    </row>
    <row r="140" spans="1:99" s="4" customFormat="1">
      <c r="A140" s="16" t="s">
        <v>33</v>
      </c>
      <c r="B140" s="21"/>
      <c r="C140" s="22"/>
      <c r="D140" s="265"/>
      <c r="E140" s="266"/>
      <c r="F140" s="266"/>
      <c r="G140" s="266"/>
      <c r="H140" s="267"/>
      <c r="I140" s="268"/>
      <c r="J140" s="269"/>
      <c r="K140" s="290"/>
      <c r="L140" s="265"/>
      <c r="M140" s="266"/>
      <c r="N140" s="266"/>
      <c r="O140" s="266"/>
      <c r="P140" s="271"/>
      <c r="Q140" s="268"/>
      <c r="R140" s="269"/>
      <c r="S140" s="290"/>
      <c r="T140" s="265"/>
      <c r="U140" s="266"/>
      <c r="V140" s="266"/>
      <c r="W140" s="266"/>
      <c r="X140" s="271"/>
      <c r="Y140" s="268"/>
      <c r="Z140" s="269"/>
      <c r="AA140" s="290"/>
      <c r="AB140" s="265"/>
      <c r="AC140" s="266"/>
      <c r="AD140" s="266"/>
      <c r="AE140" s="266"/>
      <c r="AF140" s="271"/>
      <c r="AG140" s="268"/>
      <c r="AH140" s="269"/>
      <c r="AI140" s="290"/>
      <c r="AJ140" s="265"/>
      <c r="AK140" s="266"/>
      <c r="AL140" s="266"/>
      <c r="AM140" s="266"/>
      <c r="AN140" s="271"/>
      <c r="AO140" s="268"/>
      <c r="AP140" s="269"/>
      <c r="AQ140" s="290"/>
      <c r="AR140" s="272"/>
      <c r="AS140" s="268"/>
      <c r="AT140" s="268"/>
      <c r="AU140" s="268"/>
      <c r="AV140" s="273"/>
      <c r="AW140" s="268"/>
      <c r="AX140" s="269"/>
      <c r="AY140" s="45"/>
      <c r="AZ140" s="19">
        <f t="shared" si="6"/>
        <v>0</v>
      </c>
      <c r="BA140" s="227">
        <f t="shared" si="7"/>
        <v>3</v>
      </c>
      <c r="BB140" s="173"/>
      <c r="BC140" s="173"/>
      <c r="BD140" s="173"/>
      <c r="BE140" s="173"/>
      <c r="BF140" s="173"/>
      <c r="BG140" s="173"/>
      <c r="BH140" s="173"/>
      <c r="BI140" s="173"/>
      <c r="BJ140" s="173"/>
      <c r="BK140" s="173"/>
      <c r="BL140" s="173"/>
      <c r="BM140" s="173"/>
      <c r="BN140" s="173"/>
      <c r="BO140" s="324">
        <f t="shared" si="8"/>
        <v>184</v>
      </c>
      <c r="BP140" s="319"/>
      <c r="BQ140" s="324">
        <v>172</v>
      </c>
      <c r="BR140" s="358"/>
      <c r="BS140" s="358">
        <v>3</v>
      </c>
      <c r="BT140" s="319"/>
      <c r="BU140" s="324">
        <v>307</v>
      </c>
      <c r="BV140" s="358">
        <v>0</v>
      </c>
      <c r="BW140" s="358">
        <v>8</v>
      </c>
      <c r="BX140" s="319"/>
      <c r="BY140" s="217"/>
      <c r="BZ140" s="219"/>
      <c r="CA140" s="262"/>
      <c r="CB140" s="218">
        <v>39699</v>
      </c>
      <c r="CC140" s="217">
        <v>252</v>
      </c>
      <c r="CD140" s="219"/>
      <c r="CE140" s="217">
        <v>4</v>
      </c>
      <c r="CF140" s="220">
        <v>39251</v>
      </c>
      <c r="CG140" s="217">
        <v>169</v>
      </c>
      <c r="CH140" s="211">
        <v>43.956000000000003</v>
      </c>
      <c r="CI140" s="262">
        <v>3</v>
      </c>
      <c r="CJ140" s="319">
        <v>38887</v>
      </c>
      <c r="CK140" s="217">
        <v>170</v>
      </c>
      <c r="CL140" s="211">
        <v>45.467999999999996</v>
      </c>
      <c r="CM140" s="258">
        <v>3</v>
      </c>
      <c r="CN140" s="173"/>
      <c r="CO140" s="173"/>
      <c r="CP140" s="173"/>
      <c r="CQ140" s="173"/>
      <c r="CR140" s="173"/>
      <c r="CS140" s="173"/>
      <c r="CT140" s="173"/>
      <c r="CU140" s="173"/>
    </row>
    <row r="141" spans="1:99" s="4" customFormat="1">
      <c r="A141" s="16" t="s">
        <v>33</v>
      </c>
      <c r="B141" s="21"/>
      <c r="C141" s="22"/>
      <c r="D141" s="265"/>
      <c r="E141" s="266"/>
      <c r="F141" s="266"/>
      <c r="G141" s="266"/>
      <c r="H141" s="267"/>
      <c r="I141" s="268"/>
      <c r="J141" s="269"/>
      <c r="K141" s="290"/>
      <c r="L141" s="265"/>
      <c r="M141" s="266"/>
      <c r="N141" s="266"/>
      <c r="O141" s="266"/>
      <c r="P141" s="271"/>
      <c r="Q141" s="268"/>
      <c r="R141" s="269"/>
      <c r="S141" s="290"/>
      <c r="T141" s="265"/>
      <c r="U141" s="266"/>
      <c r="V141" s="266"/>
      <c r="W141" s="266"/>
      <c r="X141" s="271"/>
      <c r="Y141" s="268"/>
      <c r="Z141" s="269"/>
      <c r="AA141" s="290"/>
      <c r="AB141" s="265"/>
      <c r="AC141" s="266"/>
      <c r="AD141" s="266"/>
      <c r="AE141" s="266"/>
      <c r="AF141" s="271"/>
      <c r="AG141" s="268"/>
      <c r="AH141" s="269"/>
      <c r="AI141" s="290"/>
      <c r="AJ141" s="265"/>
      <c r="AK141" s="266"/>
      <c r="AL141" s="266"/>
      <c r="AM141" s="266"/>
      <c r="AN141" s="271"/>
      <c r="AO141" s="268"/>
      <c r="AP141" s="269"/>
      <c r="AQ141" s="290"/>
      <c r="AR141" s="272"/>
      <c r="AS141" s="268"/>
      <c r="AT141" s="268"/>
      <c r="AU141" s="268"/>
      <c r="AV141" s="273"/>
      <c r="AW141" s="268"/>
      <c r="AX141" s="269"/>
      <c r="AY141" s="45"/>
      <c r="AZ141" s="19">
        <f t="shared" ref="AZ141:AZ155" si="9">IF(COUNT(AJ141:AP141,AB141:AH141,T141:Z141,L141:R141,D141:J141)=0,AZ140,AVERAGE(AVERAGE(D141:J141),AVERAGE(L141:R141),AVERAGE(T141:Z141),AVERAGE(AB141:AH141),AVERAGE(AJ141:AP141)))</f>
        <v>0</v>
      </c>
      <c r="BA141" s="227">
        <f t="shared" si="7"/>
        <v>3</v>
      </c>
      <c r="BB141" s="173"/>
      <c r="BC141" s="173"/>
      <c r="BD141" s="173"/>
      <c r="BE141" s="173"/>
      <c r="BF141" s="173"/>
      <c r="BG141" s="173"/>
      <c r="BH141" s="173"/>
      <c r="BI141" s="173"/>
      <c r="BJ141" s="173"/>
      <c r="BK141" s="173"/>
      <c r="BL141" s="173"/>
      <c r="BM141" s="173"/>
      <c r="BN141" s="173"/>
      <c r="BO141" s="324">
        <f t="shared" si="8"/>
        <v>184</v>
      </c>
      <c r="BP141" s="319"/>
      <c r="BQ141" s="324">
        <v>172</v>
      </c>
      <c r="BR141" s="358"/>
      <c r="BS141" s="358">
        <v>3</v>
      </c>
      <c r="BT141" s="319"/>
      <c r="BU141" s="324">
        <v>307</v>
      </c>
      <c r="BV141" s="358">
        <v>0</v>
      </c>
      <c r="BW141" s="358">
        <v>8</v>
      </c>
      <c r="BX141" s="319"/>
      <c r="BY141" s="217"/>
      <c r="BZ141" s="219"/>
      <c r="CA141" s="262"/>
      <c r="CB141" s="218">
        <v>39706</v>
      </c>
      <c r="CC141" s="217">
        <v>259</v>
      </c>
      <c r="CD141" s="219"/>
      <c r="CE141" s="217">
        <v>4</v>
      </c>
      <c r="CF141" s="220">
        <v>39258</v>
      </c>
      <c r="CG141" s="217">
        <v>176</v>
      </c>
      <c r="CH141" s="211">
        <v>43.972000000000001</v>
      </c>
      <c r="CI141" s="262">
        <v>3</v>
      </c>
      <c r="CJ141" s="319">
        <v>38890</v>
      </c>
      <c r="CK141" s="217">
        <v>173</v>
      </c>
      <c r="CL141" s="211">
        <v>45.488</v>
      </c>
      <c r="CM141" s="258"/>
      <c r="CN141" s="173"/>
      <c r="CO141" s="173"/>
      <c r="CP141" s="173"/>
      <c r="CQ141" s="173"/>
      <c r="CR141" s="173"/>
      <c r="CS141" s="173"/>
      <c r="CT141" s="173"/>
      <c r="CU141" s="173"/>
    </row>
    <row r="142" spans="1:99" s="4" customFormat="1">
      <c r="A142" s="16" t="s">
        <v>33</v>
      </c>
      <c r="B142" s="21"/>
      <c r="C142" s="22"/>
      <c r="D142" s="265"/>
      <c r="E142" s="266"/>
      <c r="F142" s="266"/>
      <c r="G142" s="266"/>
      <c r="H142" s="267"/>
      <c r="I142" s="268"/>
      <c r="J142" s="269"/>
      <c r="K142" s="290"/>
      <c r="L142" s="265"/>
      <c r="M142" s="266"/>
      <c r="N142" s="266"/>
      <c r="O142" s="266"/>
      <c r="P142" s="271"/>
      <c r="Q142" s="268"/>
      <c r="R142" s="269"/>
      <c r="S142" s="290"/>
      <c r="T142" s="265"/>
      <c r="U142" s="266"/>
      <c r="V142" s="266"/>
      <c r="W142" s="266"/>
      <c r="X142" s="271"/>
      <c r="Y142" s="268"/>
      <c r="Z142" s="269"/>
      <c r="AA142" s="290"/>
      <c r="AB142" s="265"/>
      <c r="AC142" s="266"/>
      <c r="AD142" s="266"/>
      <c r="AE142" s="266"/>
      <c r="AF142" s="271"/>
      <c r="AG142" s="268"/>
      <c r="AH142" s="269"/>
      <c r="AI142" s="290"/>
      <c r="AJ142" s="265"/>
      <c r="AK142" s="266"/>
      <c r="AL142" s="266"/>
      <c r="AM142" s="266"/>
      <c r="AN142" s="271"/>
      <c r="AO142" s="268"/>
      <c r="AP142" s="269"/>
      <c r="AQ142" s="290"/>
      <c r="AR142" s="272"/>
      <c r="AS142" s="268"/>
      <c r="AT142" s="268"/>
      <c r="AU142" s="268"/>
      <c r="AV142" s="273"/>
      <c r="AW142" s="268"/>
      <c r="AX142" s="269"/>
      <c r="AY142" s="45"/>
      <c r="AZ142" s="19">
        <f t="shared" si="9"/>
        <v>0</v>
      </c>
      <c r="BA142" s="227">
        <f t="shared" si="7"/>
        <v>3</v>
      </c>
      <c r="BB142" s="173"/>
      <c r="BC142" s="173"/>
      <c r="BD142" s="173"/>
      <c r="BE142" s="173"/>
      <c r="BF142" s="173"/>
      <c r="BG142" s="173"/>
      <c r="BH142" s="173"/>
      <c r="BI142" s="173"/>
      <c r="BJ142" s="173"/>
      <c r="BK142" s="173"/>
      <c r="BL142" s="173"/>
      <c r="BM142" s="173"/>
      <c r="BN142" s="173"/>
      <c r="BO142" s="324">
        <f t="shared" si="8"/>
        <v>184</v>
      </c>
      <c r="BP142" s="319"/>
      <c r="BQ142" s="324">
        <v>172</v>
      </c>
      <c r="BR142" s="358"/>
      <c r="BS142" s="358">
        <v>3</v>
      </c>
      <c r="BT142" s="319"/>
      <c r="BU142" s="324">
        <v>307</v>
      </c>
      <c r="BV142" s="358">
        <v>0</v>
      </c>
      <c r="BW142" s="358">
        <v>8</v>
      </c>
      <c r="BX142" s="319"/>
      <c r="BY142" s="217"/>
      <c r="BZ142" s="219"/>
      <c r="CA142" s="262"/>
      <c r="CB142" s="218">
        <v>39713</v>
      </c>
      <c r="CC142" s="217">
        <v>266</v>
      </c>
      <c r="CD142" s="219"/>
      <c r="CE142" s="217">
        <v>5.2</v>
      </c>
      <c r="CF142" s="220">
        <v>39324</v>
      </c>
      <c r="CG142" s="217">
        <v>242</v>
      </c>
      <c r="CH142" s="211"/>
      <c r="CI142" s="262">
        <v>4</v>
      </c>
      <c r="CJ142" s="319"/>
      <c r="CK142" s="211"/>
      <c r="CL142" s="211"/>
      <c r="CM142" s="258"/>
      <c r="CN142" s="173"/>
      <c r="CO142" s="173"/>
      <c r="CP142" s="173"/>
      <c r="CQ142" s="173"/>
      <c r="CR142" s="173"/>
      <c r="CS142" s="173"/>
      <c r="CT142" s="173"/>
      <c r="CU142" s="173"/>
    </row>
    <row r="143" spans="1:99" s="4" customFormat="1">
      <c r="A143" s="16" t="s">
        <v>33</v>
      </c>
      <c r="B143" s="21"/>
      <c r="C143" s="22"/>
      <c r="D143" s="265"/>
      <c r="E143" s="266"/>
      <c r="F143" s="266"/>
      <c r="G143" s="266"/>
      <c r="H143" s="267"/>
      <c r="I143" s="268"/>
      <c r="J143" s="269"/>
      <c r="K143" s="290"/>
      <c r="L143" s="265"/>
      <c r="M143" s="266"/>
      <c r="N143" s="266"/>
      <c r="O143" s="266"/>
      <c r="P143" s="271"/>
      <c r="Q143" s="268"/>
      <c r="R143" s="269"/>
      <c r="S143" s="290"/>
      <c r="T143" s="265"/>
      <c r="U143" s="266"/>
      <c r="V143" s="266"/>
      <c r="W143" s="266"/>
      <c r="X143" s="271"/>
      <c r="Y143" s="268"/>
      <c r="Z143" s="269"/>
      <c r="AA143" s="290"/>
      <c r="AB143" s="265"/>
      <c r="AC143" s="266"/>
      <c r="AD143" s="266"/>
      <c r="AE143" s="266"/>
      <c r="AF143" s="271"/>
      <c r="AG143" s="268"/>
      <c r="AH143" s="269"/>
      <c r="AI143" s="290"/>
      <c r="AJ143" s="265"/>
      <c r="AK143" s="266"/>
      <c r="AL143" s="266"/>
      <c r="AM143" s="266"/>
      <c r="AN143" s="271"/>
      <c r="AO143" s="268"/>
      <c r="AP143" s="269"/>
      <c r="AQ143" s="290"/>
      <c r="AR143" s="272"/>
      <c r="AS143" s="268"/>
      <c r="AT143" s="268"/>
      <c r="AU143" s="268"/>
      <c r="AV143" s="273"/>
      <c r="AW143" s="268"/>
      <c r="AX143" s="269"/>
      <c r="AY143" s="45"/>
      <c r="AZ143" s="19">
        <f t="shared" si="9"/>
        <v>0</v>
      </c>
      <c r="BA143" s="227">
        <f t="shared" si="7"/>
        <v>3</v>
      </c>
      <c r="BB143" s="173"/>
      <c r="BC143" s="173"/>
      <c r="BD143" s="173"/>
      <c r="BE143" s="173"/>
      <c r="BF143" s="173"/>
      <c r="BG143" s="173"/>
      <c r="BH143" s="173"/>
      <c r="BI143" s="173"/>
      <c r="BJ143" s="173"/>
      <c r="BK143" s="173"/>
      <c r="BL143" s="173"/>
      <c r="BM143" s="173"/>
      <c r="BN143" s="173"/>
      <c r="BO143" s="324">
        <f t="shared" si="8"/>
        <v>184</v>
      </c>
      <c r="BP143" s="319"/>
      <c r="BQ143" s="324">
        <v>172</v>
      </c>
      <c r="BR143" s="358"/>
      <c r="BS143" s="358">
        <v>3</v>
      </c>
      <c r="BT143" s="319"/>
      <c r="BU143" s="324">
        <v>307</v>
      </c>
      <c r="BV143" s="358">
        <v>0</v>
      </c>
      <c r="BW143" s="358">
        <v>8</v>
      </c>
      <c r="BX143" s="319"/>
      <c r="BY143" s="217"/>
      <c r="BZ143" s="219"/>
      <c r="CA143" s="262"/>
      <c r="CB143" s="218">
        <v>39720</v>
      </c>
      <c r="CC143" s="217">
        <v>273</v>
      </c>
      <c r="CD143" s="219"/>
      <c r="CE143" s="217">
        <v>6.6</v>
      </c>
      <c r="CF143" s="220">
        <v>39329</v>
      </c>
      <c r="CG143" s="217">
        <v>247</v>
      </c>
      <c r="CH143" s="211"/>
      <c r="CI143" s="262">
        <v>4</v>
      </c>
      <c r="CJ143" s="319"/>
      <c r="CK143" s="211"/>
      <c r="CL143" s="211"/>
      <c r="CM143" s="258"/>
      <c r="CN143" s="173"/>
      <c r="CO143" s="173"/>
      <c r="CP143" s="173"/>
      <c r="CQ143" s="173"/>
      <c r="CR143" s="173"/>
      <c r="CS143" s="173"/>
      <c r="CT143" s="173"/>
      <c r="CU143" s="173"/>
    </row>
    <row r="144" spans="1:99" s="4" customFormat="1">
      <c r="A144" s="16" t="s">
        <v>33</v>
      </c>
      <c r="B144" s="21"/>
      <c r="C144" s="22"/>
      <c r="D144" s="265"/>
      <c r="E144" s="266"/>
      <c r="F144" s="266"/>
      <c r="G144" s="266"/>
      <c r="H144" s="267"/>
      <c r="I144" s="268"/>
      <c r="J144" s="269"/>
      <c r="K144" s="290"/>
      <c r="L144" s="265"/>
      <c r="M144" s="266"/>
      <c r="N144" s="266"/>
      <c r="O144" s="266"/>
      <c r="P144" s="271"/>
      <c r="Q144" s="268"/>
      <c r="R144" s="269"/>
      <c r="S144" s="290"/>
      <c r="T144" s="265"/>
      <c r="U144" s="266"/>
      <c r="V144" s="266"/>
      <c r="W144" s="266"/>
      <c r="X144" s="271"/>
      <c r="Y144" s="268"/>
      <c r="Z144" s="269"/>
      <c r="AA144" s="290"/>
      <c r="AB144" s="265"/>
      <c r="AC144" s="266"/>
      <c r="AD144" s="266"/>
      <c r="AE144" s="266"/>
      <c r="AF144" s="271"/>
      <c r="AG144" s="268"/>
      <c r="AH144" s="269"/>
      <c r="AI144" s="290"/>
      <c r="AJ144" s="265"/>
      <c r="AK144" s="266"/>
      <c r="AL144" s="266"/>
      <c r="AM144" s="266"/>
      <c r="AN144" s="271"/>
      <c r="AO144" s="268"/>
      <c r="AP144" s="269"/>
      <c r="AQ144" s="290"/>
      <c r="AR144" s="272"/>
      <c r="AS144" s="268"/>
      <c r="AT144" s="268"/>
      <c r="AU144" s="268"/>
      <c r="AV144" s="273"/>
      <c r="AW144" s="268"/>
      <c r="AX144" s="269"/>
      <c r="AY144" s="45"/>
      <c r="AZ144" s="19">
        <f t="shared" si="9"/>
        <v>0</v>
      </c>
      <c r="BA144" s="227">
        <f t="shared" si="7"/>
        <v>3</v>
      </c>
      <c r="BB144" s="173"/>
      <c r="BC144" s="173"/>
      <c r="BD144" s="173"/>
      <c r="BE144" s="173"/>
      <c r="BF144" s="173"/>
      <c r="BG144" s="173"/>
      <c r="BH144" s="173"/>
      <c r="BI144" s="173"/>
      <c r="BJ144" s="173"/>
      <c r="BK144" s="173"/>
      <c r="BL144" s="173"/>
      <c r="BM144" s="173"/>
      <c r="BN144" s="173"/>
      <c r="BO144" s="324">
        <f t="shared" si="8"/>
        <v>184</v>
      </c>
      <c r="BP144" s="319"/>
      <c r="BQ144" s="324">
        <v>172</v>
      </c>
      <c r="BR144" s="358"/>
      <c r="BS144" s="358">
        <v>3</v>
      </c>
      <c r="BT144" s="319"/>
      <c r="BU144" s="324">
        <v>307</v>
      </c>
      <c r="BV144" s="358">
        <v>0</v>
      </c>
      <c r="BW144" s="358">
        <v>8</v>
      </c>
      <c r="BX144" s="319"/>
      <c r="BY144" s="217"/>
      <c r="BZ144" s="219"/>
      <c r="CA144" s="262"/>
      <c r="CB144" s="218">
        <v>39729</v>
      </c>
      <c r="CC144" s="217">
        <v>282</v>
      </c>
      <c r="CD144" s="219"/>
      <c r="CE144" s="217">
        <v>7</v>
      </c>
      <c r="CF144" s="220">
        <v>39336</v>
      </c>
      <c r="CG144" s="217">
        <v>254</v>
      </c>
      <c r="CH144" s="211"/>
      <c r="CI144" s="262">
        <v>4</v>
      </c>
      <c r="CJ144" s="319"/>
      <c r="CK144" s="211"/>
      <c r="CL144" s="211"/>
      <c r="CM144" s="258"/>
      <c r="CN144" s="173"/>
      <c r="CO144" s="173"/>
      <c r="CP144" s="173"/>
      <c r="CQ144" s="173"/>
      <c r="CR144" s="173"/>
      <c r="CS144" s="173"/>
      <c r="CT144" s="173"/>
      <c r="CU144" s="173"/>
    </row>
    <row r="145" spans="1:99" s="4" customFormat="1">
      <c r="A145" s="16" t="s">
        <v>33</v>
      </c>
      <c r="B145" s="21"/>
      <c r="C145" s="22"/>
      <c r="D145" s="265"/>
      <c r="E145" s="266"/>
      <c r="F145" s="266"/>
      <c r="G145" s="266"/>
      <c r="H145" s="267"/>
      <c r="I145" s="268"/>
      <c r="J145" s="269"/>
      <c r="K145" s="290"/>
      <c r="L145" s="265"/>
      <c r="M145" s="266"/>
      <c r="N145" s="266"/>
      <c r="O145" s="266"/>
      <c r="P145" s="271"/>
      <c r="Q145" s="268"/>
      <c r="R145" s="269"/>
      <c r="S145" s="290"/>
      <c r="T145" s="265"/>
      <c r="U145" s="266"/>
      <c r="V145" s="266"/>
      <c r="W145" s="266"/>
      <c r="X145" s="271"/>
      <c r="Y145" s="268"/>
      <c r="Z145" s="269"/>
      <c r="AA145" s="290"/>
      <c r="AB145" s="265"/>
      <c r="AC145" s="266"/>
      <c r="AD145" s="266"/>
      <c r="AE145" s="266"/>
      <c r="AF145" s="271"/>
      <c r="AG145" s="268"/>
      <c r="AH145" s="269"/>
      <c r="AI145" s="290"/>
      <c r="AJ145" s="265"/>
      <c r="AK145" s="266"/>
      <c r="AL145" s="266"/>
      <c r="AM145" s="266"/>
      <c r="AN145" s="271"/>
      <c r="AO145" s="268"/>
      <c r="AP145" s="269"/>
      <c r="AQ145" s="290"/>
      <c r="AR145" s="272"/>
      <c r="AS145" s="268"/>
      <c r="AT145" s="268"/>
      <c r="AU145" s="268"/>
      <c r="AV145" s="273"/>
      <c r="AW145" s="268"/>
      <c r="AX145" s="269"/>
      <c r="AY145" s="45"/>
      <c r="AZ145" s="19">
        <f t="shared" si="9"/>
        <v>0</v>
      </c>
      <c r="BA145" s="227">
        <f t="shared" si="7"/>
        <v>3</v>
      </c>
      <c r="BB145" s="173"/>
      <c r="BC145" s="173"/>
      <c r="BD145" s="173"/>
      <c r="BE145" s="173"/>
      <c r="BF145" s="173"/>
      <c r="BG145" s="173"/>
      <c r="BH145" s="173"/>
      <c r="BI145" s="173"/>
      <c r="BJ145" s="173"/>
      <c r="BK145" s="173"/>
      <c r="BL145" s="173"/>
      <c r="BM145" s="173"/>
      <c r="BN145" s="173"/>
      <c r="BO145" s="324">
        <f t="shared" si="8"/>
        <v>184</v>
      </c>
      <c r="BP145" s="319"/>
      <c r="BQ145" s="324">
        <v>172</v>
      </c>
      <c r="BR145" s="358"/>
      <c r="BS145" s="358">
        <v>3</v>
      </c>
      <c r="BT145" s="319"/>
      <c r="BU145" s="324">
        <v>307</v>
      </c>
      <c r="BV145" s="358">
        <v>0</v>
      </c>
      <c r="BW145" s="358">
        <v>8</v>
      </c>
      <c r="BX145" s="319"/>
      <c r="BY145" s="217"/>
      <c r="BZ145" s="219"/>
      <c r="CA145" s="262"/>
      <c r="CB145" s="218">
        <v>39735</v>
      </c>
      <c r="CC145" s="217">
        <v>288</v>
      </c>
      <c r="CD145" s="219"/>
      <c r="CE145" s="217">
        <v>8</v>
      </c>
      <c r="CF145" s="220">
        <v>39343</v>
      </c>
      <c r="CG145" s="217">
        <v>261</v>
      </c>
      <c r="CH145" s="211"/>
      <c r="CI145" s="262">
        <v>4.4000000000000004</v>
      </c>
      <c r="CJ145" s="319"/>
      <c r="CK145" s="211"/>
      <c r="CL145" s="211"/>
      <c r="CM145" s="258"/>
      <c r="CN145" s="173"/>
      <c r="CO145" s="173"/>
      <c r="CP145" s="173"/>
      <c r="CQ145" s="173"/>
      <c r="CR145" s="173"/>
      <c r="CS145" s="173"/>
      <c r="CT145" s="173"/>
      <c r="CU145" s="173"/>
    </row>
    <row r="146" spans="1:99" s="4" customFormat="1">
      <c r="A146" s="16" t="s">
        <v>33</v>
      </c>
      <c r="B146" s="21"/>
      <c r="C146" s="22"/>
      <c r="D146" s="265"/>
      <c r="E146" s="266"/>
      <c r="F146" s="266"/>
      <c r="G146" s="266"/>
      <c r="H146" s="267"/>
      <c r="I146" s="268"/>
      <c r="J146" s="269"/>
      <c r="K146" s="290"/>
      <c r="L146" s="265"/>
      <c r="M146" s="266"/>
      <c r="N146" s="266"/>
      <c r="O146" s="266"/>
      <c r="P146" s="271"/>
      <c r="Q146" s="268"/>
      <c r="R146" s="269"/>
      <c r="S146" s="290"/>
      <c r="T146" s="265"/>
      <c r="U146" s="266"/>
      <c r="V146" s="266"/>
      <c r="W146" s="266"/>
      <c r="X146" s="271"/>
      <c r="Y146" s="268"/>
      <c r="Z146" s="269"/>
      <c r="AA146" s="290"/>
      <c r="AB146" s="265"/>
      <c r="AC146" s="266"/>
      <c r="AD146" s="266"/>
      <c r="AE146" s="266"/>
      <c r="AF146" s="271"/>
      <c r="AG146" s="268"/>
      <c r="AH146" s="269"/>
      <c r="AI146" s="290"/>
      <c r="AJ146" s="265"/>
      <c r="AK146" s="266"/>
      <c r="AL146" s="266"/>
      <c r="AM146" s="266"/>
      <c r="AN146" s="271"/>
      <c r="AO146" s="268"/>
      <c r="AP146" s="269"/>
      <c r="AQ146" s="290"/>
      <c r="AR146" s="272"/>
      <c r="AS146" s="268"/>
      <c r="AT146" s="268"/>
      <c r="AU146" s="268"/>
      <c r="AV146" s="273"/>
      <c r="AW146" s="268"/>
      <c r="AX146" s="269"/>
      <c r="AY146" s="45"/>
      <c r="AZ146" s="19">
        <f t="shared" si="9"/>
        <v>0</v>
      </c>
      <c r="BA146" s="227">
        <f t="shared" si="7"/>
        <v>3</v>
      </c>
      <c r="BB146" s="173"/>
      <c r="BC146" s="173"/>
      <c r="BD146" s="173"/>
      <c r="BE146" s="173"/>
      <c r="BF146" s="173"/>
      <c r="BG146" s="173"/>
      <c r="BH146" s="173"/>
      <c r="BI146" s="173"/>
      <c r="BJ146" s="173"/>
      <c r="BK146" s="173"/>
      <c r="BL146" s="173"/>
      <c r="BM146" s="173"/>
      <c r="BN146" s="173"/>
      <c r="BO146" s="324">
        <f t="shared" si="8"/>
        <v>184</v>
      </c>
      <c r="BP146" s="319"/>
      <c r="BQ146" s="324">
        <v>172</v>
      </c>
      <c r="BR146" s="358"/>
      <c r="BS146" s="358">
        <v>3</v>
      </c>
      <c r="BT146" s="319"/>
      <c r="BU146" s="324">
        <v>307</v>
      </c>
      <c r="BV146" s="358">
        <v>0</v>
      </c>
      <c r="BW146" s="358">
        <v>8</v>
      </c>
      <c r="BX146" s="319"/>
      <c r="BY146" s="217"/>
      <c r="BZ146" s="219"/>
      <c r="CA146" s="262"/>
      <c r="CB146" s="218"/>
      <c r="CC146" s="217"/>
      <c r="CD146" s="219"/>
      <c r="CE146" s="217"/>
      <c r="CF146" s="220">
        <v>39349</v>
      </c>
      <c r="CG146" s="217">
        <v>267</v>
      </c>
      <c r="CH146" s="211"/>
      <c r="CI146" s="262">
        <v>5.2</v>
      </c>
      <c r="CJ146" s="319"/>
      <c r="CK146" s="211"/>
      <c r="CL146" s="211"/>
      <c r="CM146" s="258"/>
      <c r="CN146" s="173"/>
      <c r="CO146" s="173"/>
      <c r="CP146" s="173"/>
      <c r="CQ146" s="173"/>
      <c r="CR146" s="173"/>
      <c r="CS146" s="173"/>
      <c r="CT146" s="173"/>
      <c r="CU146" s="173"/>
    </row>
    <row r="147" spans="1:99" s="4" customFormat="1">
      <c r="A147" s="16" t="s">
        <v>33</v>
      </c>
      <c r="B147" s="21"/>
      <c r="C147" s="22"/>
      <c r="D147" s="265"/>
      <c r="E147" s="266"/>
      <c r="F147" s="266"/>
      <c r="G147" s="266"/>
      <c r="H147" s="267"/>
      <c r="I147" s="268"/>
      <c r="J147" s="269"/>
      <c r="K147" s="290"/>
      <c r="L147" s="265"/>
      <c r="M147" s="266"/>
      <c r="N147" s="266"/>
      <c r="O147" s="266"/>
      <c r="P147" s="271"/>
      <c r="Q147" s="268"/>
      <c r="R147" s="269"/>
      <c r="S147" s="290"/>
      <c r="T147" s="265"/>
      <c r="U147" s="266"/>
      <c r="V147" s="266"/>
      <c r="W147" s="266"/>
      <c r="X147" s="271"/>
      <c r="Y147" s="268"/>
      <c r="Z147" s="269"/>
      <c r="AA147" s="290"/>
      <c r="AB147" s="265"/>
      <c r="AC147" s="266"/>
      <c r="AD147" s="266"/>
      <c r="AE147" s="266"/>
      <c r="AF147" s="271"/>
      <c r="AG147" s="268"/>
      <c r="AH147" s="269"/>
      <c r="AI147" s="290"/>
      <c r="AJ147" s="265"/>
      <c r="AK147" s="266"/>
      <c r="AL147" s="266"/>
      <c r="AM147" s="266"/>
      <c r="AN147" s="271"/>
      <c r="AO147" s="268"/>
      <c r="AP147" s="269"/>
      <c r="AQ147" s="290"/>
      <c r="AR147" s="272"/>
      <c r="AS147" s="268"/>
      <c r="AT147" s="268"/>
      <c r="AU147" s="268"/>
      <c r="AV147" s="273"/>
      <c r="AW147" s="268"/>
      <c r="AX147" s="269"/>
      <c r="AY147" s="45"/>
      <c r="AZ147" s="19">
        <f t="shared" si="9"/>
        <v>0</v>
      </c>
      <c r="BA147" s="227">
        <f t="shared" si="7"/>
        <v>3</v>
      </c>
      <c r="BB147" s="173"/>
      <c r="BC147" s="173"/>
      <c r="BD147" s="173"/>
      <c r="BE147" s="173"/>
      <c r="BF147" s="173"/>
      <c r="BG147" s="173"/>
      <c r="BH147" s="173"/>
      <c r="BI147" s="173"/>
      <c r="BJ147" s="173"/>
      <c r="BK147" s="173"/>
      <c r="BL147" s="173"/>
      <c r="BM147" s="173"/>
      <c r="BN147" s="173"/>
      <c r="BO147" s="324">
        <f t="shared" si="8"/>
        <v>184</v>
      </c>
      <c r="BP147" s="319"/>
      <c r="BQ147" s="324">
        <v>172</v>
      </c>
      <c r="BR147" s="358"/>
      <c r="BS147" s="358">
        <v>3</v>
      </c>
      <c r="BT147" s="319"/>
      <c r="BU147" s="324">
        <v>307</v>
      </c>
      <c r="BV147" s="358">
        <v>0</v>
      </c>
      <c r="BW147" s="358">
        <v>8</v>
      </c>
      <c r="BX147" s="319"/>
      <c r="BY147" s="217"/>
      <c r="BZ147" s="219"/>
      <c r="CA147" s="262"/>
      <c r="CB147" s="218"/>
      <c r="CC147" s="217"/>
      <c r="CD147" s="219"/>
      <c r="CE147" s="217"/>
      <c r="CF147" s="220">
        <v>39356</v>
      </c>
      <c r="CG147" s="217">
        <v>274</v>
      </c>
      <c r="CH147" s="211"/>
      <c r="CI147" s="262">
        <v>6.4</v>
      </c>
      <c r="CJ147" s="319"/>
      <c r="CK147" s="211"/>
      <c r="CL147" s="211"/>
      <c r="CM147" s="258"/>
      <c r="CN147" s="173"/>
      <c r="CO147" s="173"/>
      <c r="CP147" s="173"/>
      <c r="CQ147" s="173"/>
      <c r="CR147" s="173"/>
      <c r="CS147" s="173"/>
      <c r="CT147" s="173"/>
      <c r="CU147" s="173"/>
    </row>
    <row r="148" spans="1:99" s="4" customFormat="1">
      <c r="A148" s="16" t="s">
        <v>33</v>
      </c>
      <c r="B148" s="21"/>
      <c r="C148" s="22"/>
      <c r="D148" s="265"/>
      <c r="E148" s="266"/>
      <c r="F148" s="266"/>
      <c r="G148" s="266"/>
      <c r="H148" s="267"/>
      <c r="I148" s="268"/>
      <c r="J148" s="269"/>
      <c r="K148" s="290"/>
      <c r="L148" s="265"/>
      <c r="M148" s="266"/>
      <c r="N148" s="266"/>
      <c r="O148" s="266"/>
      <c r="P148" s="271"/>
      <c r="Q148" s="268"/>
      <c r="R148" s="269"/>
      <c r="S148" s="290"/>
      <c r="T148" s="265"/>
      <c r="U148" s="266"/>
      <c r="V148" s="266"/>
      <c r="W148" s="266"/>
      <c r="X148" s="271"/>
      <c r="Y148" s="268"/>
      <c r="Z148" s="269"/>
      <c r="AA148" s="290"/>
      <c r="AB148" s="265"/>
      <c r="AC148" s="266"/>
      <c r="AD148" s="266"/>
      <c r="AE148" s="266"/>
      <c r="AF148" s="271"/>
      <c r="AG148" s="268"/>
      <c r="AH148" s="269"/>
      <c r="AI148" s="290"/>
      <c r="AJ148" s="265"/>
      <c r="AK148" s="266"/>
      <c r="AL148" s="266"/>
      <c r="AM148" s="266"/>
      <c r="AN148" s="271"/>
      <c r="AO148" s="268"/>
      <c r="AP148" s="269"/>
      <c r="AQ148" s="290"/>
      <c r="AR148" s="272"/>
      <c r="AS148" s="268"/>
      <c r="AT148" s="268"/>
      <c r="AU148" s="268"/>
      <c r="AV148" s="273"/>
      <c r="AW148" s="268"/>
      <c r="AX148" s="269"/>
      <c r="AY148" s="45"/>
      <c r="AZ148" s="19">
        <f t="shared" si="9"/>
        <v>0</v>
      </c>
      <c r="BA148" s="227">
        <f t="shared" si="7"/>
        <v>3</v>
      </c>
      <c r="BB148" s="173"/>
      <c r="BC148" s="173"/>
      <c r="BD148" s="173"/>
      <c r="BE148" s="173"/>
      <c r="BF148" s="173"/>
      <c r="BG148" s="173"/>
      <c r="BH148" s="173"/>
      <c r="BI148" s="173"/>
      <c r="BJ148" s="173"/>
      <c r="BK148" s="173"/>
      <c r="BL148" s="173"/>
      <c r="BM148" s="173"/>
      <c r="BN148" s="173"/>
      <c r="BO148" s="324">
        <f t="shared" si="8"/>
        <v>184</v>
      </c>
      <c r="BP148" s="319"/>
      <c r="BQ148" s="324">
        <v>172</v>
      </c>
      <c r="BR148" s="358"/>
      <c r="BS148" s="358">
        <v>3</v>
      </c>
      <c r="BT148" s="319"/>
      <c r="BU148" s="324">
        <v>307</v>
      </c>
      <c r="BV148" s="358">
        <v>0</v>
      </c>
      <c r="BW148" s="358">
        <v>8</v>
      </c>
      <c r="BX148" s="319"/>
      <c r="BY148" s="217"/>
      <c r="BZ148" s="219"/>
      <c r="CA148" s="262"/>
      <c r="CB148" s="218"/>
      <c r="CC148" s="217"/>
      <c r="CD148" s="219"/>
      <c r="CE148" s="217"/>
      <c r="CF148" s="220">
        <v>39363</v>
      </c>
      <c r="CG148" s="217">
        <v>281</v>
      </c>
      <c r="CH148" s="211"/>
      <c r="CI148" s="262">
        <v>7</v>
      </c>
      <c r="CJ148" s="319"/>
      <c r="CK148" s="211"/>
      <c r="CL148" s="211"/>
      <c r="CM148" s="258"/>
      <c r="CN148" s="173"/>
      <c r="CO148" s="173"/>
      <c r="CP148" s="173"/>
      <c r="CQ148" s="173"/>
      <c r="CR148" s="173"/>
      <c r="CS148" s="173"/>
      <c r="CT148" s="173"/>
      <c r="CU148" s="173"/>
    </row>
    <row r="149" spans="1:99" s="4" customFormat="1">
      <c r="A149" s="16" t="s">
        <v>33</v>
      </c>
      <c r="B149" s="21"/>
      <c r="C149" s="22"/>
      <c r="D149" s="265"/>
      <c r="E149" s="266"/>
      <c r="F149" s="266"/>
      <c r="G149" s="266"/>
      <c r="H149" s="267"/>
      <c r="I149" s="268"/>
      <c r="J149" s="269"/>
      <c r="K149" s="290"/>
      <c r="L149" s="265"/>
      <c r="M149" s="266"/>
      <c r="N149" s="266"/>
      <c r="O149" s="266"/>
      <c r="P149" s="271"/>
      <c r="Q149" s="268"/>
      <c r="R149" s="269"/>
      <c r="S149" s="290"/>
      <c r="T149" s="265"/>
      <c r="U149" s="266"/>
      <c r="V149" s="266"/>
      <c r="W149" s="266"/>
      <c r="X149" s="271"/>
      <c r="Y149" s="268"/>
      <c r="Z149" s="269"/>
      <c r="AA149" s="290"/>
      <c r="AB149" s="265"/>
      <c r="AC149" s="266"/>
      <c r="AD149" s="266"/>
      <c r="AE149" s="266"/>
      <c r="AF149" s="271"/>
      <c r="AG149" s="268"/>
      <c r="AH149" s="269"/>
      <c r="AI149" s="290"/>
      <c r="AJ149" s="265"/>
      <c r="AK149" s="266"/>
      <c r="AL149" s="266"/>
      <c r="AM149" s="266"/>
      <c r="AN149" s="271"/>
      <c r="AO149" s="268"/>
      <c r="AP149" s="269"/>
      <c r="AQ149" s="290"/>
      <c r="AR149" s="272"/>
      <c r="AS149" s="268"/>
      <c r="AT149" s="268"/>
      <c r="AU149" s="268"/>
      <c r="AV149" s="273"/>
      <c r="AW149" s="268"/>
      <c r="AX149" s="269"/>
      <c r="AY149" s="45"/>
      <c r="AZ149" s="19">
        <f t="shared" si="9"/>
        <v>0</v>
      </c>
      <c r="BA149" s="227">
        <f t="shared" si="7"/>
        <v>3</v>
      </c>
      <c r="BB149" s="173"/>
      <c r="BC149" s="173"/>
      <c r="BD149" s="173"/>
      <c r="BE149" s="173"/>
      <c r="BF149" s="173"/>
      <c r="BG149" s="173"/>
      <c r="BH149" s="173"/>
      <c r="BI149" s="173"/>
      <c r="BJ149" s="173"/>
      <c r="BK149" s="173"/>
      <c r="BL149" s="173"/>
      <c r="BM149" s="173"/>
      <c r="BN149" s="173"/>
      <c r="BO149" s="324">
        <f t="shared" si="8"/>
        <v>184</v>
      </c>
      <c r="BP149" s="319"/>
      <c r="BQ149" s="324">
        <v>172</v>
      </c>
      <c r="BR149" s="358"/>
      <c r="BS149" s="358">
        <v>3</v>
      </c>
      <c r="BT149" s="319"/>
      <c r="BU149" s="324">
        <v>307</v>
      </c>
      <c r="BV149" s="358">
        <v>0</v>
      </c>
      <c r="BW149" s="358">
        <v>8</v>
      </c>
      <c r="BX149" s="319"/>
      <c r="BY149" s="217"/>
      <c r="BZ149" s="219"/>
      <c r="CA149" s="262"/>
      <c r="CB149" s="218"/>
      <c r="CC149" s="217"/>
      <c r="CD149" s="219"/>
      <c r="CE149" s="217"/>
      <c r="CF149" s="220">
        <v>39370</v>
      </c>
      <c r="CG149" s="217">
        <v>288</v>
      </c>
      <c r="CH149" s="211"/>
      <c r="CI149" s="262">
        <v>7.8</v>
      </c>
      <c r="CJ149" s="319"/>
      <c r="CK149" s="211"/>
      <c r="CL149" s="211"/>
      <c r="CM149" s="258"/>
      <c r="CN149" s="173"/>
      <c r="CO149" s="173"/>
      <c r="CP149" s="173"/>
      <c r="CQ149" s="173"/>
      <c r="CR149" s="173"/>
      <c r="CS149" s="173"/>
      <c r="CT149" s="173"/>
      <c r="CU149" s="173"/>
    </row>
    <row r="150" spans="1:99" s="4" customFormat="1">
      <c r="A150" s="16" t="s">
        <v>33</v>
      </c>
      <c r="B150" s="21"/>
      <c r="C150" s="22"/>
      <c r="D150" s="265"/>
      <c r="E150" s="266"/>
      <c r="F150" s="266"/>
      <c r="G150" s="266"/>
      <c r="H150" s="267"/>
      <c r="I150" s="268"/>
      <c r="J150" s="269"/>
      <c r="K150" s="290"/>
      <c r="L150" s="265"/>
      <c r="M150" s="266"/>
      <c r="N150" s="266"/>
      <c r="O150" s="266"/>
      <c r="P150" s="271"/>
      <c r="Q150" s="268"/>
      <c r="R150" s="269"/>
      <c r="S150" s="290"/>
      <c r="T150" s="265"/>
      <c r="U150" s="266"/>
      <c r="V150" s="266"/>
      <c r="W150" s="266"/>
      <c r="X150" s="271"/>
      <c r="Y150" s="268"/>
      <c r="Z150" s="269"/>
      <c r="AA150" s="290"/>
      <c r="AB150" s="265"/>
      <c r="AC150" s="266"/>
      <c r="AD150" s="266"/>
      <c r="AE150" s="266"/>
      <c r="AF150" s="271"/>
      <c r="AG150" s="268"/>
      <c r="AH150" s="269"/>
      <c r="AI150" s="290"/>
      <c r="AJ150" s="265"/>
      <c r="AK150" s="266"/>
      <c r="AL150" s="266"/>
      <c r="AM150" s="266"/>
      <c r="AN150" s="271"/>
      <c r="AO150" s="268"/>
      <c r="AP150" s="269"/>
      <c r="AQ150" s="290"/>
      <c r="AR150" s="272"/>
      <c r="AS150" s="268"/>
      <c r="AT150" s="268"/>
      <c r="AU150" s="268"/>
      <c r="AV150" s="273"/>
      <c r="AW150" s="268"/>
      <c r="AX150" s="269"/>
      <c r="AY150" s="45"/>
      <c r="AZ150" s="19">
        <f t="shared" si="9"/>
        <v>0</v>
      </c>
      <c r="BA150" s="227">
        <f t="shared" si="7"/>
        <v>3</v>
      </c>
      <c r="BB150" s="173"/>
      <c r="BC150" s="173"/>
      <c r="BD150" s="173"/>
      <c r="BE150" s="173"/>
      <c r="BF150" s="173"/>
      <c r="BG150" s="173"/>
      <c r="BH150" s="173"/>
      <c r="BI150" s="173"/>
      <c r="BJ150" s="173"/>
      <c r="BK150" s="173"/>
      <c r="BL150" s="173"/>
      <c r="BM150" s="173"/>
      <c r="BN150" s="173"/>
      <c r="BO150" s="324">
        <f t="shared" si="8"/>
        <v>184</v>
      </c>
      <c r="BP150" s="319"/>
      <c r="BQ150" s="324">
        <v>172</v>
      </c>
      <c r="BR150" s="358"/>
      <c r="BS150" s="358">
        <v>3</v>
      </c>
      <c r="BT150" s="319"/>
      <c r="BU150" s="324">
        <v>307</v>
      </c>
      <c r="BV150" s="358">
        <v>0</v>
      </c>
      <c r="BW150" s="358">
        <v>8</v>
      </c>
      <c r="BX150" s="319"/>
      <c r="BY150" s="217"/>
      <c r="BZ150" s="219"/>
      <c r="CA150" s="262"/>
      <c r="CB150" s="218"/>
      <c r="CC150" s="217"/>
      <c r="CD150" s="219"/>
      <c r="CE150" s="217"/>
      <c r="CF150" s="220">
        <v>39377</v>
      </c>
      <c r="CG150" s="217">
        <v>295</v>
      </c>
      <c r="CH150" s="211"/>
      <c r="CI150" s="262">
        <v>8</v>
      </c>
      <c r="CJ150" s="319"/>
      <c r="CK150" s="211"/>
      <c r="CL150" s="211"/>
      <c r="CM150" s="258"/>
      <c r="CN150" s="173"/>
      <c r="CO150" s="173"/>
      <c r="CP150" s="173"/>
      <c r="CQ150" s="173"/>
      <c r="CR150" s="173"/>
      <c r="CS150" s="173"/>
      <c r="CT150" s="173"/>
      <c r="CU150" s="173"/>
    </row>
    <row r="151" spans="1:99" s="4" customFormat="1">
      <c r="A151" s="16" t="s">
        <v>33</v>
      </c>
      <c r="B151" s="21"/>
      <c r="C151" s="22"/>
      <c r="D151" s="265"/>
      <c r="E151" s="266"/>
      <c r="F151" s="266"/>
      <c r="G151" s="266"/>
      <c r="H151" s="267"/>
      <c r="I151" s="268"/>
      <c r="J151" s="269"/>
      <c r="K151" s="290"/>
      <c r="L151" s="265"/>
      <c r="M151" s="266"/>
      <c r="N151" s="266"/>
      <c r="O151" s="266"/>
      <c r="P151" s="271"/>
      <c r="Q151" s="268"/>
      <c r="R151" s="269"/>
      <c r="S151" s="290"/>
      <c r="T151" s="265"/>
      <c r="U151" s="266"/>
      <c r="V151" s="266"/>
      <c r="W151" s="266"/>
      <c r="X151" s="271"/>
      <c r="Y151" s="268"/>
      <c r="Z151" s="269"/>
      <c r="AA151" s="290"/>
      <c r="AB151" s="265"/>
      <c r="AC151" s="266"/>
      <c r="AD151" s="266"/>
      <c r="AE151" s="266"/>
      <c r="AF151" s="271"/>
      <c r="AG151" s="268"/>
      <c r="AH151" s="269"/>
      <c r="AI151" s="290"/>
      <c r="AJ151" s="265"/>
      <c r="AK151" s="266"/>
      <c r="AL151" s="266"/>
      <c r="AM151" s="266"/>
      <c r="AN151" s="271"/>
      <c r="AO151" s="268"/>
      <c r="AP151" s="269"/>
      <c r="AQ151" s="290"/>
      <c r="AR151" s="272"/>
      <c r="AS151" s="268"/>
      <c r="AT151" s="268"/>
      <c r="AU151" s="268"/>
      <c r="AV151" s="273"/>
      <c r="AW151" s="268"/>
      <c r="AX151" s="269"/>
      <c r="AY151" s="45"/>
      <c r="AZ151" s="19">
        <f t="shared" si="9"/>
        <v>0</v>
      </c>
      <c r="BA151" s="227">
        <f t="shared" si="7"/>
        <v>3</v>
      </c>
      <c r="BB151" s="173"/>
      <c r="BC151" s="173"/>
      <c r="BD151" s="173"/>
      <c r="BE151" s="173"/>
      <c r="BF151" s="173"/>
      <c r="BG151" s="173"/>
      <c r="BH151" s="173"/>
      <c r="BI151" s="173"/>
      <c r="BJ151" s="173"/>
      <c r="BK151" s="173"/>
      <c r="BL151" s="173"/>
      <c r="BM151" s="173"/>
      <c r="BN151" s="173"/>
      <c r="BO151" s="324">
        <f t="shared" si="8"/>
        <v>184</v>
      </c>
      <c r="BP151" s="319"/>
      <c r="BQ151" s="324">
        <v>172</v>
      </c>
      <c r="BR151" s="358"/>
      <c r="BS151" s="358">
        <v>3</v>
      </c>
      <c r="BT151" s="319"/>
      <c r="BU151" s="324">
        <v>307</v>
      </c>
      <c r="BV151" s="358">
        <v>0</v>
      </c>
      <c r="BW151" s="358">
        <v>8</v>
      </c>
      <c r="BX151" s="319"/>
      <c r="BY151" s="217"/>
      <c r="BZ151" s="219"/>
      <c r="CA151" s="262"/>
      <c r="CB151" s="218"/>
      <c r="CC151" s="217"/>
      <c r="CD151" s="219"/>
      <c r="CE151" s="217"/>
      <c r="CF151" s="220"/>
      <c r="CG151" s="211"/>
      <c r="CH151" s="211"/>
      <c r="CI151" s="262"/>
      <c r="CJ151" s="319"/>
      <c r="CK151" s="211"/>
      <c r="CL151" s="211"/>
      <c r="CM151" s="258"/>
      <c r="CN151" s="173"/>
      <c r="CO151" s="173"/>
      <c r="CP151" s="173"/>
      <c r="CQ151" s="173"/>
      <c r="CR151" s="173"/>
      <c r="CS151" s="173"/>
      <c r="CT151" s="173"/>
      <c r="CU151" s="173"/>
    </row>
    <row r="152" spans="1:99" s="4" customFormat="1">
      <c r="A152" s="16" t="s">
        <v>33</v>
      </c>
      <c r="B152" s="21"/>
      <c r="C152" s="22"/>
      <c r="D152" s="265"/>
      <c r="E152" s="266"/>
      <c r="F152" s="266"/>
      <c r="G152" s="266"/>
      <c r="H152" s="267"/>
      <c r="I152" s="268"/>
      <c r="J152" s="269"/>
      <c r="K152" s="290"/>
      <c r="L152" s="265"/>
      <c r="M152" s="266"/>
      <c r="N152" s="266"/>
      <c r="O152" s="266"/>
      <c r="P152" s="271"/>
      <c r="Q152" s="268"/>
      <c r="R152" s="269"/>
      <c r="S152" s="290"/>
      <c r="T152" s="265"/>
      <c r="U152" s="266"/>
      <c r="V152" s="266"/>
      <c r="W152" s="266"/>
      <c r="X152" s="271"/>
      <c r="Y152" s="268"/>
      <c r="Z152" s="269"/>
      <c r="AA152" s="290"/>
      <c r="AB152" s="265"/>
      <c r="AC152" s="266"/>
      <c r="AD152" s="266"/>
      <c r="AE152" s="266"/>
      <c r="AF152" s="271"/>
      <c r="AG152" s="268"/>
      <c r="AH152" s="269"/>
      <c r="AI152" s="290"/>
      <c r="AJ152" s="265"/>
      <c r="AK152" s="266"/>
      <c r="AL152" s="266"/>
      <c r="AM152" s="266"/>
      <c r="AN152" s="271"/>
      <c r="AO152" s="268"/>
      <c r="AP152" s="269"/>
      <c r="AQ152" s="290"/>
      <c r="AR152" s="272"/>
      <c r="AS152" s="268"/>
      <c r="AT152" s="268"/>
      <c r="AU152" s="268"/>
      <c r="AV152" s="273"/>
      <c r="AW152" s="268"/>
      <c r="AX152" s="269"/>
      <c r="AY152" s="45"/>
      <c r="AZ152" s="19">
        <f t="shared" si="9"/>
        <v>0</v>
      </c>
      <c r="BA152" s="227">
        <f t="shared" si="7"/>
        <v>3</v>
      </c>
      <c r="BB152" s="173"/>
      <c r="BC152" s="173"/>
      <c r="BD152" s="173"/>
      <c r="BE152" s="173"/>
      <c r="BF152" s="173"/>
      <c r="BG152" s="173"/>
      <c r="BH152" s="173"/>
      <c r="BI152" s="173"/>
      <c r="BJ152" s="173"/>
      <c r="BK152" s="173"/>
      <c r="BL152" s="173"/>
      <c r="BM152" s="173"/>
      <c r="BN152" s="173"/>
      <c r="BO152" s="324">
        <f t="shared" si="8"/>
        <v>184</v>
      </c>
      <c r="BP152" s="319"/>
      <c r="BQ152" s="324">
        <v>172</v>
      </c>
      <c r="BR152" s="358"/>
      <c r="BS152" s="358">
        <v>3</v>
      </c>
      <c r="BT152" s="319"/>
      <c r="BU152" s="324">
        <v>307</v>
      </c>
      <c r="BV152" s="358">
        <v>0</v>
      </c>
      <c r="BW152" s="358">
        <v>8</v>
      </c>
      <c r="BX152" s="319"/>
      <c r="BY152" s="217"/>
      <c r="BZ152" s="219"/>
      <c r="CA152" s="262"/>
      <c r="CB152" s="218"/>
      <c r="CC152" s="217"/>
      <c r="CD152" s="219"/>
      <c r="CE152" s="217"/>
      <c r="CF152" s="220"/>
      <c r="CG152" s="211"/>
      <c r="CH152" s="211"/>
      <c r="CI152" s="262"/>
      <c r="CJ152" s="319"/>
      <c r="CK152" s="211"/>
      <c r="CL152" s="211"/>
      <c r="CM152" s="258"/>
      <c r="CN152" s="173"/>
      <c r="CO152" s="173"/>
      <c r="CP152" s="173"/>
      <c r="CQ152" s="173"/>
      <c r="CR152" s="173"/>
      <c r="CS152" s="173"/>
      <c r="CT152" s="173"/>
      <c r="CU152" s="173"/>
    </row>
    <row r="153" spans="1:99" s="4" customFormat="1">
      <c r="A153" s="16" t="s">
        <v>33</v>
      </c>
      <c r="B153" s="21"/>
      <c r="C153" s="22"/>
      <c r="D153" s="265"/>
      <c r="E153" s="266"/>
      <c r="F153" s="266"/>
      <c r="G153" s="266"/>
      <c r="H153" s="267"/>
      <c r="I153" s="268"/>
      <c r="J153" s="269"/>
      <c r="K153" s="290"/>
      <c r="L153" s="265"/>
      <c r="M153" s="266"/>
      <c r="N153" s="266"/>
      <c r="O153" s="266"/>
      <c r="P153" s="271"/>
      <c r="Q153" s="268"/>
      <c r="R153" s="269"/>
      <c r="S153" s="290"/>
      <c r="T153" s="265"/>
      <c r="U153" s="266"/>
      <c r="V153" s="266"/>
      <c r="W153" s="266"/>
      <c r="X153" s="271"/>
      <c r="Y153" s="268"/>
      <c r="Z153" s="269"/>
      <c r="AA153" s="290"/>
      <c r="AB153" s="265"/>
      <c r="AC153" s="266"/>
      <c r="AD153" s="266"/>
      <c r="AE153" s="266"/>
      <c r="AF153" s="271"/>
      <c r="AG153" s="268"/>
      <c r="AH153" s="269"/>
      <c r="AI153" s="290"/>
      <c r="AJ153" s="265"/>
      <c r="AK153" s="266"/>
      <c r="AL153" s="266"/>
      <c r="AM153" s="266"/>
      <c r="AN153" s="271"/>
      <c r="AO153" s="268"/>
      <c r="AP153" s="269"/>
      <c r="AQ153" s="290"/>
      <c r="AR153" s="272"/>
      <c r="AS153" s="268"/>
      <c r="AT153" s="268"/>
      <c r="AU153" s="268"/>
      <c r="AV153" s="273"/>
      <c r="AW153" s="268"/>
      <c r="AX153" s="269"/>
      <c r="AY153" s="45"/>
      <c r="AZ153" s="19">
        <f t="shared" si="9"/>
        <v>0</v>
      </c>
      <c r="BA153" s="227">
        <f t="shared" si="7"/>
        <v>3</v>
      </c>
      <c r="BB153" s="173"/>
      <c r="BC153" s="173"/>
      <c r="BD153" s="173"/>
      <c r="BE153" s="173"/>
      <c r="BF153" s="173"/>
      <c r="BG153" s="173"/>
      <c r="BH153" s="173"/>
      <c r="BI153" s="173"/>
      <c r="BJ153" s="173"/>
      <c r="BK153" s="173"/>
      <c r="BL153" s="173"/>
      <c r="BM153" s="173"/>
      <c r="BN153" s="173"/>
      <c r="BO153" s="324">
        <f t="shared" si="8"/>
        <v>184</v>
      </c>
      <c r="BP153" s="319"/>
      <c r="BQ153" s="324">
        <v>172</v>
      </c>
      <c r="BR153" s="358"/>
      <c r="BS153" s="358">
        <v>3</v>
      </c>
      <c r="BT153" s="319"/>
      <c r="BU153" s="324">
        <v>307</v>
      </c>
      <c r="BV153" s="358">
        <v>0</v>
      </c>
      <c r="BW153" s="358">
        <v>8</v>
      </c>
      <c r="BX153" s="319"/>
      <c r="BY153" s="217"/>
      <c r="BZ153" s="219"/>
      <c r="CA153" s="262"/>
      <c r="CB153" s="218"/>
      <c r="CC153" s="217"/>
      <c r="CD153" s="219"/>
      <c r="CE153" s="217"/>
      <c r="CF153" s="220"/>
      <c r="CG153" s="211"/>
      <c r="CH153" s="211"/>
      <c r="CI153" s="262"/>
      <c r="CJ153" s="319"/>
      <c r="CK153" s="211"/>
      <c r="CL153" s="211"/>
      <c r="CM153" s="258"/>
      <c r="CN153" s="173"/>
      <c r="CO153" s="173"/>
      <c r="CP153" s="173"/>
      <c r="CQ153" s="173"/>
      <c r="CR153" s="173"/>
      <c r="CS153" s="173"/>
      <c r="CT153" s="173"/>
      <c r="CU153" s="173"/>
    </row>
    <row r="154" spans="1:99" s="4" customFormat="1">
      <c r="A154" s="16" t="s">
        <v>33</v>
      </c>
      <c r="B154" s="21"/>
      <c r="C154" s="22"/>
      <c r="D154" s="265"/>
      <c r="E154" s="266"/>
      <c r="F154" s="266"/>
      <c r="G154" s="266"/>
      <c r="H154" s="267"/>
      <c r="I154" s="268"/>
      <c r="J154" s="269"/>
      <c r="K154" s="290"/>
      <c r="L154" s="265"/>
      <c r="M154" s="266"/>
      <c r="N154" s="266"/>
      <c r="O154" s="266"/>
      <c r="P154" s="271"/>
      <c r="Q154" s="268"/>
      <c r="R154" s="269"/>
      <c r="S154" s="290"/>
      <c r="T154" s="265"/>
      <c r="U154" s="266"/>
      <c r="V154" s="266"/>
      <c r="W154" s="266"/>
      <c r="X154" s="271"/>
      <c r="Y154" s="268"/>
      <c r="Z154" s="269"/>
      <c r="AA154" s="290"/>
      <c r="AB154" s="265"/>
      <c r="AC154" s="266"/>
      <c r="AD154" s="266"/>
      <c r="AE154" s="266"/>
      <c r="AF154" s="271"/>
      <c r="AG154" s="268"/>
      <c r="AH154" s="269"/>
      <c r="AI154" s="290"/>
      <c r="AJ154" s="265"/>
      <c r="AK154" s="266"/>
      <c r="AL154" s="266"/>
      <c r="AM154" s="266"/>
      <c r="AN154" s="271"/>
      <c r="AO154" s="268"/>
      <c r="AP154" s="269"/>
      <c r="AQ154" s="290"/>
      <c r="AR154" s="272"/>
      <c r="AS154" s="268"/>
      <c r="AT154" s="268"/>
      <c r="AU154" s="268"/>
      <c r="AV154" s="273"/>
      <c r="AW154" s="268"/>
      <c r="AX154" s="269"/>
      <c r="AY154" s="45"/>
      <c r="AZ154" s="19">
        <f t="shared" si="9"/>
        <v>0</v>
      </c>
      <c r="BA154" s="227">
        <f t="shared" si="7"/>
        <v>3</v>
      </c>
      <c r="BB154" s="173"/>
      <c r="BC154" s="173"/>
      <c r="BD154" s="173"/>
      <c r="BE154" s="173"/>
      <c r="BF154" s="173"/>
      <c r="BG154" s="173"/>
      <c r="BH154" s="173"/>
      <c r="BI154" s="173"/>
      <c r="BJ154" s="173"/>
      <c r="BK154" s="173"/>
      <c r="BL154" s="173"/>
      <c r="BM154" s="173"/>
      <c r="BN154" s="173"/>
      <c r="BO154" s="324">
        <f t="shared" si="8"/>
        <v>184</v>
      </c>
      <c r="BP154" s="319"/>
      <c r="BQ154" s="324">
        <v>172</v>
      </c>
      <c r="BR154" s="358"/>
      <c r="BS154" s="358">
        <v>3</v>
      </c>
      <c r="BT154" s="319"/>
      <c r="BU154" s="324">
        <v>307</v>
      </c>
      <c r="BV154" s="358">
        <v>0</v>
      </c>
      <c r="BW154" s="358">
        <v>8</v>
      </c>
      <c r="BX154" s="319"/>
      <c r="BY154" s="217"/>
      <c r="BZ154" s="219"/>
      <c r="CA154" s="262"/>
      <c r="CB154" s="218"/>
      <c r="CC154" s="217"/>
      <c r="CD154" s="219"/>
      <c r="CE154" s="217"/>
      <c r="CF154" s="220"/>
      <c r="CG154" s="211"/>
      <c r="CH154" s="211"/>
      <c r="CI154" s="262"/>
      <c r="CJ154" s="319"/>
      <c r="CK154" s="211"/>
      <c r="CL154" s="211"/>
      <c r="CM154" s="258"/>
      <c r="CN154" s="173"/>
      <c r="CO154" s="173"/>
      <c r="CP154" s="173"/>
      <c r="CQ154" s="173"/>
      <c r="CR154" s="173"/>
      <c r="CS154" s="173"/>
      <c r="CT154" s="173"/>
      <c r="CU154" s="173"/>
    </row>
    <row r="155" spans="1:99" s="13" customFormat="1" ht="13" thickBot="1">
      <c r="A155" s="17" t="s">
        <v>33</v>
      </c>
      <c r="B155" s="29"/>
      <c r="C155" s="30"/>
      <c r="D155" s="274"/>
      <c r="E155" s="275"/>
      <c r="F155" s="275"/>
      <c r="G155" s="275"/>
      <c r="H155" s="276"/>
      <c r="I155" s="277"/>
      <c r="J155" s="278"/>
      <c r="K155" s="291"/>
      <c r="L155" s="274"/>
      <c r="M155" s="275"/>
      <c r="N155" s="275"/>
      <c r="O155" s="275"/>
      <c r="P155" s="279"/>
      <c r="Q155" s="277"/>
      <c r="R155" s="278"/>
      <c r="S155" s="291"/>
      <c r="T155" s="274"/>
      <c r="U155" s="275"/>
      <c r="V155" s="275"/>
      <c r="W155" s="275"/>
      <c r="X155" s="279"/>
      <c r="Y155" s="277"/>
      <c r="Z155" s="278"/>
      <c r="AA155" s="291"/>
      <c r="AB155" s="274"/>
      <c r="AC155" s="275"/>
      <c r="AD155" s="275"/>
      <c r="AE155" s="275"/>
      <c r="AF155" s="279"/>
      <c r="AG155" s="277"/>
      <c r="AH155" s="278"/>
      <c r="AI155" s="291"/>
      <c r="AJ155" s="274"/>
      <c r="AK155" s="275"/>
      <c r="AL155" s="275"/>
      <c r="AM155" s="275"/>
      <c r="AN155" s="279"/>
      <c r="AO155" s="277"/>
      <c r="AP155" s="278"/>
      <c r="AQ155" s="291"/>
      <c r="AR155" s="280"/>
      <c r="AS155" s="277"/>
      <c r="AT155" s="277"/>
      <c r="AU155" s="277"/>
      <c r="AV155" s="281"/>
      <c r="AW155" s="277"/>
      <c r="AX155" s="278"/>
      <c r="AY155" s="46"/>
      <c r="AZ155" s="20">
        <f t="shared" si="9"/>
        <v>0</v>
      </c>
      <c r="BA155" s="208">
        <f t="shared" si="7"/>
        <v>3</v>
      </c>
      <c r="BB155" s="176"/>
      <c r="BC155" s="176"/>
      <c r="BD155" s="176"/>
      <c r="BE155" s="176"/>
      <c r="BF155" s="176"/>
      <c r="BG155" s="176"/>
      <c r="BH155" s="176"/>
      <c r="BI155" s="176"/>
      <c r="BJ155" s="176"/>
      <c r="BK155" s="176"/>
      <c r="BL155" s="176"/>
      <c r="BM155" s="176"/>
      <c r="BN155" s="176"/>
      <c r="BO155" s="325">
        <f t="shared" si="8"/>
        <v>184</v>
      </c>
      <c r="BP155" s="238"/>
      <c r="BQ155" s="325">
        <v>172</v>
      </c>
      <c r="BR155" s="359"/>
      <c r="BS155" s="359">
        <v>3</v>
      </c>
      <c r="BT155" s="238"/>
      <c r="BU155" s="325">
        <v>307</v>
      </c>
      <c r="BV155" s="359">
        <v>0</v>
      </c>
      <c r="BW155" s="359">
        <v>8</v>
      </c>
      <c r="BX155" s="238"/>
      <c r="BY155" s="255"/>
      <c r="BZ155" s="244"/>
      <c r="CA155" s="264"/>
      <c r="CB155" s="254"/>
      <c r="CC155" s="255"/>
      <c r="CD155" s="244"/>
      <c r="CE155" s="255"/>
      <c r="CF155" s="263"/>
      <c r="CG155" s="239"/>
      <c r="CH155" s="239"/>
      <c r="CI155" s="264"/>
      <c r="CJ155" s="238"/>
      <c r="CK155" s="239"/>
      <c r="CL155" s="239"/>
      <c r="CM155" s="240"/>
      <c r="CN155" s="176"/>
      <c r="CO155" s="176"/>
      <c r="CP155" s="176"/>
      <c r="CQ155" s="176"/>
      <c r="CR155" s="176"/>
      <c r="CS155" s="176"/>
      <c r="CT155" s="176"/>
      <c r="CU155" s="176"/>
    </row>
    <row r="156" spans="1:99" s="4" customFormat="1">
      <c r="A156" s="173"/>
      <c r="B156" s="174"/>
      <c r="C156" s="177"/>
      <c r="D156" s="173"/>
      <c r="E156" s="173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  <c r="AD156" s="173"/>
      <c r="AE156" s="173"/>
      <c r="AF156" s="173"/>
      <c r="AG156" s="173"/>
      <c r="AH156" s="173"/>
      <c r="AI156" s="173"/>
      <c r="AJ156" s="173"/>
      <c r="AK156" s="173"/>
      <c r="AL156" s="173"/>
      <c r="AM156" s="173"/>
      <c r="AN156" s="173"/>
      <c r="AO156" s="173"/>
      <c r="AP156" s="173"/>
      <c r="AQ156" s="173"/>
      <c r="AR156" s="173"/>
      <c r="AS156" s="173"/>
      <c r="AT156" s="173"/>
      <c r="AU156" s="173"/>
      <c r="AV156" s="173"/>
      <c r="AW156" s="173"/>
      <c r="AX156" s="173"/>
      <c r="AY156" s="173"/>
      <c r="AZ156" s="173"/>
      <c r="BA156" s="173"/>
      <c r="BB156" s="173"/>
      <c r="BC156" s="173"/>
      <c r="BD156" s="173"/>
      <c r="BE156" s="173"/>
      <c r="BF156" s="173"/>
      <c r="BG156" s="173"/>
      <c r="BH156" s="173"/>
      <c r="BI156" s="173"/>
      <c r="BJ156" s="173"/>
      <c r="BK156" s="173"/>
      <c r="BL156" s="173"/>
      <c r="BM156" s="173"/>
      <c r="BN156" s="173"/>
      <c r="BO156" s="217"/>
      <c r="BP156" s="217"/>
      <c r="BQ156" s="217"/>
      <c r="BR156" s="217"/>
      <c r="BS156" s="217"/>
      <c r="BT156" s="217"/>
      <c r="BU156" s="217"/>
      <c r="BV156" s="217"/>
      <c r="BW156" s="217"/>
      <c r="BX156" s="217"/>
      <c r="BY156" s="217"/>
      <c r="BZ156" s="217"/>
      <c r="CA156" s="217"/>
      <c r="CB156" s="217"/>
      <c r="CC156" s="217"/>
      <c r="CD156" s="219"/>
      <c r="CE156" s="217"/>
      <c r="CF156" s="211"/>
      <c r="CG156" s="211"/>
      <c r="CH156" s="211"/>
      <c r="CI156" s="211"/>
      <c r="CJ156" s="218"/>
      <c r="CK156" s="211"/>
      <c r="CL156" s="211"/>
      <c r="CM156" s="211"/>
      <c r="CN156" s="173"/>
      <c r="CO156" s="173"/>
      <c r="CP156" s="173"/>
      <c r="CQ156" s="173"/>
      <c r="CR156" s="173"/>
      <c r="CS156" s="173"/>
      <c r="CT156" s="173"/>
      <c r="CU156" s="173"/>
    </row>
    <row r="157" spans="1:99" s="4" customFormat="1">
      <c r="A157" s="173"/>
      <c r="B157" s="174"/>
      <c r="C157" s="177"/>
      <c r="D157" s="173"/>
      <c r="E157" s="173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  <c r="AD157" s="173"/>
      <c r="AE157" s="173"/>
      <c r="AF157" s="173"/>
      <c r="AG157" s="173"/>
      <c r="AH157" s="173"/>
      <c r="AI157" s="173"/>
      <c r="AJ157" s="173"/>
      <c r="AK157" s="173"/>
      <c r="AL157" s="173"/>
      <c r="AM157" s="173"/>
      <c r="AN157" s="173"/>
      <c r="AO157" s="173"/>
      <c r="AP157" s="173"/>
      <c r="AQ157" s="173"/>
      <c r="AR157" s="173"/>
      <c r="AS157" s="173"/>
      <c r="AT157" s="173"/>
      <c r="AU157" s="173"/>
      <c r="AV157" s="173"/>
      <c r="AW157" s="173"/>
      <c r="AX157" s="173"/>
      <c r="AY157" s="173"/>
      <c r="AZ157" s="173"/>
      <c r="BA157" s="173"/>
      <c r="BB157" s="173"/>
      <c r="BC157" s="173"/>
      <c r="BD157" s="173"/>
      <c r="BE157" s="173"/>
      <c r="BF157" s="173"/>
      <c r="BG157" s="173"/>
      <c r="BH157" s="173"/>
      <c r="BI157" s="173"/>
      <c r="BJ157" s="173"/>
      <c r="BK157" s="173"/>
      <c r="BL157" s="173"/>
      <c r="BM157" s="173"/>
      <c r="BN157" s="173"/>
      <c r="BO157" s="217"/>
      <c r="BP157" s="217"/>
      <c r="BQ157" s="217"/>
      <c r="BR157" s="217"/>
      <c r="BS157" s="217"/>
      <c r="BT157" s="217"/>
      <c r="BU157" s="217"/>
      <c r="BV157" s="217"/>
      <c r="BW157" s="217"/>
      <c r="BX157" s="217"/>
      <c r="BY157" s="217"/>
      <c r="BZ157" s="217"/>
      <c r="CA157" s="217"/>
      <c r="CB157" s="217"/>
      <c r="CC157" s="217"/>
      <c r="CD157" s="219"/>
      <c r="CE157" s="217"/>
      <c r="CF157" s="211"/>
      <c r="CG157" s="211"/>
      <c r="CH157" s="211"/>
      <c r="CI157" s="211"/>
      <c r="CJ157" s="218"/>
      <c r="CK157" s="211"/>
      <c r="CL157" s="211"/>
      <c r="CM157" s="211"/>
      <c r="CN157" s="173"/>
      <c r="CO157" s="173"/>
      <c r="CP157" s="173"/>
      <c r="CQ157" s="173"/>
      <c r="CR157" s="173"/>
      <c r="CS157" s="173"/>
      <c r="CT157" s="173"/>
      <c r="CU157" s="173"/>
    </row>
    <row r="158" spans="1:99" s="4" customFormat="1">
      <c r="A158" s="173"/>
      <c r="B158" s="174"/>
      <c r="C158" s="177"/>
      <c r="D158" s="173"/>
      <c r="E158" s="173"/>
      <c r="F158" s="173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73"/>
      <c r="AB158" s="173"/>
      <c r="AC158" s="173"/>
      <c r="AD158" s="173"/>
      <c r="AE158" s="173"/>
      <c r="AF158" s="173"/>
      <c r="AG158" s="173"/>
      <c r="AH158" s="173"/>
      <c r="AI158" s="173"/>
      <c r="AJ158" s="173"/>
      <c r="AK158" s="173"/>
      <c r="AL158" s="173"/>
      <c r="AM158" s="173"/>
      <c r="AN158" s="173"/>
      <c r="AO158" s="173"/>
      <c r="AP158" s="173"/>
      <c r="AQ158" s="173"/>
      <c r="AR158" s="173"/>
      <c r="AS158" s="173"/>
      <c r="AT158" s="173"/>
      <c r="AU158" s="173"/>
      <c r="AV158" s="173"/>
      <c r="AW158" s="173"/>
      <c r="AX158" s="173"/>
      <c r="AY158" s="173"/>
      <c r="AZ158" s="173"/>
      <c r="BA158" s="173"/>
      <c r="BB158" s="173"/>
      <c r="BC158" s="173"/>
      <c r="BD158" s="173"/>
      <c r="BE158" s="173"/>
      <c r="BF158" s="173"/>
      <c r="BG158" s="173"/>
      <c r="BH158" s="173"/>
      <c r="BI158" s="173"/>
      <c r="BJ158" s="173"/>
      <c r="BK158" s="173"/>
      <c r="BL158" s="173"/>
      <c r="BM158" s="173"/>
      <c r="BN158" s="173"/>
      <c r="BO158" s="217"/>
      <c r="BP158" s="217"/>
      <c r="BQ158" s="217"/>
      <c r="BR158" s="217"/>
      <c r="BS158" s="217"/>
      <c r="BT158" s="217"/>
      <c r="BU158" s="217"/>
      <c r="BV158" s="217"/>
      <c r="BW158" s="217"/>
      <c r="BX158" s="217"/>
      <c r="BY158" s="217"/>
      <c r="BZ158" s="217"/>
      <c r="CA158" s="217"/>
      <c r="CB158" s="217"/>
      <c r="CC158" s="217"/>
      <c r="CD158" s="219"/>
      <c r="CE158" s="217"/>
      <c r="CF158" s="211"/>
      <c r="CG158" s="211"/>
      <c r="CH158" s="211"/>
      <c r="CI158" s="211"/>
      <c r="CJ158" s="218"/>
      <c r="CK158" s="211"/>
      <c r="CL158" s="211"/>
      <c r="CM158" s="211"/>
      <c r="CN158" s="173"/>
      <c r="CO158" s="173"/>
      <c r="CP158" s="173"/>
      <c r="CQ158" s="173"/>
      <c r="CR158" s="173"/>
      <c r="CS158" s="173"/>
      <c r="CT158" s="173"/>
      <c r="CU158" s="173"/>
    </row>
    <row r="159" spans="1:99" s="4" customFormat="1">
      <c r="A159" s="173"/>
      <c r="B159" s="174"/>
      <c r="C159" s="177"/>
      <c r="D159" s="173"/>
      <c r="E159" s="173"/>
      <c r="F159" s="173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73"/>
      <c r="AD159" s="173"/>
      <c r="AE159" s="173"/>
      <c r="AF159" s="173"/>
      <c r="AG159" s="173"/>
      <c r="AH159" s="173"/>
      <c r="AI159" s="173"/>
      <c r="AJ159" s="173"/>
      <c r="AK159" s="173"/>
      <c r="AL159" s="173"/>
      <c r="AM159" s="173"/>
      <c r="AN159" s="173"/>
      <c r="AO159" s="173"/>
      <c r="AP159" s="173"/>
      <c r="AQ159" s="173"/>
      <c r="AR159" s="173"/>
      <c r="AS159" s="173"/>
      <c r="AT159" s="173"/>
      <c r="AU159" s="173"/>
      <c r="AV159" s="173"/>
      <c r="AW159" s="173"/>
      <c r="AX159" s="173"/>
      <c r="AY159" s="173"/>
      <c r="AZ159" s="173"/>
      <c r="BA159" s="173"/>
      <c r="BB159" s="173"/>
      <c r="BC159" s="173"/>
      <c r="BD159" s="173"/>
      <c r="BE159" s="173"/>
      <c r="BF159" s="173"/>
      <c r="BG159" s="173"/>
      <c r="BH159" s="173"/>
      <c r="BI159" s="173"/>
      <c r="BJ159" s="173"/>
      <c r="BK159" s="173"/>
      <c r="BL159" s="173"/>
      <c r="BM159" s="173"/>
      <c r="BN159" s="173"/>
      <c r="BO159" s="217"/>
      <c r="BP159" s="217"/>
      <c r="BQ159" s="217"/>
      <c r="BR159" s="217"/>
      <c r="BS159" s="217"/>
      <c r="BT159" s="217"/>
      <c r="BU159" s="217"/>
      <c r="BV159" s="217"/>
      <c r="BW159" s="217"/>
      <c r="BX159" s="217"/>
      <c r="BY159" s="217"/>
      <c r="BZ159" s="217"/>
      <c r="CA159" s="217"/>
      <c r="CB159" s="217"/>
      <c r="CC159" s="217"/>
      <c r="CD159" s="219"/>
      <c r="CE159" s="217"/>
      <c r="CF159" s="211"/>
      <c r="CG159" s="211"/>
      <c r="CH159" s="211"/>
      <c r="CI159" s="211"/>
      <c r="CJ159" s="218"/>
      <c r="CK159" s="211"/>
      <c r="CL159" s="211"/>
      <c r="CM159" s="211"/>
      <c r="CN159" s="173"/>
      <c r="CO159" s="173"/>
      <c r="CP159" s="173"/>
      <c r="CQ159" s="173"/>
      <c r="CR159" s="173"/>
      <c r="CS159" s="173"/>
      <c r="CT159" s="173"/>
      <c r="CU159" s="173"/>
    </row>
    <row r="160" spans="1:99" s="4" customFormat="1">
      <c r="A160" s="173"/>
      <c r="B160" s="174"/>
      <c r="C160" s="177"/>
      <c r="D160" s="173"/>
      <c r="E160" s="173"/>
      <c r="F160" s="173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73"/>
      <c r="AB160" s="173"/>
      <c r="AC160" s="173"/>
      <c r="AD160" s="173"/>
      <c r="AE160" s="173"/>
      <c r="AF160" s="173"/>
      <c r="AG160" s="173"/>
      <c r="AH160" s="173"/>
      <c r="AI160" s="173"/>
      <c r="AJ160" s="173"/>
      <c r="AK160" s="173"/>
      <c r="AL160" s="173"/>
      <c r="AM160" s="173"/>
      <c r="AN160" s="173"/>
      <c r="AO160" s="173"/>
      <c r="AP160" s="173"/>
      <c r="AQ160" s="173"/>
      <c r="AR160" s="173"/>
      <c r="AS160" s="173"/>
      <c r="AT160" s="173"/>
      <c r="AU160" s="173"/>
      <c r="AV160" s="173"/>
      <c r="AW160" s="173"/>
      <c r="AX160" s="173"/>
      <c r="AY160" s="173"/>
      <c r="AZ160" s="173"/>
      <c r="BA160" s="173"/>
      <c r="BB160" s="173"/>
      <c r="BC160" s="173"/>
      <c r="BD160" s="173"/>
      <c r="BE160" s="173"/>
      <c r="BF160" s="173"/>
      <c r="BG160" s="173"/>
      <c r="BH160" s="173"/>
      <c r="BI160" s="173"/>
      <c r="BJ160" s="173"/>
      <c r="BK160" s="173"/>
      <c r="BL160" s="173"/>
      <c r="BM160" s="173"/>
      <c r="BN160" s="173"/>
      <c r="BO160" s="217"/>
      <c r="BP160" s="217"/>
      <c r="BQ160" s="217"/>
      <c r="BR160" s="217"/>
      <c r="BS160" s="217"/>
      <c r="BT160" s="217"/>
      <c r="BU160" s="217"/>
      <c r="BV160" s="217"/>
      <c r="BW160" s="217"/>
      <c r="BX160" s="217"/>
      <c r="BY160" s="217"/>
      <c r="BZ160" s="217"/>
      <c r="CA160" s="217"/>
      <c r="CB160" s="217"/>
      <c r="CC160" s="217"/>
      <c r="CD160" s="219"/>
      <c r="CE160" s="217"/>
      <c r="CF160" s="211"/>
      <c r="CG160" s="211"/>
      <c r="CH160" s="211"/>
      <c r="CI160" s="211"/>
      <c r="CJ160" s="218"/>
      <c r="CK160" s="211"/>
      <c r="CL160" s="211"/>
      <c r="CM160" s="211"/>
      <c r="CN160" s="173"/>
      <c r="CO160" s="173"/>
      <c r="CP160" s="173"/>
      <c r="CQ160" s="173"/>
      <c r="CR160" s="173"/>
      <c r="CS160" s="173"/>
      <c r="CT160" s="173"/>
      <c r="CU160" s="173"/>
    </row>
    <row r="161" spans="1:99" s="4" customFormat="1">
      <c r="A161" s="173"/>
      <c r="B161" s="174"/>
      <c r="C161" s="177"/>
      <c r="D161" s="173"/>
      <c r="E161" s="173"/>
      <c r="F161" s="173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73"/>
      <c r="AD161" s="173"/>
      <c r="AE161" s="173"/>
      <c r="AF161" s="173"/>
      <c r="AG161" s="173"/>
      <c r="AH161" s="173"/>
      <c r="AI161" s="173"/>
      <c r="AJ161" s="173"/>
      <c r="AK161" s="173"/>
      <c r="AL161" s="173"/>
      <c r="AM161" s="173"/>
      <c r="AN161" s="173"/>
      <c r="AO161" s="173"/>
      <c r="AP161" s="173"/>
      <c r="AQ161" s="173"/>
      <c r="AR161" s="173"/>
      <c r="AS161" s="173"/>
      <c r="AT161" s="173"/>
      <c r="AU161" s="173"/>
      <c r="AV161" s="173"/>
      <c r="AW161" s="173"/>
      <c r="AX161" s="173"/>
      <c r="AY161" s="173"/>
      <c r="AZ161" s="173"/>
      <c r="BA161" s="173"/>
      <c r="BB161" s="173"/>
      <c r="BC161" s="173"/>
      <c r="BD161" s="173"/>
      <c r="BE161" s="173"/>
      <c r="BF161" s="173"/>
      <c r="BG161" s="173"/>
      <c r="BH161" s="173"/>
      <c r="BI161" s="173"/>
      <c r="BJ161" s="173"/>
      <c r="BK161" s="173"/>
      <c r="BL161" s="173"/>
      <c r="BM161" s="173"/>
      <c r="BN161" s="173"/>
      <c r="BO161" s="217"/>
      <c r="BP161" s="217"/>
      <c r="BQ161" s="217"/>
      <c r="BR161" s="217"/>
      <c r="BS161" s="217"/>
      <c r="BT161" s="217"/>
      <c r="BU161" s="217"/>
      <c r="BV161" s="217"/>
      <c r="BW161" s="217"/>
      <c r="BX161" s="217"/>
      <c r="BY161" s="217"/>
      <c r="BZ161" s="217"/>
      <c r="CA161" s="217"/>
      <c r="CB161" s="217"/>
      <c r="CC161" s="217"/>
      <c r="CD161" s="219"/>
      <c r="CE161" s="217"/>
      <c r="CF161" s="211"/>
      <c r="CG161" s="211"/>
      <c r="CH161" s="211"/>
      <c r="CI161" s="211"/>
      <c r="CJ161" s="218"/>
      <c r="CK161" s="211"/>
      <c r="CL161" s="211"/>
      <c r="CM161" s="211"/>
      <c r="CN161" s="173"/>
      <c r="CO161" s="173"/>
      <c r="CP161" s="173"/>
      <c r="CQ161" s="173"/>
      <c r="CR161" s="173"/>
      <c r="CS161" s="173"/>
      <c r="CT161" s="173"/>
      <c r="CU161" s="173"/>
    </row>
    <row r="162" spans="1:99" s="4" customFormat="1">
      <c r="A162" s="173"/>
      <c r="B162" s="174"/>
      <c r="C162" s="177"/>
      <c r="D162" s="173"/>
      <c r="E162" s="173"/>
      <c r="F162" s="173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73"/>
      <c r="AD162" s="173"/>
      <c r="AE162" s="173"/>
      <c r="AF162" s="173"/>
      <c r="AG162" s="173"/>
      <c r="AH162" s="173"/>
      <c r="AI162" s="173"/>
      <c r="AJ162" s="173"/>
      <c r="AK162" s="173"/>
      <c r="AL162" s="173"/>
      <c r="AM162" s="173"/>
      <c r="AN162" s="173"/>
      <c r="AO162" s="173"/>
      <c r="AP162" s="173"/>
      <c r="AQ162" s="173"/>
      <c r="AR162" s="173"/>
      <c r="AS162" s="173"/>
      <c r="AT162" s="173"/>
      <c r="AU162" s="173"/>
      <c r="AV162" s="173"/>
      <c r="AW162" s="173"/>
      <c r="AX162" s="173"/>
      <c r="AY162" s="173"/>
      <c r="AZ162" s="173"/>
      <c r="BA162" s="173"/>
      <c r="BB162" s="173"/>
      <c r="BC162" s="173"/>
      <c r="BD162" s="173"/>
      <c r="BE162" s="173"/>
      <c r="BF162" s="173"/>
      <c r="BG162" s="173"/>
      <c r="BH162" s="173"/>
      <c r="BI162" s="173"/>
      <c r="BJ162" s="173"/>
      <c r="BK162" s="173"/>
      <c r="BL162" s="173"/>
      <c r="BM162" s="173"/>
      <c r="BN162" s="173"/>
      <c r="BO162" s="217"/>
      <c r="BP162" s="217"/>
      <c r="BQ162" s="217"/>
      <c r="BR162" s="217"/>
      <c r="BS162" s="217"/>
      <c r="BT162" s="217"/>
      <c r="BU162" s="217"/>
      <c r="BV162" s="217"/>
      <c r="BW162" s="217"/>
      <c r="BX162" s="217"/>
      <c r="BY162" s="217"/>
      <c r="BZ162" s="217"/>
      <c r="CA162" s="217"/>
      <c r="CB162" s="217"/>
      <c r="CC162" s="217"/>
      <c r="CD162" s="219"/>
      <c r="CE162" s="217"/>
      <c r="CF162" s="211"/>
      <c r="CG162" s="211"/>
      <c r="CH162" s="211"/>
      <c r="CI162" s="211"/>
      <c r="CJ162" s="218"/>
      <c r="CK162" s="211"/>
      <c r="CL162" s="211"/>
      <c r="CM162" s="211"/>
      <c r="CN162" s="173"/>
      <c r="CO162" s="173"/>
      <c r="CP162" s="173"/>
      <c r="CQ162" s="173"/>
      <c r="CR162" s="173"/>
      <c r="CS162" s="173"/>
      <c r="CT162" s="173"/>
      <c r="CU162" s="173"/>
    </row>
    <row r="163" spans="1:99" s="4" customFormat="1">
      <c r="A163" s="173"/>
      <c r="B163" s="174"/>
      <c r="C163" s="177"/>
      <c r="D163" s="173"/>
      <c r="E163" s="173"/>
      <c r="F163" s="173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73"/>
      <c r="AD163" s="173"/>
      <c r="AE163" s="173"/>
      <c r="AF163" s="173"/>
      <c r="AG163" s="173"/>
      <c r="AH163" s="173"/>
      <c r="AI163" s="173"/>
      <c r="AJ163" s="173"/>
      <c r="AK163" s="173"/>
      <c r="AL163" s="173"/>
      <c r="AM163" s="173"/>
      <c r="AN163" s="173"/>
      <c r="AO163" s="173"/>
      <c r="AP163" s="173"/>
      <c r="AQ163" s="173"/>
      <c r="AR163" s="173"/>
      <c r="AS163" s="173"/>
      <c r="AT163" s="173"/>
      <c r="AU163" s="173"/>
      <c r="AV163" s="173"/>
      <c r="AW163" s="173"/>
      <c r="AX163" s="173"/>
      <c r="AY163" s="173"/>
      <c r="AZ163" s="173"/>
      <c r="BA163" s="173"/>
      <c r="BB163" s="173"/>
      <c r="BC163" s="173"/>
      <c r="BD163" s="173"/>
      <c r="BE163" s="173"/>
      <c r="BF163" s="173"/>
      <c r="BG163" s="173"/>
      <c r="BH163" s="173"/>
      <c r="BI163" s="173"/>
      <c r="BJ163" s="173"/>
      <c r="BK163" s="173"/>
      <c r="BL163" s="173"/>
      <c r="BM163" s="173"/>
      <c r="BN163" s="173"/>
      <c r="BO163" s="217"/>
      <c r="BP163" s="217"/>
      <c r="BQ163" s="217"/>
      <c r="BR163" s="217"/>
      <c r="BS163" s="217"/>
      <c r="BT163" s="217"/>
      <c r="BU163" s="217"/>
      <c r="BV163" s="217"/>
      <c r="BW163" s="217"/>
      <c r="BX163" s="217"/>
      <c r="BY163" s="217"/>
      <c r="BZ163" s="217"/>
      <c r="CA163" s="217"/>
      <c r="CB163" s="217"/>
      <c r="CC163" s="217"/>
      <c r="CD163" s="219"/>
      <c r="CE163" s="217"/>
      <c r="CF163" s="211"/>
      <c r="CG163" s="211"/>
      <c r="CH163" s="211"/>
      <c r="CI163" s="211"/>
      <c r="CJ163" s="218"/>
      <c r="CK163" s="211"/>
      <c r="CL163" s="211"/>
      <c r="CM163" s="211"/>
      <c r="CN163" s="173"/>
      <c r="CO163" s="173"/>
      <c r="CP163" s="173"/>
      <c r="CQ163" s="173"/>
      <c r="CR163" s="173"/>
      <c r="CS163" s="173"/>
      <c r="CT163" s="173"/>
      <c r="CU163" s="173"/>
    </row>
    <row r="164" spans="1:99" s="4" customFormat="1">
      <c r="A164" s="173"/>
      <c r="B164" s="174"/>
      <c r="C164" s="177"/>
      <c r="D164" s="173"/>
      <c r="E164" s="173"/>
      <c r="F164" s="173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73"/>
      <c r="AD164" s="173"/>
      <c r="AE164" s="173"/>
      <c r="AF164" s="173"/>
      <c r="AG164" s="173"/>
      <c r="AH164" s="173"/>
      <c r="AI164" s="173"/>
      <c r="AJ164" s="173"/>
      <c r="AK164" s="173"/>
      <c r="AL164" s="173"/>
      <c r="AM164" s="173"/>
      <c r="AN164" s="173"/>
      <c r="AO164" s="173"/>
      <c r="AP164" s="173"/>
      <c r="AQ164" s="173"/>
      <c r="AR164" s="173"/>
      <c r="AS164" s="173"/>
      <c r="AT164" s="173"/>
      <c r="AU164" s="173"/>
      <c r="AV164" s="173"/>
      <c r="AW164" s="173"/>
      <c r="AX164" s="173"/>
      <c r="AY164" s="173"/>
      <c r="AZ164" s="173"/>
      <c r="BA164" s="173"/>
      <c r="BB164" s="173"/>
      <c r="BC164" s="173"/>
      <c r="BD164" s="173"/>
      <c r="BE164" s="173"/>
      <c r="BF164" s="173"/>
      <c r="BG164" s="173"/>
      <c r="BH164" s="173"/>
      <c r="BI164" s="173"/>
      <c r="BJ164" s="173"/>
      <c r="BK164" s="173"/>
      <c r="BL164" s="173"/>
      <c r="BM164" s="173"/>
      <c r="BN164" s="173"/>
      <c r="BO164" s="217"/>
      <c r="BP164" s="217"/>
      <c r="BQ164" s="217"/>
      <c r="BR164" s="217"/>
      <c r="BS164" s="217"/>
      <c r="BT164" s="217"/>
      <c r="BU164" s="217"/>
      <c r="BV164" s="217"/>
      <c r="BW164" s="217"/>
      <c r="BX164" s="217"/>
      <c r="BY164" s="217"/>
      <c r="BZ164" s="217"/>
      <c r="CA164" s="217"/>
      <c r="CB164" s="217"/>
      <c r="CC164" s="217"/>
      <c r="CD164" s="219"/>
      <c r="CE164" s="217"/>
      <c r="CF164" s="211"/>
      <c r="CG164" s="211"/>
      <c r="CH164" s="211"/>
      <c r="CI164" s="211"/>
      <c r="CJ164" s="218"/>
      <c r="CK164" s="211"/>
      <c r="CL164" s="211"/>
      <c r="CM164" s="211"/>
      <c r="CN164" s="173"/>
      <c r="CO164" s="173"/>
      <c r="CP164" s="173"/>
      <c r="CQ164" s="173"/>
      <c r="CR164" s="173"/>
      <c r="CS164" s="173"/>
      <c r="CT164" s="173"/>
      <c r="CU164" s="173"/>
    </row>
    <row r="165" spans="1:99" s="4" customFormat="1">
      <c r="A165" s="173"/>
      <c r="B165" s="174"/>
      <c r="C165" s="177"/>
      <c r="D165" s="173"/>
      <c r="E165" s="173"/>
      <c r="F165" s="173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73"/>
      <c r="AD165" s="173"/>
      <c r="AE165" s="173"/>
      <c r="AF165" s="173"/>
      <c r="AG165" s="173"/>
      <c r="AH165" s="173"/>
      <c r="AI165" s="173"/>
      <c r="AJ165" s="173"/>
      <c r="AK165" s="173"/>
      <c r="AL165" s="173"/>
      <c r="AM165" s="173"/>
      <c r="AN165" s="173"/>
      <c r="AO165" s="173"/>
      <c r="AP165" s="173"/>
      <c r="AQ165" s="173"/>
      <c r="AR165" s="173"/>
      <c r="AS165" s="173"/>
      <c r="AT165" s="173"/>
      <c r="AU165" s="173"/>
      <c r="AV165" s="173"/>
      <c r="AW165" s="173"/>
      <c r="AX165" s="173"/>
      <c r="AY165" s="173"/>
      <c r="AZ165" s="173"/>
      <c r="BA165" s="173"/>
      <c r="BB165" s="173"/>
      <c r="BC165" s="173"/>
      <c r="BD165" s="173"/>
      <c r="BE165" s="173"/>
      <c r="BF165" s="173"/>
      <c r="BG165" s="173"/>
      <c r="BH165" s="173"/>
      <c r="BI165" s="173"/>
      <c r="BJ165" s="173"/>
      <c r="BK165" s="173"/>
      <c r="BL165" s="173"/>
      <c r="BM165" s="173"/>
      <c r="BN165" s="173"/>
      <c r="BO165" s="217"/>
      <c r="BP165" s="217"/>
      <c r="BQ165" s="217"/>
      <c r="BR165" s="217"/>
      <c r="BS165" s="217"/>
      <c r="BT165" s="217"/>
      <c r="BU165" s="217"/>
      <c r="BV165" s="217"/>
      <c r="BW165" s="217"/>
      <c r="BX165" s="217"/>
      <c r="BY165" s="217"/>
      <c r="BZ165" s="217"/>
      <c r="CA165" s="217"/>
      <c r="CB165" s="217"/>
      <c r="CC165" s="217"/>
      <c r="CD165" s="219"/>
      <c r="CE165" s="217"/>
      <c r="CF165" s="211"/>
      <c r="CG165" s="211"/>
      <c r="CH165" s="211"/>
      <c r="CI165" s="211"/>
      <c r="CJ165" s="218"/>
      <c r="CK165" s="211"/>
      <c r="CL165" s="211"/>
      <c r="CM165" s="211"/>
      <c r="CN165" s="173"/>
      <c r="CO165" s="173"/>
      <c r="CP165" s="173"/>
      <c r="CQ165" s="173"/>
      <c r="CR165" s="173"/>
      <c r="CS165" s="173"/>
      <c r="CT165" s="173"/>
      <c r="CU165" s="173"/>
    </row>
    <row r="166" spans="1:99" s="4" customFormat="1">
      <c r="A166" s="173"/>
      <c r="B166" s="174"/>
      <c r="C166" s="177"/>
      <c r="D166" s="173"/>
      <c r="E166" s="173"/>
      <c r="F166" s="173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73"/>
      <c r="AD166" s="173"/>
      <c r="AE166" s="173"/>
      <c r="AF166" s="173"/>
      <c r="AG166" s="173"/>
      <c r="AH166" s="173"/>
      <c r="AI166" s="173"/>
      <c r="AJ166" s="173"/>
      <c r="AK166" s="173"/>
      <c r="AL166" s="173"/>
      <c r="AM166" s="173"/>
      <c r="AN166" s="173"/>
      <c r="AO166" s="173"/>
      <c r="AP166" s="173"/>
      <c r="AQ166" s="173"/>
      <c r="AR166" s="173"/>
      <c r="AS166" s="173"/>
      <c r="AT166" s="173"/>
      <c r="AU166" s="173"/>
      <c r="AV166" s="173"/>
      <c r="AW166" s="173"/>
      <c r="AX166" s="173"/>
      <c r="AY166" s="173"/>
      <c r="AZ166" s="173"/>
      <c r="BA166" s="173"/>
      <c r="BB166" s="173"/>
      <c r="BC166" s="173"/>
      <c r="BD166" s="173"/>
      <c r="BE166" s="173"/>
      <c r="BF166" s="173"/>
      <c r="BG166" s="173"/>
      <c r="BH166" s="173"/>
      <c r="BI166" s="173"/>
      <c r="BJ166" s="173"/>
      <c r="BK166" s="173"/>
      <c r="BL166" s="173"/>
      <c r="BM166" s="173"/>
      <c r="BN166" s="173"/>
      <c r="BO166" s="217"/>
      <c r="BP166" s="217"/>
      <c r="BQ166" s="217"/>
      <c r="BR166" s="217"/>
      <c r="BS166" s="217"/>
      <c r="BT166" s="217"/>
      <c r="BU166" s="217"/>
      <c r="BV166" s="217"/>
      <c r="BW166" s="217"/>
      <c r="BX166" s="217"/>
      <c r="BY166" s="217"/>
      <c r="BZ166" s="217"/>
      <c r="CA166" s="217"/>
      <c r="CB166" s="217"/>
      <c r="CC166" s="217"/>
      <c r="CD166" s="219"/>
      <c r="CE166" s="217"/>
      <c r="CF166" s="211"/>
      <c r="CG166" s="211"/>
      <c r="CH166" s="211"/>
      <c r="CI166" s="211"/>
      <c r="CJ166" s="218"/>
      <c r="CK166" s="211"/>
      <c r="CL166" s="211"/>
      <c r="CM166" s="211"/>
      <c r="CN166" s="173"/>
      <c r="CO166" s="173"/>
      <c r="CP166" s="173"/>
      <c r="CQ166" s="173"/>
      <c r="CR166" s="173"/>
      <c r="CS166" s="173"/>
      <c r="CT166" s="173"/>
      <c r="CU166" s="173"/>
    </row>
    <row r="167" spans="1:99" s="4" customFormat="1">
      <c r="A167" s="173"/>
      <c r="B167" s="174"/>
      <c r="C167" s="177"/>
      <c r="D167" s="173"/>
      <c r="E167" s="173"/>
      <c r="F167" s="173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73"/>
      <c r="AD167" s="173"/>
      <c r="AE167" s="173"/>
      <c r="AF167" s="173"/>
      <c r="AG167" s="173"/>
      <c r="AH167" s="173"/>
      <c r="AI167" s="173"/>
      <c r="AJ167" s="173"/>
      <c r="AK167" s="173"/>
      <c r="AL167" s="173"/>
      <c r="AM167" s="173"/>
      <c r="AN167" s="173"/>
      <c r="AO167" s="173"/>
      <c r="AP167" s="173"/>
      <c r="AQ167" s="173"/>
      <c r="AR167" s="173"/>
      <c r="AS167" s="173"/>
      <c r="AT167" s="173"/>
      <c r="AU167" s="173"/>
      <c r="AV167" s="173"/>
      <c r="AW167" s="173"/>
      <c r="AX167" s="173"/>
      <c r="AY167" s="173"/>
      <c r="AZ167" s="173"/>
      <c r="BA167" s="173"/>
      <c r="BB167" s="173"/>
      <c r="BC167" s="173"/>
      <c r="BD167" s="173"/>
      <c r="BE167" s="173"/>
      <c r="BF167" s="173"/>
      <c r="BG167" s="173"/>
      <c r="BH167" s="173"/>
      <c r="BI167" s="173"/>
      <c r="BJ167" s="173"/>
      <c r="BK167" s="173"/>
      <c r="BL167" s="173"/>
      <c r="BM167" s="173"/>
      <c r="BN167" s="173"/>
      <c r="BO167" s="217"/>
      <c r="BP167" s="217"/>
      <c r="BQ167" s="217"/>
      <c r="BR167" s="217"/>
      <c r="BS167" s="217"/>
      <c r="BT167" s="217"/>
      <c r="BU167" s="217"/>
      <c r="BV167" s="217"/>
      <c r="BW167" s="217"/>
      <c r="BX167" s="217"/>
      <c r="BY167" s="217"/>
      <c r="BZ167" s="217"/>
      <c r="CA167" s="217"/>
      <c r="CB167" s="217"/>
      <c r="CC167" s="217"/>
      <c r="CD167" s="219"/>
      <c r="CE167" s="217"/>
      <c r="CF167" s="211"/>
      <c r="CG167" s="211"/>
      <c r="CH167" s="211"/>
      <c r="CI167" s="211"/>
      <c r="CJ167" s="218"/>
      <c r="CK167" s="211"/>
      <c r="CL167" s="211"/>
      <c r="CM167" s="211"/>
      <c r="CN167" s="173"/>
      <c r="CO167" s="173"/>
      <c r="CP167" s="173"/>
      <c r="CQ167" s="173"/>
      <c r="CR167" s="173"/>
      <c r="CS167" s="173"/>
      <c r="CT167" s="173"/>
      <c r="CU167" s="173"/>
    </row>
    <row r="168" spans="1:99" s="4" customFormat="1">
      <c r="A168" s="173"/>
      <c r="B168" s="174"/>
      <c r="C168" s="177"/>
      <c r="D168" s="173"/>
      <c r="E168" s="173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73"/>
      <c r="AD168" s="173"/>
      <c r="AE168" s="173"/>
      <c r="AF168" s="173"/>
      <c r="AG168" s="173"/>
      <c r="AH168" s="173"/>
      <c r="AI168" s="173"/>
      <c r="AJ168" s="173"/>
      <c r="AK168" s="173"/>
      <c r="AL168" s="173"/>
      <c r="AM168" s="173"/>
      <c r="AN168" s="173"/>
      <c r="AO168" s="173"/>
      <c r="AP168" s="173"/>
      <c r="AQ168" s="173"/>
      <c r="AR168" s="173"/>
      <c r="AS168" s="173"/>
      <c r="AT168" s="173"/>
      <c r="AU168" s="173"/>
      <c r="AV168" s="173"/>
      <c r="AW168" s="173"/>
      <c r="AX168" s="173"/>
      <c r="AY168" s="173"/>
      <c r="AZ168" s="173"/>
      <c r="BA168" s="173"/>
      <c r="BB168" s="173"/>
      <c r="BC168" s="173"/>
      <c r="BD168" s="173"/>
      <c r="BE168" s="173"/>
      <c r="BF168" s="173"/>
      <c r="BG168" s="173"/>
      <c r="BH168" s="173"/>
      <c r="BI168" s="173"/>
      <c r="BJ168" s="173"/>
      <c r="BK168" s="173"/>
      <c r="BL168" s="173"/>
      <c r="BM168" s="173"/>
      <c r="BN168" s="173"/>
      <c r="BO168" s="217"/>
      <c r="BP168" s="217"/>
      <c r="BQ168" s="217"/>
      <c r="BR168" s="217"/>
      <c r="BS168" s="217"/>
      <c r="BT168" s="217"/>
      <c r="BU168" s="217"/>
      <c r="BV168" s="217"/>
      <c r="BW168" s="217"/>
      <c r="BX168" s="217"/>
      <c r="BY168" s="217"/>
      <c r="BZ168" s="217"/>
      <c r="CA168" s="217"/>
      <c r="CB168" s="217"/>
      <c r="CC168" s="217"/>
      <c r="CD168" s="219"/>
      <c r="CE168" s="217"/>
      <c r="CF168" s="211"/>
      <c r="CG168" s="211"/>
      <c r="CH168" s="211"/>
      <c r="CI168" s="211"/>
      <c r="CJ168" s="218"/>
      <c r="CK168" s="211"/>
      <c r="CL168" s="211"/>
      <c r="CM168" s="211"/>
      <c r="CN168" s="173"/>
      <c r="CO168" s="173"/>
      <c r="CP168" s="173"/>
      <c r="CQ168" s="173"/>
      <c r="CR168" s="173"/>
      <c r="CS168" s="173"/>
      <c r="CT168" s="173"/>
      <c r="CU168" s="173"/>
    </row>
    <row r="169" spans="1:99" s="4" customFormat="1">
      <c r="A169" s="173"/>
      <c r="B169" s="174"/>
      <c r="C169" s="177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3"/>
      <c r="AH169" s="173"/>
      <c r="AI169" s="173"/>
      <c r="AJ169" s="173"/>
      <c r="AK169" s="173"/>
      <c r="AL169" s="173"/>
      <c r="AM169" s="173"/>
      <c r="AN169" s="173"/>
      <c r="AO169" s="173"/>
      <c r="AP169" s="173"/>
      <c r="AQ169" s="173"/>
      <c r="AR169" s="173"/>
      <c r="AS169" s="173"/>
      <c r="AT169" s="173"/>
      <c r="AU169" s="173"/>
      <c r="AV169" s="173"/>
      <c r="AW169" s="173"/>
      <c r="AX169" s="173"/>
      <c r="AY169" s="173"/>
      <c r="AZ169" s="173"/>
      <c r="BA169" s="173"/>
      <c r="BB169" s="173"/>
      <c r="BC169" s="173"/>
      <c r="BD169" s="173"/>
      <c r="BE169" s="173"/>
      <c r="BF169" s="173"/>
      <c r="BG169" s="173"/>
      <c r="BH169" s="173"/>
      <c r="BI169" s="173"/>
      <c r="BJ169" s="173"/>
      <c r="BK169" s="173"/>
      <c r="BL169" s="173"/>
      <c r="BM169" s="173"/>
      <c r="BN169" s="173"/>
      <c r="BO169" s="217"/>
      <c r="BP169" s="217"/>
      <c r="BQ169" s="217"/>
      <c r="BR169" s="217"/>
      <c r="BS169" s="217"/>
      <c r="BT169" s="217"/>
      <c r="BU169" s="217"/>
      <c r="BV169" s="217"/>
      <c r="BW169" s="217"/>
      <c r="BX169" s="217"/>
      <c r="BY169" s="217"/>
      <c r="BZ169" s="217"/>
      <c r="CA169" s="217"/>
      <c r="CB169" s="217"/>
      <c r="CC169" s="217"/>
      <c r="CD169" s="219"/>
      <c r="CE169" s="217"/>
      <c r="CF169" s="211"/>
      <c r="CG169" s="211"/>
      <c r="CH169" s="211"/>
      <c r="CI169" s="211"/>
      <c r="CJ169" s="218"/>
      <c r="CK169" s="211"/>
      <c r="CL169" s="211"/>
      <c r="CM169" s="211"/>
      <c r="CN169" s="173"/>
      <c r="CO169" s="173"/>
      <c r="CP169" s="173"/>
      <c r="CQ169" s="173"/>
      <c r="CR169" s="173"/>
      <c r="CS169" s="173"/>
      <c r="CT169" s="173"/>
      <c r="CU169" s="173"/>
    </row>
    <row r="170" spans="1:99" s="4" customFormat="1">
      <c r="A170" s="173"/>
      <c r="B170" s="174"/>
      <c r="C170" s="177"/>
      <c r="D170" s="173"/>
      <c r="E170" s="173"/>
      <c r="F170" s="173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73"/>
      <c r="AB170" s="173"/>
      <c r="AC170" s="173"/>
      <c r="AD170" s="173"/>
      <c r="AE170" s="173"/>
      <c r="AF170" s="173"/>
      <c r="AG170" s="173"/>
      <c r="AH170" s="173"/>
      <c r="AI170" s="173"/>
      <c r="AJ170" s="173"/>
      <c r="AK170" s="173"/>
      <c r="AL170" s="173"/>
      <c r="AM170" s="173"/>
      <c r="AN170" s="173"/>
      <c r="AO170" s="173"/>
      <c r="AP170" s="173"/>
      <c r="AQ170" s="173"/>
      <c r="AR170" s="173"/>
      <c r="AS170" s="173"/>
      <c r="AT170" s="173"/>
      <c r="AU170" s="173"/>
      <c r="AV170" s="173"/>
      <c r="AW170" s="173"/>
      <c r="AX170" s="173"/>
      <c r="AY170" s="173"/>
      <c r="AZ170" s="173"/>
      <c r="BA170" s="173"/>
      <c r="BB170" s="173"/>
      <c r="BC170" s="173"/>
      <c r="BD170" s="173"/>
      <c r="BE170" s="173"/>
      <c r="BF170" s="173"/>
      <c r="BG170" s="173"/>
      <c r="BH170" s="173"/>
      <c r="BI170" s="173"/>
      <c r="BJ170" s="173"/>
      <c r="BK170" s="173"/>
      <c r="BL170" s="173"/>
      <c r="BM170" s="173"/>
      <c r="BN170" s="173"/>
      <c r="BO170" s="217"/>
      <c r="BP170" s="217"/>
      <c r="BQ170" s="217"/>
      <c r="BR170" s="217"/>
      <c r="BS170" s="217"/>
      <c r="BT170" s="217"/>
      <c r="BU170" s="217"/>
      <c r="BV170" s="217"/>
      <c r="BW170" s="217"/>
      <c r="BX170" s="217"/>
      <c r="BY170" s="217"/>
      <c r="BZ170" s="217"/>
      <c r="CA170" s="217"/>
      <c r="CB170" s="217"/>
      <c r="CC170" s="217"/>
      <c r="CD170" s="219"/>
      <c r="CE170" s="217"/>
      <c r="CF170" s="211"/>
      <c r="CG170" s="211"/>
      <c r="CH170" s="211"/>
      <c r="CI170" s="211"/>
      <c r="CJ170" s="218"/>
      <c r="CK170" s="211"/>
      <c r="CL170" s="211"/>
      <c r="CM170" s="211"/>
      <c r="CN170" s="173"/>
      <c r="CO170" s="173"/>
      <c r="CP170" s="173"/>
      <c r="CQ170" s="173"/>
      <c r="CR170" s="173"/>
      <c r="CS170" s="173"/>
      <c r="CT170" s="173"/>
      <c r="CU170" s="173"/>
    </row>
    <row r="171" spans="1:99" s="4" customFormat="1">
      <c r="A171" s="173"/>
      <c r="B171" s="174"/>
      <c r="C171" s="177"/>
      <c r="D171" s="173"/>
      <c r="E171" s="173"/>
      <c r="F171" s="173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  <c r="AA171" s="173"/>
      <c r="AB171" s="173"/>
      <c r="AC171" s="173"/>
      <c r="AD171" s="173"/>
      <c r="AE171" s="173"/>
      <c r="AF171" s="173"/>
      <c r="AG171" s="173"/>
      <c r="AH171" s="173"/>
      <c r="AI171" s="173"/>
      <c r="AJ171" s="173"/>
      <c r="AK171" s="173"/>
      <c r="AL171" s="173"/>
      <c r="AM171" s="173"/>
      <c r="AN171" s="173"/>
      <c r="AO171" s="173"/>
      <c r="AP171" s="173"/>
      <c r="AQ171" s="173"/>
      <c r="AR171" s="173"/>
      <c r="AS171" s="173"/>
      <c r="AT171" s="173"/>
      <c r="AU171" s="173"/>
      <c r="AV171" s="173"/>
      <c r="AW171" s="173"/>
      <c r="AX171" s="173"/>
      <c r="AY171" s="173"/>
      <c r="AZ171" s="173"/>
      <c r="BA171" s="173"/>
      <c r="BB171" s="173"/>
      <c r="BC171" s="173"/>
      <c r="BD171" s="173"/>
      <c r="BE171" s="173"/>
      <c r="BF171" s="173"/>
      <c r="BG171" s="173"/>
      <c r="BH171" s="173"/>
      <c r="BI171" s="173"/>
      <c r="BJ171" s="173"/>
      <c r="BK171" s="173"/>
      <c r="BL171" s="173"/>
      <c r="BM171" s="173"/>
      <c r="BN171" s="173"/>
      <c r="BO171" s="217"/>
      <c r="BP171" s="217"/>
      <c r="BQ171" s="217"/>
      <c r="BR171" s="217"/>
      <c r="BS171" s="217"/>
      <c r="BT171" s="217"/>
      <c r="BU171" s="217"/>
      <c r="BV171" s="217"/>
      <c r="BW171" s="217"/>
      <c r="BX171" s="217"/>
      <c r="BY171" s="217"/>
      <c r="BZ171" s="217"/>
      <c r="CA171" s="217"/>
      <c r="CB171" s="217"/>
      <c r="CC171" s="217"/>
      <c r="CD171" s="219"/>
      <c r="CE171" s="217"/>
      <c r="CF171" s="211"/>
      <c r="CG171" s="211"/>
      <c r="CH171" s="211"/>
      <c r="CI171" s="211"/>
      <c r="CJ171" s="218"/>
      <c r="CK171" s="211"/>
      <c r="CL171" s="211"/>
      <c r="CM171" s="211"/>
      <c r="CN171" s="173"/>
      <c r="CO171" s="173"/>
      <c r="CP171" s="173"/>
      <c r="CQ171" s="173"/>
      <c r="CR171" s="173"/>
      <c r="CS171" s="173"/>
      <c r="CT171" s="173"/>
      <c r="CU171" s="173"/>
    </row>
    <row r="172" spans="1:99" s="4" customFormat="1">
      <c r="A172" s="173"/>
      <c r="B172" s="174"/>
      <c r="C172" s="177"/>
      <c r="D172" s="173"/>
      <c r="E172" s="173"/>
      <c r="F172" s="173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  <c r="AA172" s="173"/>
      <c r="AB172" s="173"/>
      <c r="AC172" s="173"/>
      <c r="AD172" s="173"/>
      <c r="AE172" s="173"/>
      <c r="AF172" s="173"/>
      <c r="AG172" s="173"/>
      <c r="AH172" s="173"/>
      <c r="AI172" s="173"/>
      <c r="AJ172" s="173"/>
      <c r="AK172" s="173"/>
      <c r="AL172" s="173"/>
      <c r="AM172" s="173"/>
      <c r="AN172" s="173"/>
      <c r="AO172" s="173"/>
      <c r="AP172" s="173"/>
      <c r="AQ172" s="173"/>
      <c r="AR172" s="173"/>
      <c r="AS172" s="173"/>
      <c r="AT172" s="173"/>
      <c r="AU172" s="173"/>
      <c r="AV172" s="173"/>
      <c r="AW172" s="173"/>
      <c r="AX172" s="173"/>
      <c r="AY172" s="173"/>
      <c r="AZ172" s="173"/>
      <c r="BA172" s="173"/>
      <c r="BB172" s="173"/>
      <c r="BC172" s="173"/>
      <c r="BD172" s="173"/>
      <c r="BE172" s="173"/>
      <c r="BF172" s="173"/>
      <c r="BG172" s="173"/>
      <c r="BH172" s="173"/>
      <c r="BI172" s="173"/>
      <c r="BJ172" s="173"/>
      <c r="BK172" s="173"/>
      <c r="BL172" s="173"/>
      <c r="BM172" s="173"/>
      <c r="BN172" s="173"/>
      <c r="BO172" s="217"/>
      <c r="BP172" s="217"/>
      <c r="BQ172" s="217"/>
      <c r="BR172" s="217"/>
      <c r="BS172" s="217"/>
      <c r="BT172" s="217"/>
      <c r="BU172" s="217"/>
      <c r="BV172" s="217"/>
      <c r="BW172" s="217"/>
      <c r="BX172" s="217"/>
      <c r="BY172" s="217"/>
      <c r="BZ172" s="217"/>
      <c r="CA172" s="217"/>
      <c r="CB172" s="217"/>
      <c r="CC172" s="217"/>
      <c r="CD172" s="219"/>
      <c r="CE172" s="217"/>
      <c r="CF172" s="211"/>
      <c r="CG172" s="211"/>
      <c r="CH172" s="211"/>
      <c r="CI172" s="211"/>
      <c r="CJ172" s="218"/>
      <c r="CK172" s="211"/>
      <c r="CL172" s="211"/>
      <c r="CM172" s="211"/>
      <c r="CN172" s="173"/>
      <c r="CO172" s="173"/>
      <c r="CP172" s="173"/>
      <c r="CQ172" s="173"/>
      <c r="CR172" s="173"/>
      <c r="CS172" s="173"/>
      <c r="CT172" s="173"/>
      <c r="CU172" s="173"/>
    </row>
    <row r="173" spans="1:99" s="4" customFormat="1">
      <c r="A173" s="173"/>
      <c r="B173" s="174"/>
      <c r="C173" s="177"/>
      <c r="D173" s="173"/>
      <c r="E173" s="173"/>
      <c r="F173" s="173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  <c r="AA173" s="173"/>
      <c r="AB173" s="173"/>
      <c r="AC173" s="173"/>
      <c r="AD173" s="173"/>
      <c r="AE173" s="173"/>
      <c r="AF173" s="173"/>
      <c r="AG173" s="173"/>
      <c r="AH173" s="173"/>
      <c r="AI173" s="173"/>
      <c r="AJ173" s="173"/>
      <c r="AK173" s="173"/>
      <c r="AL173" s="173"/>
      <c r="AM173" s="173"/>
      <c r="AN173" s="173"/>
      <c r="AO173" s="173"/>
      <c r="AP173" s="173"/>
      <c r="AQ173" s="173"/>
      <c r="AR173" s="173"/>
      <c r="AS173" s="173"/>
      <c r="AT173" s="173"/>
      <c r="AU173" s="173"/>
      <c r="AV173" s="173"/>
      <c r="AW173" s="173"/>
      <c r="AX173" s="173"/>
      <c r="AY173" s="173"/>
      <c r="AZ173" s="173"/>
      <c r="BA173" s="173"/>
      <c r="BB173" s="173"/>
      <c r="BC173" s="173"/>
      <c r="BD173" s="173"/>
      <c r="BE173" s="173"/>
      <c r="BF173" s="173"/>
      <c r="BG173" s="173"/>
      <c r="BH173" s="173"/>
      <c r="BI173" s="173"/>
      <c r="BJ173" s="173"/>
      <c r="BK173" s="173"/>
      <c r="BL173" s="173"/>
      <c r="BM173" s="173"/>
      <c r="BN173" s="173"/>
      <c r="BO173" s="217"/>
      <c r="BP173" s="217"/>
      <c r="BQ173" s="217"/>
      <c r="BR173" s="217"/>
      <c r="BS173" s="217"/>
      <c r="BT173" s="217"/>
      <c r="BU173" s="217"/>
      <c r="BV173" s="217"/>
      <c r="BW173" s="217"/>
      <c r="BX173" s="217"/>
      <c r="BY173" s="217"/>
      <c r="BZ173" s="217"/>
      <c r="CA173" s="217"/>
      <c r="CB173" s="217"/>
      <c r="CC173" s="217"/>
      <c r="CD173" s="219"/>
      <c r="CE173" s="217"/>
      <c r="CF173" s="211"/>
      <c r="CG173" s="211"/>
      <c r="CH173" s="211"/>
      <c r="CI173" s="211"/>
      <c r="CJ173" s="218"/>
      <c r="CK173" s="211"/>
      <c r="CL173" s="211"/>
      <c r="CM173" s="211"/>
      <c r="CN173" s="173"/>
      <c r="CO173" s="173"/>
      <c r="CP173" s="173"/>
      <c r="CQ173" s="173"/>
      <c r="CR173" s="173"/>
      <c r="CS173" s="173"/>
      <c r="CT173" s="173"/>
      <c r="CU173" s="173"/>
    </row>
    <row r="174" spans="1:99" s="4" customFormat="1">
      <c r="A174" s="173"/>
      <c r="B174" s="174"/>
      <c r="C174" s="177"/>
      <c r="D174" s="173"/>
      <c r="E174" s="173"/>
      <c r="F174" s="173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  <c r="AA174" s="173"/>
      <c r="AB174" s="173"/>
      <c r="AC174" s="173"/>
      <c r="AD174" s="173"/>
      <c r="AE174" s="173"/>
      <c r="AF174" s="173"/>
      <c r="AG174" s="173"/>
      <c r="AH174" s="173"/>
      <c r="AI174" s="173"/>
      <c r="AJ174" s="173"/>
      <c r="AK174" s="173"/>
      <c r="AL174" s="173"/>
      <c r="AM174" s="173"/>
      <c r="AN174" s="173"/>
      <c r="AO174" s="173"/>
      <c r="AP174" s="173"/>
      <c r="AQ174" s="173"/>
      <c r="AR174" s="173"/>
      <c r="AS174" s="173"/>
      <c r="AT174" s="173"/>
      <c r="AU174" s="173"/>
      <c r="AV174" s="173"/>
      <c r="AW174" s="173"/>
      <c r="AX174" s="173"/>
      <c r="AY174" s="173"/>
      <c r="AZ174" s="173"/>
      <c r="BA174" s="173"/>
      <c r="BB174" s="173"/>
      <c r="BC174" s="173"/>
      <c r="BD174" s="173"/>
      <c r="BE174" s="173"/>
      <c r="BF174" s="173"/>
      <c r="BG174" s="173"/>
      <c r="BH174" s="173"/>
      <c r="BI174" s="173"/>
      <c r="BJ174" s="173"/>
      <c r="BK174" s="173"/>
      <c r="BL174" s="173"/>
      <c r="BM174" s="173"/>
      <c r="BN174" s="173"/>
      <c r="BO174" s="217"/>
      <c r="BP174" s="217"/>
      <c r="BQ174" s="217"/>
      <c r="BR174" s="217"/>
      <c r="BS174" s="217"/>
      <c r="BT174" s="217"/>
      <c r="BU174" s="217"/>
      <c r="BV174" s="217"/>
      <c r="BW174" s="217"/>
      <c r="BX174" s="217"/>
      <c r="BY174" s="217"/>
      <c r="BZ174" s="217"/>
      <c r="CA174" s="217"/>
      <c r="CB174" s="217"/>
      <c r="CC174" s="217"/>
      <c r="CD174" s="219"/>
      <c r="CE174" s="217"/>
      <c r="CF174" s="211"/>
      <c r="CG174" s="211"/>
      <c r="CH174" s="211"/>
      <c r="CI174" s="211"/>
      <c r="CJ174" s="218"/>
      <c r="CK174" s="211"/>
      <c r="CL174" s="211"/>
      <c r="CM174" s="211"/>
      <c r="CN174" s="173"/>
      <c r="CO174" s="173"/>
      <c r="CP174" s="173"/>
      <c r="CQ174" s="173"/>
      <c r="CR174" s="173"/>
      <c r="CS174" s="173"/>
      <c r="CT174" s="173"/>
      <c r="CU174" s="173"/>
    </row>
    <row r="175" spans="1:99" s="4" customFormat="1">
      <c r="A175" s="173"/>
      <c r="B175" s="174"/>
      <c r="C175" s="177"/>
      <c r="D175" s="173"/>
      <c r="E175" s="173"/>
      <c r="F175" s="173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  <c r="AA175" s="173"/>
      <c r="AB175" s="173"/>
      <c r="AC175" s="173"/>
      <c r="AD175" s="173"/>
      <c r="AE175" s="173"/>
      <c r="AF175" s="173"/>
      <c r="AG175" s="173"/>
      <c r="AH175" s="173"/>
      <c r="AI175" s="173"/>
      <c r="AJ175" s="173"/>
      <c r="AK175" s="173"/>
      <c r="AL175" s="173"/>
      <c r="AM175" s="173"/>
      <c r="AN175" s="173"/>
      <c r="AO175" s="173"/>
      <c r="AP175" s="173"/>
      <c r="AQ175" s="173"/>
      <c r="AR175" s="173"/>
      <c r="AS175" s="173"/>
      <c r="AT175" s="173"/>
      <c r="AU175" s="173"/>
      <c r="AV175" s="173"/>
      <c r="AW175" s="173"/>
      <c r="AX175" s="173"/>
      <c r="AY175" s="173"/>
      <c r="AZ175" s="173"/>
      <c r="BA175" s="173"/>
      <c r="BB175" s="173"/>
      <c r="BC175" s="173"/>
      <c r="BD175" s="173"/>
      <c r="BE175" s="173"/>
      <c r="BF175" s="173"/>
      <c r="BG175" s="173"/>
      <c r="BH175" s="173"/>
      <c r="BI175" s="173"/>
      <c r="BJ175" s="173"/>
      <c r="BK175" s="173"/>
      <c r="BL175" s="173"/>
      <c r="BM175" s="173"/>
      <c r="BN175" s="173"/>
      <c r="BO175" s="217"/>
      <c r="BP175" s="217"/>
      <c r="BQ175" s="217"/>
      <c r="BR175" s="217"/>
      <c r="BS175" s="217"/>
      <c r="BT175" s="217"/>
      <c r="BU175" s="217"/>
      <c r="BV175" s="217"/>
      <c r="BW175" s="217"/>
      <c r="BX175" s="217"/>
      <c r="BY175" s="217"/>
      <c r="BZ175" s="217"/>
      <c r="CA175" s="217"/>
      <c r="CB175" s="217"/>
      <c r="CC175" s="217"/>
      <c r="CD175" s="219"/>
      <c r="CE175" s="217"/>
      <c r="CF175" s="211"/>
      <c r="CG175" s="211"/>
      <c r="CH175" s="211"/>
      <c r="CI175" s="211"/>
      <c r="CJ175" s="218"/>
      <c r="CK175" s="211"/>
      <c r="CL175" s="211"/>
      <c r="CM175" s="211"/>
      <c r="CN175" s="173"/>
      <c r="CO175" s="173"/>
      <c r="CP175" s="173"/>
      <c r="CQ175" s="173"/>
      <c r="CR175" s="173"/>
      <c r="CS175" s="173"/>
      <c r="CT175" s="173"/>
      <c r="CU175" s="173"/>
    </row>
    <row r="176" spans="1:99" s="4" customFormat="1">
      <c r="A176" s="173"/>
      <c r="B176" s="174"/>
      <c r="C176" s="177"/>
      <c r="D176" s="173"/>
      <c r="E176" s="173"/>
      <c r="F176" s="173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  <c r="AA176" s="173"/>
      <c r="AB176" s="173"/>
      <c r="AC176" s="173"/>
      <c r="AD176" s="173"/>
      <c r="AE176" s="173"/>
      <c r="AF176" s="173"/>
      <c r="AG176" s="173"/>
      <c r="AH176" s="173"/>
      <c r="AI176" s="173"/>
      <c r="AJ176" s="173"/>
      <c r="AK176" s="173"/>
      <c r="AL176" s="173"/>
      <c r="AM176" s="173"/>
      <c r="AN176" s="173"/>
      <c r="AO176" s="173"/>
      <c r="AP176" s="173"/>
      <c r="AQ176" s="173"/>
      <c r="AR176" s="173"/>
      <c r="AS176" s="173"/>
      <c r="AT176" s="173"/>
      <c r="AU176" s="173"/>
      <c r="AV176" s="173"/>
      <c r="AW176" s="173"/>
      <c r="AX176" s="173"/>
      <c r="AY176" s="173"/>
      <c r="AZ176" s="173"/>
      <c r="BA176" s="173"/>
      <c r="BB176" s="173"/>
      <c r="BC176" s="173"/>
      <c r="BD176" s="173"/>
      <c r="BE176" s="173"/>
      <c r="BF176" s="173"/>
      <c r="BG176" s="173"/>
      <c r="BH176" s="173"/>
      <c r="BI176" s="173"/>
      <c r="BJ176" s="173"/>
      <c r="BK176" s="173"/>
      <c r="BL176" s="173"/>
      <c r="BM176" s="173"/>
      <c r="BN176" s="173"/>
      <c r="BO176" s="217"/>
      <c r="BP176" s="217"/>
      <c r="BQ176" s="217"/>
      <c r="BR176" s="217"/>
      <c r="BS176" s="217"/>
      <c r="BT176" s="217"/>
      <c r="BU176" s="217"/>
      <c r="BV176" s="217"/>
      <c r="BW176" s="217"/>
      <c r="BX176" s="217"/>
      <c r="BY176" s="217"/>
      <c r="BZ176" s="217"/>
      <c r="CA176" s="217"/>
      <c r="CB176" s="217"/>
      <c r="CC176" s="217"/>
      <c r="CD176" s="219"/>
      <c r="CE176" s="217"/>
      <c r="CF176" s="211"/>
      <c r="CG176" s="211"/>
      <c r="CH176" s="211"/>
      <c r="CI176" s="211"/>
      <c r="CJ176" s="218"/>
      <c r="CK176" s="211"/>
      <c r="CL176" s="211"/>
      <c r="CM176" s="211"/>
      <c r="CN176" s="173"/>
      <c r="CO176" s="173"/>
      <c r="CP176" s="173"/>
      <c r="CQ176" s="173"/>
      <c r="CR176" s="173"/>
      <c r="CS176" s="173"/>
      <c r="CT176" s="173"/>
      <c r="CU176" s="173"/>
    </row>
    <row r="177" spans="1:99" s="4" customFormat="1">
      <c r="A177" s="173"/>
      <c r="B177" s="174"/>
      <c r="C177" s="177"/>
      <c r="D177" s="173"/>
      <c r="E177" s="173"/>
      <c r="F177" s="173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  <c r="AA177" s="173"/>
      <c r="AB177" s="173"/>
      <c r="AC177" s="173"/>
      <c r="AD177" s="173"/>
      <c r="AE177" s="173"/>
      <c r="AF177" s="173"/>
      <c r="AG177" s="173"/>
      <c r="AH177" s="173"/>
      <c r="AI177" s="173"/>
      <c r="AJ177" s="173"/>
      <c r="AK177" s="173"/>
      <c r="AL177" s="173"/>
      <c r="AM177" s="173"/>
      <c r="AN177" s="173"/>
      <c r="AO177" s="173"/>
      <c r="AP177" s="173"/>
      <c r="AQ177" s="173"/>
      <c r="AR177" s="173"/>
      <c r="AS177" s="173"/>
      <c r="AT177" s="173"/>
      <c r="AU177" s="173"/>
      <c r="AV177" s="173"/>
      <c r="AW177" s="173"/>
      <c r="AX177" s="173"/>
      <c r="AY177" s="173"/>
      <c r="AZ177" s="173"/>
      <c r="BA177" s="173"/>
      <c r="BB177" s="173"/>
      <c r="BC177" s="173"/>
      <c r="BD177" s="173"/>
      <c r="BE177" s="173"/>
      <c r="BF177" s="173"/>
      <c r="BG177" s="173"/>
      <c r="BH177" s="173"/>
      <c r="BI177" s="173"/>
      <c r="BJ177" s="173"/>
      <c r="BK177" s="173"/>
      <c r="BL177" s="173"/>
      <c r="BM177" s="173"/>
      <c r="BN177" s="173"/>
      <c r="BO177" s="217"/>
      <c r="BP177" s="217"/>
      <c r="BQ177" s="217"/>
      <c r="BR177" s="217"/>
      <c r="BS177" s="217"/>
      <c r="BT177" s="217"/>
      <c r="BU177" s="217"/>
      <c r="BV177" s="217"/>
      <c r="BW177" s="217"/>
      <c r="BX177" s="217"/>
      <c r="BY177" s="217"/>
      <c r="BZ177" s="217"/>
      <c r="CA177" s="217"/>
      <c r="CB177" s="217"/>
      <c r="CC177" s="217"/>
      <c r="CD177" s="219"/>
      <c r="CE177" s="217"/>
      <c r="CF177" s="211"/>
      <c r="CG177" s="211"/>
      <c r="CH177" s="211"/>
      <c r="CI177" s="211"/>
      <c r="CJ177" s="218"/>
      <c r="CK177" s="211"/>
      <c r="CL177" s="211"/>
      <c r="CM177" s="211"/>
      <c r="CN177" s="173"/>
      <c r="CO177" s="173"/>
      <c r="CP177" s="173"/>
      <c r="CQ177" s="173"/>
      <c r="CR177" s="173"/>
      <c r="CS177" s="173"/>
      <c r="CT177" s="173"/>
      <c r="CU177" s="173"/>
    </row>
    <row r="178" spans="1:99" s="4" customFormat="1">
      <c r="A178" s="173"/>
      <c r="B178" s="174"/>
      <c r="C178" s="177"/>
      <c r="D178" s="173"/>
      <c r="E178" s="173"/>
      <c r="F178" s="173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  <c r="AA178" s="173"/>
      <c r="AB178" s="173"/>
      <c r="AC178" s="173"/>
      <c r="AD178" s="173"/>
      <c r="AE178" s="173"/>
      <c r="AF178" s="173"/>
      <c r="AG178" s="173"/>
      <c r="AH178" s="173"/>
      <c r="AI178" s="173"/>
      <c r="AJ178" s="173"/>
      <c r="AK178" s="173"/>
      <c r="AL178" s="173"/>
      <c r="AM178" s="173"/>
      <c r="AN178" s="173"/>
      <c r="AO178" s="173"/>
      <c r="AP178" s="173"/>
      <c r="AQ178" s="173"/>
      <c r="AR178" s="173"/>
      <c r="AS178" s="173"/>
      <c r="AT178" s="173"/>
      <c r="AU178" s="173"/>
      <c r="AV178" s="173"/>
      <c r="AW178" s="173"/>
      <c r="AX178" s="173"/>
      <c r="AY178" s="173"/>
      <c r="AZ178" s="173"/>
      <c r="BA178" s="173"/>
      <c r="BB178" s="173"/>
      <c r="BC178" s="173"/>
      <c r="BD178" s="173"/>
      <c r="BE178" s="173"/>
      <c r="BF178" s="173"/>
      <c r="BG178" s="173"/>
      <c r="BH178" s="173"/>
      <c r="BI178" s="173"/>
      <c r="BJ178" s="173"/>
      <c r="BK178" s="173"/>
      <c r="BL178" s="173"/>
      <c r="BM178" s="173"/>
      <c r="BN178" s="173"/>
      <c r="BO178" s="217"/>
      <c r="BP178" s="217"/>
      <c r="BQ178" s="217"/>
      <c r="BR178" s="217"/>
      <c r="BS178" s="217"/>
      <c r="BT178" s="217"/>
      <c r="BU178" s="217"/>
      <c r="BV178" s="217"/>
      <c r="BW178" s="217"/>
      <c r="BX178" s="217"/>
      <c r="BY178" s="217"/>
      <c r="BZ178" s="217"/>
      <c r="CA178" s="217"/>
      <c r="CB178" s="217"/>
      <c r="CC178" s="217"/>
      <c r="CD178" s="219"/>
      <c r="CE178" s="217"/>
      <c r="CF178" s="211"/>
      <c r="CG178" s="211"/>
      <c r="CH178" s="211"/>
      <c r="CI178" s="211"/>
      <c r="CJ178" s="218"/>
      <c r="CK178" s="211"/>
      <c r="CL178" s="211"/>
      <c r="CM178" s="211"/>
      <c r="CN178" s="173"/>
      <c r="CO178" s="173"/>
      <c r="CP178" s="173"/>
      <c r="CQ178" s="173"/>
      <c r="CR178" s="173"/>
      <c r="CS178" s="173"/>
      <c r="CT178" s="173"/>
      <c r="CU178" s="173"/>
    </row>
    <row r="179" spans="1:99" s="4" customFormat="1">
      <c r="B179" s="12"/>
      <c r="C179" s="11"/>
      <c r="BO179" s="221"/>
      <c r="BP179" s="221"/>
      <c r="BQ179" s="221"/>
      <c r="BR179" s="221"/>
      <c r="BS179" s="221"/>
      <c r="BT179" s="221"/>
      <c r="BU179" s="221"/>
      <c r="BV179" s="221"/>
      <c r="BW179" s="221"/>
      <c r="BX179" s="221"/>
      <c r="BY179" s="221"/>
      <c r="BZ179" s="221"/>
      <c r="CA179" s="221"/>
      <c r="CB179" s="221"/>
      <c r="CC179" s="221"/>
      <c r="CD179" s="245"/>
      <c r="CE179" s="221"/>
      <c r="CF179" s="223"/>
      <c r="CG179" s="223"/>
      <c r="CH179" s="223"/>
      <c r="CI179" s="223"/>
      <c r="CJ179" s="222"/>
      <c r="CK179" s="223"/>
      <c r="CL179" s="223"/>
      <c r="CM179" s="223"/>
    </row>
    <row r="180" spans="1:99" s="4" customFormat="1">
      <c r="B180" s="12"/>
      <c r="C180" s="11"/>
      <c r="BO180" s="221"/>
      <c r="BP180" s="221"/>
      <c r="BQ180" s="221"/>
      <c r="BR180" s="221"/>
      <c r="BS180" s="221"/>
      <c r="BT180" s="221"/>
      <c r="BU180" s="221"/>
      <c r="BV180" s="221"/>
      <c r="BW180" s="221"/>
      <c r="BX180" s="221"/>
      <c r="BY180" s="221"/>
      <c r="BZ180" s="221"/>
      <c r="CA180" s="221"/>
      <c r="CB180" s="221"/>
      <c r="CC180" s="221"/>
      <c r="CD180" s="245"/>
      <c r="CE180" s="221"/>
      <c r="CF180" s="223"/>
      <c r="CG180" s="223"/>
      <c r="CH180" s="223"/>
      <c r="CI180" s="223"/>
      <c r="CJ180" s="222"/>
      <c r="CK180" s="223"/>
      <c r="CL180" s="223"/>
      <c r="CM180" s="223"/>
    </row>
    <row r="181" spans="1:99" s="4" customFormat="1">
      <c r="B181" s="12"/>
      <c r="C181" s="11"/>
      <c r="BO181" s="221"/>
      <c r="BP181" s="221"/>
      <c r="BQ181" s="221"/>
      <c r="BR181" s="221"/>
      <c r="BS181" s="221"/>
      <c r="BT181" s="221"/>
      <c r="BU181" s="221"/>
      <c r="BV181" s="221"/>
      <c r="BW181" s="221"/>
      <c r="BX181" s="221"/>
      <c r="BY181" s="221"/>
      <c r="BZ181" s="221"/>
      <c r="CA181" s="221"/>
      <c r="CB181" s="221"/>
      <c r="CC181" s="221"/>
      <c r="CD181" s="245"/>
      <c r="CE181" s="221"/>
      <c r="CF181" s="223"/>
      <c r="CG181" s="223"/>
      <c r="CH181" s="223"/>
      <c r="CI181" s="223"/>
      <c r="CJ181" s="222"/>
      <c r="CK181" s="223"/>
      <c r="CL181" s="223"/>
      <c r="CM181" s="223"/>
    </row>
    <row r="182" spans="1:99" s="4" customFormat="1">
      <c r="B182" s="12"/>
      <c r="C182" s="11"/>
      <c r="BO182" s="221"/>
      <c r="BP182" s="221"/>
      <c r="BQ182" s="221"/>
      <c r="BR182" s="221"/>
      <c r="BS182" s="221"/>
      <c r="BT182" s="221"/>
      <c r="BU182" s="221"/>
      <c r="BV182" s="221"/>
      <c r="BW182" s="221"/>
      <c r="BX182" s="221"/>
      <c r="BY182" s="221"/>
      <c r="BZ182" s="221"/>
      <c r="CA182" s="221"/>
      <c r="CB182" s="221"/>
      <c r="CC182" s="221"/>
      <c r="CD182" s="245"/>
      <c r="CE182" s="221"/>
      <c r="CF182" s="223"/>
      <c r="CG182" s="223"/>
      <c r="CH182" s="223"/>
      <c r="CI182" s="223"/>
      <c r="CJ182" s="222"/>
      <c r="CK182" s="223"/>
      <c r="CL182" s="223"/>
      <c r="CM182" s="223"/>
    </row>
    <row r="183" spans="1:99" s="4" customFormat="1">
      <c r="B183" s="12"/>
      <c r="C183" s="11"/>
      <c r="BO183" s="221"/>
      <c r="BP183" s="221"/>
      <c r="BQ183" s="221"/>
      <c r="BR183" s="221"/>
      <c r="BS183" s="221"/>
      <c r="BT183" s="221"/>
      <c r="BU183" s="221"/>
      <c r="BV183" s="221"/>
      <c r="BW183" s="221"/>
      <c r="BX183" s="221"/>
      <c r="BY183" s="221"/>
      <c r="BZ183" s="221"/>
      <c r="CA183" s="221"/>
      <c r="CB183" s="221"/>
      <c r="CC183" s="221"/>
      <c r="CD183" s="245"/>
      <c r="CE183" s="221"/>
      <c r="CF183" s="223"/>
      <c r="CG183" s="223"/>
      <c r="CH183" s="223"/>
      <c r="CI183" s="223"/>
      <c r="CJ183" s="222"/>
      <c r="CK183" s="223"/>
      <c r="CL183" s="223"/>
      <c r="CM183" s="223"/>
    </row>
    <row r="184" spans="1:99" s="4" customFormat="1">
      <c r="B184" s="12"/>
      <c r="C184" s="11"/>
      <c r="BO184" s="221"/>
      <c r="BP184" s="221"/>
      <c r="BQ184" s="221"/>
      <c r="BR184" s="221"/>
      <c r="BS184" s="221"/>
      <c r="BT184" s="221"/>
      <c r="BU184" s="221"/>
      <c r="BV184" s="221"/>
      <c r="BW184" s="221"/>
      <c r="BX184" s="221"/>
      <c r="BY184" s="221"/>
      <c r="BZ184" s="221"/>
      <c r="CA184" s="221"/>
      <c r="CB184" s="221"/>
      <c r="CC184" s="221"/>
      <c r="CD184" s="245"/>
      <c r="CE184" s="221"/>
      <c r="CF184" s="223"/>
      <c r="CG184" s="223"/>
      <c r="CH184" s="223"/>
      <c r="CI184" s="223"/>
      <c r="CJ184" s="222"/>
      <c r="CK184" s="223"/>
      <c r="CL184" s="223"/>
      <c r="CM184" s="223"/>
    </row>
    <row r="185" spans="1:99" s="4" customFormat="1">
      <c r="B185" s="12"/>
      <c r="C185" s="11"/>
      <c r="BO185" s="221"/>
      <c r="BP185" s="221"/>
      <c r="BQ185" s="221"/>
      <c r="BR185" s="221"/>
      <c r="BS185" s="221"/>
      <c r="BT185" s="221"/>
      <c r="BU185" s="221"/>
      <c r="BV185" s="221"/>
      <c r="BW185" s="221"/>
      <c r="BX185" s="221"/>
      <c r="BY185" s="221"/>
      <c r="BZ185" s="221"/>
      <c r="CA185" s="221"/>
      <c r="CB185" s="221"/>
      <c r="CC185" s="221"/>
      <c r="CD185" s="245"/>
      <c r="CE185" s="221"/>
      <c r="CF185" s="223"/>
      <c r="CG185" s="223"/>
      <c r="CH185" s="223"/>
      <c r="CI185" s="223"/>
      <c r="CJ185" s="222"/>
      <c r="CK185" s="223"/>
      <c r="CL185" s="223"/>
      <c r="CM185" s="223"/>
    </row>
    <row r="186" spans="1:99" s="4" customFormat="1">
      <c r="B186" s="12"/>
      <c r="C186" s="11"/>
      <c r="BO186" s="221"/>
      <c r="BP186" s="221"/>
      <c r="BQ186" s="221"/>
      <c r="BR186" s="221"/>
      <c r="BS186" s="221"/>
      <c r="BT186" s="221"/>
      <c r="BU186" s="221"/>
      <c r="BV186" s="221"/>
      <c r="BW186" s="221"/>
      <c r="BX186" s="221"/>
      <c r="BY186" s="221"/>
      <c r="BZ186" s="221"/>
      <c r="CA186" s="221"/>
      <c r="CB186" s="221"/>
      <c r="CC186" s="221"/>
      <c r="CD186" s="245"/>
      <c r="CE186" s="221"/>
      <c r="CF186" s="223"/>
      <c r="CG186" s="223"/>
      <c r="CH186" s="223"/>
      <c r="CI186" s="223"/>
      <c r="CJ186" s="222"/>
      <c r="CK186" s="223"/>
      <c r="CL186" s="223"/>
      <c r="CM186" s="223"/>
    </row>
    <row r="187" spans="1:99" s="4" customFormat="1">
      <c r="B187" s="12"/>
      <c r="C187" s="11"/>
      <c r="BO187" s="221"/>
      <c r="BP187" s="221"/>
      <c r="BQ187" s="221"/>
      <c r="BR187" s="221"/>
      <c r="BS187" s="221"/>
      <c r="BT187" s="221"/>
      <c r="BU187" s="221"/>
      <c r="BV187" s="221"/>
      <c r="BW187" s="221"/>
      <c r="BX187" s="221"/>
      <c r="BY187" s="221"/>
      <c r="BZ187" s="221"/>
      <c r="CA187" s="221"/>
      <c r="CB187" s="221"/>
      <c r="CC187" s="221"/>
      <c r="CD187" s="245"/>
      <c r="CE187" s="221"/>
      <c r="CF187" s="223"/>
      <c r="CG187" s="223"/>
      <c r="CH187" s="223"/>
      <c r="CI187" s="223"/>
      <c r="CJ187" s="222"/>
      <c r="CK187" s="223"/>
      <c r="CL187" s="223"/>
      <c r="CM187" s="223"/>
    </row>
    <row r="188" spans="1:99" s="4" customFormat="1">
      <c r="B188" s="12"/>
      <c r="C188" s="11"/>
      <c r="BO188" s="221"/>
      <c r="BP188" s="221"/>
      <c r="BQ188" s="221"/>
      <c r="BR188" s="221"/>
      <c r="BS188" s="221"/>
      <c r="BT188" s="221"/>
      <c r="BU188" s="221"/>
      <c r="BV188" s="221"/>
      <c r="BW188" s="221"/>
      <c r="BX188" s="221"/>
      <c r="BY188" s="221"/>
      <c r="BZ188" s="221"/>
      <c r="CA188" s="221"/>
      <c r="CB188" s="221"/>
      <c r="CC188" s="221"/>
      <c r="CD188" s="245"/>
      <c r="CE188" s="221"/>
      <c r="CF188" s="223"/>
      <c r="CG188" s="223"/>
      <c r="CH188" s="223"/>
      <c r="CI188" s="223"/>
      <c r="CJ188" s="222"/>
      <c r="CK188" s="223"/>
      <c r="CL188" s="223"/>
      <c r="CM188" s="223"/>
    </row>
    <row r="189" spans="1:99" s="4" customFormat="1">
      <c r="B189" s="12"/>
      <c r="C189" s="11"/>
      <c r="BO189" s="221"/>
      <c r="BP189" s="221"/>
      <c r="BQ189" s="221"/>
      <c r="BR189" s="221"/>
      <c r="BS189" s="221"/>
      <c r="BT189" s="221"/>
      <c r="BU189" s="221"/>
      <c r="BV189" s="221"/>
      <c r="BW189" s="221"/>
      <c r="BX189" s="221"/>
      <c r="BY189" s="221"/>
      <c r="BZ189" s="221"/>
      <c r="CA189" s="221"/>
      <c r="CB189" s="221"/>
      <c r="CC189" s="221"/>
      <c r="CD189" s="245"/>
      <c r="CE189" s="221"/>
      <c r="CF189" s="223"/>
      <c r="CG189" s="223"/>
      <c r="CH189" s="223"/>
      <c r="CI189" s="223"/>
      <c r="CJ189" s="222"/>
      <c r="CK189" s="223"/>
      <c r="CL189" s="223"/>
      <c r="CM189" s="223"/>
    </row>
    <row r="190" spans="1:99" s="4" customFormat="1">
      <c r="B190" s="12"/>
      <c r="C190" s="11"/>
      <c r="BO190" s="221"/>
      <c r="BP190" s="221"/>
      <c r="BQ190" s="221"/>
      <c r="BR190" s="221"/>
      <c r="BS190" s="221"/>
      <c r="BT190" s="221"/>
      <c r="BU190" s="221"/>
      <c r="BV190" s="221"/>
      <c r="BW190" s="221"/>
      <c r="BX190" s="221"/>
      <c r="BY190" s="221"/>
      <c r="BZ190" s="221"/>
      <c r="CA190" s="221"/>
      <c r="CB190" s="221"/>
      <c r="CC190" s="221"/>
      <c r="CD190" s="245"/>
      <c r="CE190" s="221"/>
      <c r="CF190" s="223"/>
      <c r="CG190" s="223"/>
      <c r="CH190" s="223"/>
      <c r="CI190" s="223"/>
      <c r="CJ190" s="222"/>
      <c r="CK190" s="223"/>
      <c r="CL190" s="223"/>
      <c r="CM190" s="223"/>
    </row>
    <row r="191" spans="1:99" s="4" customFormat="1">
      <c r="B191" s="12"/>
      <c r="C191" s="11"/>
      <c r="BO191" s="221"/>
      <c r="BP191" s="221"/>
      <c r="BQ191" s="221"/>
      <c r="BR191" s="221"/>
      <c r="BS191" s="221"/>
      <c r="BT191" s="221"/>
      <c r="BU191" s="221"/>
      <c r="BV191" s="221"/>
      <c r="BW191" s="221"/>
      <c r="BX191" s="221"/>
      <c r="BY191" s="221"/>
      <c r="BZ191" s="221"/>
      <c r="CA191" s="221"/>
      <c r="CB191" s="221"/>
      <c r="CC191" s="221"/>
      <c r="CD191" s="245"/>
      <c r="CE191" s="221"/>
      <c r="CF191" s="223"/>
      <c r="CG191" s="223"/>
      <c r="CH191" s="223"/>
      <c r="CI191" s="223"/>
      <c r="CJ191" s="222"/>
      <c r="CK191" s="223"/>
      <c r="CL191" s="223"/>
      <c r="CM191" s="223"/>
    </row>
    <row r="192" spans="1:99" s="4" customFormat="1">
      <c r="B192" s="12"/>
      <c r="C192" s="11"/>
      <c r="BO192" s="221"/>
      <c r="BP192" s="221"/>
      <c r="BQ192" s="221"/>
      <c r="BR192" s="221"/>
      <c r="BS192" s="221"/>
      <c r="BT192" s="221"/>
      <c r="BU192" s="221"/>
      <c r="BV192" s="221"/>
      <c r="BW192" s="221"/>
      <c r="BX192" s="221"/>
      <c r="BY192" s="221"/>
      <c r="BZ192" s="221"/>
      <c r="CA192" s="221"/>
      <c r="CB192" s="221"/>
      <c r="CC192" s="221"/>
      <c r="CD192" s="245"/>
      <c r="CE192" s="221"/>
      <c r="CF192" s="223"/>
      <c r="CG192" s="223"/>
      <c r="CH192" s="223"/>
      <c r="CI192" s="223"/>
      <c r="CJ192" s="222"/>
      <c r="CK192" s="223"/>
      <c r="CL192" s="223"/>
      <c r="CM192" s="223"/>
    </row>
    <row r="193" spans="2:91" s="4" customFormat="1">
      <c r="B193" s="12"/>
      <c r="C193" s="11"/>
      <c r="BO193" s="221"/>
      <c r="BP193" s="221"/>
      <c r="BQ193" s="221"/>
      <c r="BR193" s="221"/>
      <c r="BS193" s="221"/>
      <c r="BT193" s="221"/>
      <c r="BU193" s="221"/>
      <c r="BV193" s="221"/>
      <c r="BW193" s="221"/>
      <c r="BX193" s="221"/>
      <c r="BY193" s="221"/>
      <c r="BZ193" s="221"/>
      <c r="CA193" s="221"/>
      <c r="CB193" s="221"/>
      <c r="CC193" s="221"/>
      <c r="CD193" s="245"/>
      <c r="CE193" s="221"/>
      <c r="CF193" s="223"/>
      <c r="CG193" s="223"/>
      <c r="CH193" s="223"/>
      <c r="CI193" s="223"/>
      <c r="CJ193" s="222"/>
      <c r="CK193" s="223"/>
      <c r="CL193" s="223"/>
      <c r="CM193" s="223"/>
    </row>
    <row r="194" spans="2:91" s="4" customFormat="1">
      <c r="B194" s="12"/>
      <c r="C194" s="11"/>
      <c r="BO194" s="221"/>
      <c r="BP194" s="221"/>
      <c r="BQ194" s="221"/>
      <c r="BR194" s="221"/>
      <c r="BS194" s="221"/>
      <c r="BT194" s="221"/>
      <c r="BU194" s="221"/>
      <c r="BV194" s="221"/>
      <c r="BW194" s="221"/>
      <c r="BX194" s="221"/>
      <c r="BY194" s="221"/>
      <c r="BZ194" s="221"/>
      <c r="CA194" s="221"/>
      <c r="CB194" s="221"/>
      <c r="CC194" s="221"/>
      <c r="CD194" s="245"/>
      <c r="CE194" s="221"/>
      <c r="CF194" s="223"/>
      <c r="CG194" s="223"/>
      <c r="CH194" s="223"/>
      <c r="CI194" s="223"/>
      <c r="CJ194" s="222"/>
      <c r="CK194" s="223"/>
      <c r="CL194" s="223"/>
      <c r="CM194" s="223"/>
    </row>
    <row r="195" spans="2:91" s="4" customFormat="1">
      <c r="B195" s="12"/>
      <c r="C195" s="11"/>
      <c r="BO195" s="221"/>
      <c r="BP195" s="221"/>
      <c r="BQ195" s="221"/>
      <c r="BR195" s="221"/>
      <c r="BS195" s="221"/>
      <c r="BT195" s="221"/>
      <c r="BU195" s="221"/>
      <c r="BV195" s="221"/>
      <c r="BW195" s="221"/>
      <c r="BX195" s="221"/>
      <c r="BY195" s="221"/>
      <c r="BZ195" s="221"/>
      <c r="CA195" s="221"/>
      <c r="CB195" s="221"/>
      <c r="CC195" s="221"/>
      <c r="CD195" s="245"/>
      <c r="CE195" s="221"/>
      <c r="CF195" s="223"/>
      <c r="CG195" s="223"/>
      <c r="CH195" s="223"/>
      <c r="CI195" s="223"/>
      <c r="CJ195" s="222"/>
      <c r="CK195" s="223"/>
      <c r="CL195" s="223"/>
      <c r="CM195" s="223"/>
    </row>
    <row r="196" spans="2:91" s="4" customFormat="1">
      <c r="B196" s="12"/>
      <c r="C196" s="11"/>
      <c r="BO196" s="221"/>
      <c r="BP196" s="221"/>
      <c r="BQ196" s="221"/>
      <c r="BR196" s="221"/>
      <c r="BS196" s="221"/>
      <c r="BT196" s="221"/>
      <c r="BU196" s="221"/>
      <c r="BV196" s="221"/>
      <c r="BW196" s="221"/>
      <c r="BX196" s="221"/>
      <c r="BY196" s="221"/>
      <c r="BZ196" s="221"/>
      <c r="CA196" s="221"/>
      <c r="CB196" s="221"/>
      <c r="CC196" s="221"/>
      <c r="CD196" s="245"/>
      <c r="CE196" s="221"/>
      <c r="CF196" s="223"/>
      <c r="CG196" s="223"/>
      <c r="CH196" s="223"/>
      <c r="CI196" s="223"/>
      <c r="CJ196" s="222"/>
      <c r="CK196" s="223"/>
      <c r="CL196" s="223"/>
      <c r="CM196" s="223"/>
    </row>
    <row r="197" spans="2:91" s="4" customFormat="1">
      <c r="B197" s="12"/>
      <c r="C197" s="11"/>
      <c r="BO197" s="221"/>
      <c r="BP197" s="221"/>
      <c r="BQ197" s="221"/>
      <c r="BR197" s="221"/>
      <c r="BS197" s="221"/>
      <c r="BT197" s="221"/>
      <c r="BU197" s="221"/>
      <c r="BV197" s="221"/>
      <c r="BW197" s="221"/>
      <c r="BX197" s="221"/>
      <c r="BY197" s="221"/>
      <c r="BZ197" s="221"/>
      <c r="CA197" s="221"/>
      <c r="CB197" s="221"/>
      <c r="CC197" s="221"/>
      <c r="CD197" s="245"/>
      <c r="CE197" s="221"/>
      <c r="CF197" s="223"/>
      <c r="CG197" s="223"/>
      <c r="CH197" s="223"/>
      <c r="CI197" s="223"/>
      <c r="CJ197" s="222"/>
      <c r="CK197" s="223"/>
      <c r="CL197" s="223"/>
      <c r="CM197" s="223"/>
    </row>
    <row r="198" spans="2:91" s="4" customFormat="1">
      <c r="B198" s="12"/>
      <c r="C198" s="11"/>
      <c r="BO198" s="221"/>
      <c r="BP198" s="221"/>
      <c r="BQ198" s="221"/>
      <c r="BR198" s="221"/>
      <c r="BS198" s="221"/>
      <c r="BT198" s="221"/>
      <c r="BU198" s="221"/>
      <c r="BV198" s="221"/>
      <c r="BW198" s="221"/>
      <c r="BX198" s="221"/>
      <c r="BY198" s="221"/>
      <c r="BZ198" s="221"/>
      <c r="CA198" s="221"/>
      <c r="CB198" s="221"/>
      <c r="CC198" s="221"/>
      <c r="CD198" s="245"/>
      <c r="CE198" s="221"/>
      <c r="CF198" s="223"/>
      <c r="CG198" s="223"/>
      <c r="CH198" s="223"/>
      <c r="CI198" s="223"/>
      <c r="CJ198" s="222"/>
      <c r="CK198" s="223"/>
      <c r="CL198" s="223"/>
      <c r="CM198" s="223"/>
    </row>
    <row r="199" spans="2:91" s="4" customFormat="1">
      <c r="B199" s="12"/>
      <c r="C199" s="11"/>
      <c r="BO199" s="221"/>
      <c r="BP199" s="221"/>
      <c r="BQ199" s="221"/>
      <c r="BR199" s="221"/>
      <c r="BS199" s="221"/>
      <c r="BT199" s="221"/>
      <c r="BU199" s="221"/>
      <c r="BV199" s="221"/>
      <c r="BW199" s="221"/>
      <c r="BX199" s="221"/>
      <c r="BY199" s="221"/>
      <c r="BZ199" s="221"/>
      <c r="CA199" s="221"/>
      <c r="CB199" s="221"/>
      <c r="CC199" s="221"/>
      <c r="CD199" s="245"/>
      <c r="CE199" s="221"/>
      <c r="CF199" s="223"/>
      <c r="CG199" s="223"/>
      <c r="CH199" s="223"/>
      <c r="CI199" s="223"/>
      <c r="CJ199" s="222"/>
      <c r="CK199" s="223"/>
      <c r="CL199" s="223"/>
      <c r="CM199" s="223"/>
    </row>
    <row r="200" spans="2:91" s="4" customFormat="1">
      <c r="B200" s="12"/>
      <c r="C200" s="11"/>
      <c r="BO200" s="221"/>
      <c r="BP200" s="221"/>
      <c r="BQ200" s="221"/>
      <c r="BR200" s="221"/>
      <c r="BS200" s="221"/>
      <c r="BT200" s="221"/>
      <c r="BU200" s="221"/>
      <c r="BV200" s="221"/>
      <c r="BW200" s="221"/>
      <c r="BX200" s="221"/>
      <c r="BY200" s="221"/>
      <c r="BZ200" s="221"/>
      <c r="CA200" s="221"/>
      <c r="CB200" s="221"/>
      <c r="CC200" s="221"/>
      <c r="CD200" s="245"/>
      <c r="CE200" s="221"/>
      <c r="CF200" s="223"/>
      <c r="CG200" s="223"/>
      <c r="CH200" s="223"/>
      <c r="CI200" s="223"/>
      <c r="CJ200" s="222"/>
      <c r="CK200" s="223"/>
      <c r="CL200" s="223"/>
      <c r="CM200" s="223"/>
    </row>
    <row r="201" spans="2:91" s="4" customFormat="1">
      <c r="B201" s="12"/>
      <c r="C201" s="11"/>
      <c r="BO201" s="221"/>
      <c r="BP201" s="221"/>
      <c r="BQ201" s="221"/>
      <c r="BR201" s="221"/>
      <c r="BS201" s="221"/>
      <c r="BT201" s="221"/>
      <c r="BU201" s="221"/>
      <c r="BV201" s="221"/>
      <c r="BW201" s="221"/>
      <c r="BX201" s="221"/>
      <c r="BY201" s="221"/>
      <c r="BZ201" s="221"/>
      <c r="CA201" s="221"/>
      <c r="CB201" s="221"/>
      <c r="CC201" s="221"/>
      <c r="CD201" s="245"/>
      <c r="CE201" s="221"/>
      <c r="CF201" s="223"/>
      <c r="CG201" s="223"/>
      <c r="CH201" s="223"/>
      <c r="CI201" s="223"/>
      <c r="CJ201" s="222"/>
      <c r="CK201" s="223"/>
      <c r="CL201" s="223"/>
      <c r="CM201" s="223"/>
    </row>
    <row r="202" spans="2:91" s="4" customFormat="1">
      <c r="B202" s="12"/>
      <c r="C202" s="11"/>
      <c r="BO202" s="221"/>
      <c r="BP202" s="221"/>
      <c r="BQ202" s="221"/>
      <c r="BR202" s="221"/>
      <c r="BS202" s="221"/>
      <c r="BT202" s="221"/>
      <c r="BU202" s="221"/>
      <c r="BV202" s="221"/>
      <c r="BW202" s="221"/>
      <c r="BX202" s="221"/>
      <c r="BY202" s="221"/>
      <c r="BZ202" s="221"/>
      <c r="CA202" s="221"/>
      <c r="CB202" s="221"/>
      <c r="CC202" s="221"/>
      <c r="CD202" s="245"/>
      <c r="CE202" s="221"/>
      <c r="CF202" s="223"/>
      <c r="CG202" s="223"/>
      <c r="CH202" s="223"/>
      <c r="CI202" s="223"/>
      <c r="CJ202" s="222"/>
      <c r="CK202" s="223"/>
      <c r="CL202" s="223"/>
      <c r="CM202" s="223"/>
    </row>
    <row r="203" spans="2:91" s="4" customFormat="1">
      <c r="B203" s="12"/>
      <c r="C203" s="11"/>
      <c r="BO203" s="221"/>
      <c r="BP203" s="221"/>
      <c r="BQ203" s="221"/>
      <c r="BR203" s="221"/>
      <c r="BS203" s="221"/>
      <c r="BT203" s="221"/>
      <c r="BU203" s="221"/>
      <c r="BV203" s="221"/>
      <c r="BW203" s="221"/>
      <c r="BX203" s="221"/>
      <c r="BY203" s="221"/>
      <c r="BZ203" s="221"/>
      <c r="CA203" s="221"/>
      <c r="CB203" s="221"/>
      <c r="CC203" s="221"/>
      <c r="CD203" s="245"/>
      <c r="CE203" s="221"/>
      <c r="CF203" s="223"/>
      <c r="CG203" s="223"/>
      <c r="CH203" s="223"/>
      <c r="CI203" s="223"/>
      <c r="CJ203" s="222"/>
      <c r="CK203" s="223"/>
      <c r="CL203" s="223"/>
      <c r="CM203" s="223"/>
    </row>
    <row r="204" spans="2:91" s="4" customFormat="1">
      <c r="B204" s="12"/>
      <c r="C204" s="11"/>
      <c r="BO204" s="221"/>
      <c r="BP204" s="221"/>
      <c r="BQ204" s="221"/>
      <c r="BR204" s="221"/>
      <c r="BS204" s="221"/>
      <c r="BT204" s="221"/>
      <c r="BU204" s="221"/>
      <c r="BV204" s="221"/>
      <c r="BW204" s="221"/>
      <c r="BX204" s="221"/>
      <c r="BY204" s="221"/>
      <c r="BZ204" s="221"/>
      <c r="CA204" s="221"/>
      <c r="CB204" s="221"/>
      <c r="CC204" s="221"/>
      <c r="CD204" s="245"/>
      <c r="CE204" s="221"/>
      <c r="CF204" s="223"/>
      <c r="CG204" s="223"/>
      <c r="CH204" s="223"/>
      <c r="CI204" s="223"/>
      <c r="CJ204" s="222"/>
      <c r="CK204" s="223"/>
      <c r="CL204" s="223"/>
      <c r="CM204" s="223"/>
    </row>
    <row r="205" spans="2:91" s="4" customFormat="1">
      <c r="B205" s="12"/>
      <c r="C205" s="11"/>
      <c r="BO205" s="221"/>
      <c r="BP205" s="221"/>
      <c r="BQ205" s="221"/>
      <c r="BR205" s="221"/>
      <c r="BS205" s="221"/>
      <c r="BT205" s="221"/>
      <c r="BU205" s="221"/>
      <c r="BV205" s="221"/>
      <c r="BW205" s="221"/>
      <c r="BX205" s="221"/>
      <c r="BY205" s="221"/>
      <c r="BZ205" s="221"/>
      <c r="CA205" s="221"/>
      <c r="CB205" s="221"/>
      <c r="CC205" s="221"/>
      <c r="CD205" s="245"/>
      <c r="CE205" s="221"/>
      <c r="CF205" s="223"/>
      <c r="CG205" s="223"/>
      <c r="CH205" s="223"/>
      <c r="CI205" s="223"/>
      <c r="CJ205" s="222"/>
      <c r="CK205" s="223"/>
      <c r="CL205" s="223"/>
      <c r="CM205" s="223"/>
    </row>
    <row r="206" spans="2:91" s="4" customFormat="1">
      <c r="B206" s="12"/>
      <c r="C206" s="11"/>
      <c r="BO206" s="221"/>
      <c r="BP206" s="221"/>
      <c r="BQ206" s="221"/>
      <c r="BR206" s="221"/>
      <c r="BS206" s="221"/>
      <c r="BT206" s="221"/>
      <c r="BU206" s="221"/>
      <c r="BV206" s="221"/>
      <c r="BW206" s="221"/>
      <c r="BX206" s="221"/>
      <c r="BY206" s="221"/>
      <c r="BZ206" s="221"/>
      <c r="CA206" s="221"/>
      <c r="CB206" s="221"/>
      <c r="CC206" s="221"/>
      <c r="CD206" s="245"/>
      <c r="CE206" s="221"/>
      <c r="CF206" s="223"/>
      <c r="CG206" s="223"/>
      <c r="CH206" s="223"/>
      <c r="CI206" s="223"/>
      <c r="CJ206" s="222"/>
      <c r="CK206" s="223"/>
      <c r="CL206" s="223"/>
      <c r="CM206" s="223"/>
    </row>
    <row r="207" spans="2:91" s="4" customFormat="1">
      <c r="B207" s="12"/>
      <c r="C207" s="11"/>
      <c r="BO207" s="221"/>
      <c r="BP207" s="221"/>
      <c r="BQ207" s="221"/>
      <c r="BR207" s="221"/>
      <c r="BS207" s="221"/>
      <c r="BT207" s="221"/>
      <c r="BU207" s="221"/>
      <c r="BV207" s="221"/>
      <c r="BW207" s="221"/>
      <c r="BX207" s="221"/>
      <c r="BY207" s="221"/>
      <c r="BZ207" s="221"/>
      <c r="CA207" s="221"/>
      <c r="CB207" s="221"/>
      <c r="CC207" s="221"/>
      <c r="CD207" s="245"/>
      <c r="CE207" s="221"/>
      <c r="CF207" s="223"/>
      <c r="CG207" s="223"/>
      <c r="CH207" s="223"/>
      <c r="CI207" s="223"/>
      <c r="CJ207" s="222"/>
      <c r="CK207" s="223"/>
      <c r="CL207" s="223"/>
      <c r="CM207" s="223"/>
    </row>
    <row r="208" spans="2:91" s="4" customFormat="1">
      <c r="B208" s="12"/>
      <c r="C208" s="11"/>
      <c r="BO208" s="221"/>
      <c r="BP208" s="221"/>
      <c r="BQ208" s="221"/>
      <c r="BR208" s="221"/>
      <c r="BS208" s="221"/>
      <c r="BT208" s="221"/>
      <c r="BU208" s="221"/>
      <c r="BV208" s="221"/>
      <c r="BW208" s="221"/>
      <c r="BX208" s="221"/>
      <c r="BY208" s="221"/>
      <c r="BZ208" s="221"/>
      <c r="CA208" s="221"/>
      <c r="CB208" s="221"/>
      <c r="CC208" s="221"/>
      <c r="CD208" s="245"/>
      <c r="CE208" s="221"/>
      <c r="CF208" s="223"/>
      <c r="CG208" s="223"/>
      <c r="CH208" s="223"/>
      <c r="CI208" s="223"/>
      <c r="CJ208" s="222"/>
      <c r="CK208" s="223"/>
      <c r="CL208" s="223"/>
      <c r="CM208" s="223"/>
    </row>
    <row r="209" spans="2:91" s="4" customFormat="1">
      <c r="B209" s="12"/>
      <c r="C209" s="11"/>
      <c r="BO209" s="221"/>
      <c r="BP209" s="221"/>
      <c r="BQ209" s="221"/>
      <c r="BR209" s="221"/>
      <c r="BS209" s="221"/>
      <c r="BT209" s="221"/>
      <c r="BU209" s="221"/>
      <c r="BV209" s="221"/>
      <c r="BW209" s="221"/>
      <c r="BX209" s="221"/>
      <c r="BY209" s="221"/>
      <c r="BZ209" s="221"/>
      <c r="CA209" s="221"/>
      <c r="CB209" s="221"/>
      <c r="CC209" s="221"/>
      <c r="CD209" s="245"/>
      <c r="CE209" s="221"/>
      <c r="CF209" s="223"/>
      <c r="CG209" s="223"/>
      <c r="CH209" s="223"/>
      <c r="CI209" s="223"/>
      <c r="CJ209" s="222"/>
      <c r="CK209" s="223"/>
      <c r="CL209" s="223"/>
      <c r="CM209" s="223"/>
    </row>
    <row r="210" spans="2:91" s="4" customFormat="1">
      <c r="B210" s="12"/>
      <c r="C210" s="11"/>
      <c r="BO210" s="221"/>
      <c r="BP210" s="221"/>
      <c r="BQ210" s="221"/>
      <c r="BR210" s="221"/>
      <c r="BS210" s="221"/>
      <c r="BT210" s="221"/>
      <c r="BU210" s="221"/>
      <c r="BV210" s="221"/>
      <c r="BW210" s="221"/>
      <c r="BX210" s="221"/>
      <c r="BY210" s="221"/>
      <c r="BZ210" s="221"/>
      <c r="CA210" s="221"/>
      <c r="CB210" s="221"/>
      <c r="CC210" s="221"/>
      <c r="CD210" s="245"/>
      <c r="CE210" s="221"/>
      <c r="CF210" s="223"/>
      <c r="CG210" s="223"/>
      <c r="CH210" s="223"/>
      <c r="CI210" s="223"/>
      <c r="CJ210" s="222"/>
      <c r="CK210" s="223"/>
      <c r="CL210" s="223"/>
      <c r="CM210" s="223"/>
    </row>
    <row r="211" spans="2:91" s="4" customFormat="1">
      <c r="B211" s="12"/>
      <c r="C211" s="11"/>
      <c r="BO211" s="221"/>
      <c r="BP211" s="221"/>
      <c r="BQ211" s="221"/>
      <c r="BR211" s="221"/>
      <c r="BS211" s="221"/>
      <c r="BT211" s="221"/>
      <c r="BU211" s="221"/>
      <c r="BV211" s="221"/>
      <c r="BW211" s="221"/>
      <c r="BX211" s="221"/>
      <c r="BY211" s="221"/>
      <c r="BZ211" s="221"/>
      <c r="CA211" s="221"/>
      <c r="CB211" s="221"/>
      <c r="CC211" s="221"/>
      <c r="CD211" s="245"/>
      <c r="CE211" s="221"/>
      <c r="CF211" s="223"/>
      <c r="CG211" s="223"/>
      <c r="CH211" s="223"/>
      <c r="CI211" s="223"/>
      <c r="CJ211" s="222"/>
      <c r="CK211" s="223"/>
      <c r="CL211" s="223"/>
      <c r="CM211" s="223"/>
    </row>
    <row r="212" spans="2:91" s="4" customFormat="1">
      <c r="B212" s="12"/>
      <c r="C212" s="11"/>
      <c r="BO212" s="221"/>
      <c r="BP212" s="221"/>
      <c r="BQ212" s="221"/>
      <c r="BR212" s="221"/>
      <c r="BS212" s="221"/>
      <c r="BT212" s="221"/>
      <c r="BU212" s="221"/>
      <c r="BV212" s="221"/>
      <c r="BW212" s="221"/>
      <c r="BX212" s="221"/>
      <c r="BY212" s="221"/>
      <c r="BZ212" s="221"/>
      <c r="CA212" s="221"/>
      <c r="CB212" s="221"/>
      <c r="CC212" s="221"/>
      <c r="CD212" s="245"/>
      <c r="CE212" s="221"/>
      <c r="CF212" s="223"/>
      <c r="CG212" s="223"/>
      <c r="CH212" s="223"/>
      <c r="CI212" s="223"/>
      <c r="CJ212" s="222"/>
      <c r="CK212" s="223"/>
      <c r="CL212" s="223"/>
      <c r="CM212" s="223"/>
    </row>
    <row r="213" spans="2:91" s="4" customFormat="1">
      <c r="B213" s="12"/>
      <c r="C213" s="11"/>
      <c r="BO213" s="221"/>
      <c r="BP213" s="221"/>
      <c r="BQ213" s="221"/>
      <c r="BR213" s="221"/>
      <c r="BS213" s="221"/>
      <c r="BT213" s="221"/>
      <c r="BU213" s="221"/>
      <c r="BV213" s="221"/>
      <c r="BW213" s="221"/>
      <c r="BX213" s="221"/>
      <c r="BY213" s="221"/>
      <c r="BZ213" s="221"/>
      <c r="CA213" s="221"/>
      <c r="CB213" s="221"/>
      <c r="CC213" s="221"/>
      <c r="CD213" s="245"/>
      <c r="CE213" s="221"/>
      <c r="CF213" s="223"/>
      <c r="CG213" s="223"/>
      <c r="CH213" s="223"/>
      <c r="CI213" s="223"/>
      <c r="CJ213" s="222"/>
      <c r="CK213" s="223"/>
      <c r="CL213" s="223"/>
      <c r="CM213" s="223"/>
    </row>
    <row r="214" spans="2:91" s="4" customFormat="1">
      <c r="B214" s="12"/>
      <c r="C214" s="11"/>
      <c r="BO214" s="221"/>
      <c r="BP214" s="221"/>
      <c r="BQ214" s="221"/>
      <c r="BR214" s="221"/>
      <c r="BS214" s="221"/>
      <c r="BT214" s="221"/>
      <c r="BU214" s="221"/>
      <c r="BV214" s="221"/>
      <c r="BW214" s="221"/>
      <c r="BX214" s="221"/>
      <c r="BY214" s="221"/>
      <c r="BZ214" s="221"/>
      <c r="CA214" s="221"/>
      <c r="CB214" s="221"/>
      <c r="CC214" s="221"/>
      <c r="CD214" s="245"/>
      <c r="CE214" s="221"/>
      <c r="CF214" s="223"/>
      <c r="CG214" s="223"/>
      <c r="CH214" s="223"/>
      <c r="CI214" s="223"/>
      <c r="CJ214" s="222"/>
      <c r="CK214" s="223"/>
      <c r="CL214" s="223"/>
      <c r="CM214" s="223"/>
    </row>
    <row r="215" spans="2:91" s="4" customFormat="1">
      <c r="B215" s="12"/>
      <c r="C215" s="11"/>
      <c r="BO215" s="221"/>
      <c r="BP215" s="221"/>
      <c r="BQ215" s="221"/>
      <c r="BR215" s="221"/>
      <c r="BS215" s="221"/>
      <c r="BT215" s="221"/>
      <c r="BU215" s="221"/>
      <c r="BV215" s="221"/>
      <c r="BW215" s="221"/>
      <c r="BX215" s="221"/>
      <c r="BY215" s="221"/>
      <c r="BZ215" s="221"/>
      <c r="CA215" s="221"/>
      <c r="CB215" s="221"/>
      <c r="CC215" s="221"/>
      <c r="CD215" s="245"/>
      <c r="CE215" s="221"/>
      <c r="CF215" s="223"/>
      <c r="CG215" s="223"/>
      <c r="CH215" s="223"/>
      <c r="CI215" s="223"/>
      <c r="CJ215" s="222"/>
      <c r="CK215" s="223"/>
      <c r="CL215" s="223"/>
      <c r="CM215" s="223"/>
    </row>
    <row r="216" spans="2:91" s="4" customFormat="1">
      <c r="B216" s="12"/>
      <c r="C216" s="11"/>
      <c r="BO216" s="221"/>
      <c r="BP216" s="221"/>
      <c r="BQ216" s="221"/>
      <c r="BR216" s="221"/>
      <c r="BS216" s="221"/>
      <c r="BT216" s="221"/>
      <c r="BU216" s="221"/>
      <c r="BV216" s="221"/>
      <c r="BW216" s="221"/>
      <c r="BX216" s="221"/>
      <c r="BY216" s="221"/>
      <c r="BZ216" s="221"/>
      <c r="CA216" s="221"/>
      <c r="CB216" s="221"/>
      <c r="CC216" s="221"/>
      <c r="CD216" s="245"/>
      <c r="CE216" s="221"/>
      <c r="CF216" s="223"/>
      <c r="CG216" s="223"/>
      <c r="CH216" s="223"/>
      <c r="CI216" s="223"/>
      <c r="CJ216" s="222"/>
      <c r="CK216" s="223"/>
      <c r="CL216" s="223"/>
      <c r="CM216" s="223"/>
    </row>
    <row r="217" spans="2:91" s="4" customFormat="1">
      <c r="B217" s="12"/>
      <c r="C217" s="11"/>
      <c r="BO217" s="221"/>
      <c r="BP217" s="221"/>
      <c r="BQ217" s="221"/>
      <c r="BR217" s="221"/>
      <c r="BS217" s="221"/>
      <c r="BT217" s="221"/>
      <c r="BU217" s="221"/>
      <c r="BV217" s="221"/>
      <c r="BW217" s="221"/>
      <c r="BX217" s="221"/>
      <c r="BY217" s="221"/>
      <c r="BZ217" s="221"/>
      <c r="CA217" s="221"/>
      <c r="CB217" s="221"/>
      <c r="CC217" s="221"/>
      <c r="CD217" s="245"/>
      <c r="CE217" s="221"/>
      <c r="CF217" s="223"/>
      <c r="CG217" s="223"/>
      <c r="CH217" s="223"/>
      <c r="CI217" s="223"/>
      <c r="CJ217" s="222"/>
      <c r="CK217" s="223"/>
      <c r="CL217" s="223"/>
      <c r="CM217" s="223"/>
    </row>
    <row r="218" spans="2:91" s="4" customFormat="1">
      <c r="B218" s="12"/>
      <c r="C218" s="11"/>
      <c r="BO218" s="221"/>
      <c r="BP218" s="221"/>
      <c r="BQ218" s="221"/>
      <c r="BR218" s="221"/>
      <c r="BS218" s="221"/>
      <c r="BT218" s="221"/>
      <c r="BU218" s="221"/>
      <c r="BV218" s="221"/>
      <c r="BW218" s="221"/>
      <c r="BX218" s="221"/>
      <c r="BY218" s="221"/>
      <c r="BZ218" s="221"/>
      <c r="CA218" s="221"/>
      <c r="CB218" s="221"/>
      <c r="CC218" s="221"/>
      <c r="CD218" s="245"/>
      <c r="CE218" s="221"/>
      <c r="CF218" s="223"/>
      <c r="CG218" s="223"/>
      <c r="CH218" s="223"/>
      <c r="CI218" s="223"/>
      <c r="CJ218" s="222"/>
      <c r="CK218" s="223"/>
      <c r="CL218" s="223"/>
      <c r="CM218" s="223"/>
    </row>
    <row r="219" spans="2:91" s="4" customFormat="1">
      <c r="B219" s="12"/>
      <c r="C219" s="11"/>
      <c r="BO219" s="221"/>
      <c r="BP219" s="221"/>
      <c r="BQ219" s="221"/>
      <c r="BR219" s="221"/>
      <c r="BS219" s="221"/>
      <c r="BT219" s="221"/>
      <c r="BU219" s="221"/>
      <c r="BV219" s="221"/>
      <c r="BW219" s="221"/>
      <c r="BX219" s="221"/>
      <c r="BY219" s="221"/>
      <c r="BZ219" s="221"/>
      <c r="CA219" s="221"/>
      <c r="CB219" s="221"/>
      <c r="CC219" s="221"/>
      <c r="CD219" s="245"/>
      <c r="CE219" s="221"/>
      <c r="CF219" s="223"/>
      <c r="CG219" s="223"/>
      <c r="CH219" s="223"/>
      <c r="CI219" s="223"/>
      <c r="CJ219" s="222"/>
      <c r="CK219" s="223"/>
      <c r="CL219" s="223"/>
      <c r="CM219" s="223"/>
    </row>
    <row r="220" spans="2:91" s="4" customFormat="1">
      <c r="B220" s="12"/>
      <c r="C220" s="11"/>
      <c r="BO220" s="221"/>
      <c r="BP220" s="221"/>
      <c r="BQ220" s="221"/>
      <c r="BR220" s="221"/>
      <c r="BS220" s="221"/>
      <c r="BT220" s="221"/>
      <c r="BU220" s="221"/>
      <c r="BV220" s="221"/>
      <c r="BW220" s="221"/>
      <c r="BX220" s="221"/>
      <c r="BY220" s="221"/>
      <c r="BZ220" s="221"/>
      <c r="CA220" s="221"/>
      <c r="CB220" s="221"/>
      <c r="CC220" s="221"/>
      <c r="CD220" s="245"/>
      <c r="CE220" s="221"/>
      <c r="CF220" s="223"/>
      <c r="CG220" s="223"/>
      <c r="CH220" s="223"/>
      <c r="CI220" s="223"/>
      <c r="CJ220" s="222"/>
      <c r="CK220" s="223"/>
      <c r="CL220" s="223"/>
      <c r="CM220" s="223"/>
    </row>
    <row r="221" spans="2:91" s="4" customFormat="1">
      <c r="B221" s="12"/>
      <c r="C221" s="11"/>
      <c r="BO221" s="221"/>
      <c r="BP221" s="221"/>
      <c r="BQ221" s="221"/>
      <c r="BR221" s="221"/>
      <c r="BS221" s="221"/>
      <c r="BT221" s="221"/>
      <c r="BU221" s="221"/>
      <c r="BV221" s="221"/>
      <c r="BW221" s="221"/>
      <c r="BX221" s="221"/>
      <c r="BY221" s="221"/>
      <c r="BZ221" s="221"/>
      <c r="CA221" s="221"/>
      <c r="CB221" s="221"/>
      <c r="CC221" s="221"/>
      <c r="CD221" s="245"/>
      <c r="CE221" s="221"/>
      <c r="CF221" s="223"/>
      <c r="CG221" s="223"/>
      <c r="CH221" s="223"/>
      <c r="CI221" s="223"/>
      <c r="CJ221" s="222"/>
      <c r="CK221" s="223"/>
      <c r="CL221" s="223"/>
      <c r="CM221" s="223"/>
    </row>
    <row r="222" spans="2:91" s="4" customFormat="1">
      <c r="B222" s="12"/>
      <c r="C222" s="11"/>
      <c r="BO222" s="221"/>
      <c r="BP222" s="221"/>
      <c r="BQ222" s="221"/>
      <c r="BR222" s="221"/>
      <c r="BS222" s="221"/>
      <c r="BT222" s="221"/>
      <c r="BU222" s="221"/>
      <c r="BV222" s="221"/>
      <c r="BW222" s="221"/>
      <c r="BX222" s="221"/>
      <c r="BY222" s="221"/>
      <c r="BZ222" s="221"/>
      <c r="CA222" s="221"/>
      <c r="CB222" s="221"/>
      <c r="CC222" s="221"/>
      <c r="CD222" s="245"/>
      <c r="CE222" s="221"/>
      <c r="CF222" s="223"/>
      <c r="CG222" s="223"/>
      <c r="CH222" s="223"/>
      <c r="CI222" s="223"/>
      <c r="CJ222" s="222"/>
      <c r="CK222" s="223"/>
      <c r="CL222" s="223"/>
      <c r="CM222" s="223"/>
    </row>
    <row r="223" spans="2:91" s="4" customFormat="1">
      <c r="B223" s="12"/>
      <c r="C223" s="11"/>
      <c r="BO223" s="221"/>
      <c r="BP223" s="221"/>
      <c r="BQ223" s="221"/>
      <c r="BR223" s="221"/>
      <c r="BS223" s="221"/>
      <c r="BT223" s="221"/>
      <c r="BU223" s="221"/>
      <c r="BV223" s="221"/>
      <c r="BW223" s="221"/>
      <c r="BX223" s="221"/>
      <c r="BY223" s="221"/>
      <c r="BZ223" s="221"/>
      <c r="CA223" s="221"/>
      <c r="CB223" s="221"/>
      <c r="CC223" s="221"/>
      <c r="CD223" s="245"/>
      <c r="CE223" s="221"/>
      <c r="CF223" s="223"/>
      <c r="CG223" s="223"/>
      <c r="CH223" s="223"/>
      <c r="CI223" s="223"/>
      <c r="CJ223" s="222"/>
      <c r="CK223" s="223"/>
      <c r="CL223" s="223"/>
      <c r="CM223" s="223"/>
    </row>
    <row r="224" spans="2:91" s="4" customFormat="1">
      <c r="B224" s="12"/>
      <c r="C224" s="11"/>
      <c r="BO224" s="221"/>
      <c r="BP224" s="221"/>
      <c r="BQ224" s="221"/>
      <c r="BR224" s="221"/>
      <c r="BS224" s="221"/>
      <c r="BT224" s="221"/>
      <c r="BU224" s="221"/>
      <c r="BV224" s="221"/>
      <c r="BW224" s="221"/>
      <c r="BX224" s="221"/>
      <c r="BY224" s="221"/>
      <c r="BZ224" s="221"/>
      <c r="CA224" s="221"/>
      <c r="CB224" s="221"/>
      <c r="CC224" s="221"/>
      <c r="CD224" s="245"/>
      <c r="CE224" s="221"/>
      <c r="CF224" s="223"/>
      <c r="CG224" s="223"/>
      <c r="CH224" s="223"/>
      <c r="CI224" s="223"/>
      <c r="CJ224" s="222"/>
      <c r="CK224" s="223"/>
      <c r="CL224" s="223"/>
      <c r="CM224" s="223"/>
    </row>
    <row r="225" spans="2:91" s="4" customFormat="1">
      <c r="B225" s="12"/>
      <c r="C225" s="11"/>
      <c r="BO225" s="221"/>
      <c r="BP225" s="221"/>
      <c r="BQ225" s="221"/>
      <c r="BR225" s="221"/>
      <c r="BS225" s="221"/>
      <c r="BT225" s="221"/>
      <c r="BU225" s="221"/>
      <c r="BV225" s="221"/>
      <c r="BW225" s="221"/>
      <c r="BX225" s="221"/>
      <c r="BY225" s="221"/>
      <c r="BZ225" s="221"/>
      <c r="CA225" s="221"/>
      <c r="CB225" s="221"/>
      <c r="CC225" s="221"/>
      <c r="CD225" s="245"/>
      <c r="CE225" s="221"/>
      <c r="CF225" s="223"/>
      <c r="CG225" s="223"/>
      <c r="CH225" s="223"/>
      <c r="CI225" s="223"/>
      <c r="CJ225" s="222"/>
      <c r="CK225" s="223"/>
      <c r="CL225" s="223"/>
      <c r="CM225" s="223"/>
    </row>
    <row r="226" spans="2:91" s="4" customFormat="1">
      <c r="B226" s="12"/>
      <c r="C226" s="11"/>
      <c r="BO226" s="221"/>
      <c r="BP226" s="221"/>
      <c r="BQ226" s="221"/>
      <c r="BR226" s="221"/>
      <c r="BS226" s="221"/>
      <c r="BT226" s="221"/>
      <c r="BU226" s="221"/>
      <c r="BV226" s="221"/>
      <c r="BW226" s="221"/>
      <c r="BX226" s="221"/>
      <c r="BY226" s="221"/>
      <c r="BZ226" s="221"/>
      <c r="CA226" s="221"/>
      <c r="CB226" s="221"/>
      <c r="CC226" s="221"/>
      <c r="CD226" s="245"/>
      <c r="CE226" s="221"/>
      <c r="CF226" s="223"/>
      <c r="CG226" s="223"/>
      <c r="CH226" s="223"/>
      <c r="CI226" s="223"/>
      <c r="CJ226" s="222"/>
      <c r="CK226" s="223"/>
      <c r="CL226" s="223"/>
      <c r="CM226" s="223"/>
    </row>
    <row r="227" spans="2:91" s="4" customFormat="1">
      <c r="B227" s="12"/>
      <c r="C227" s="11"/>
      <c r="BO227" s="221"/>
      <c r="BP227" s="221"/>
      <c r="BQ227" s="221"/>
      <c r="BR227" s="221"/>
      <c r="BS227" s="221"/>
      <c r="BT227" s="221"/>
      <c r="BU227" s="221"/>
      <c r="BV227" s="221"/>
      <c r="BW227" s="221"/>
      <c r="BX227" s="221"/>
      <c r="BY227" s="221"/>
      <c r="BZ227" s="221"/>
      <c r="CA227" s="221"/>
      <c r="CB227" s="221"/>
      <c r="CC227" s="221"/>
      <c r="CD227" s="245"/>
      <c r="CE227" s="221"/>
      <c r="CF227" s="223"/>
      <c r="CG227" s="223"/>
      <c r="CH227" s="223"/>
      <c r="CI227" s="223"/>
      <c r="CJ227" s="222"/>
      <c r="CK227" s="223"/>
      <c r="CL227" s="223"/>
      <c r="CM227" s="223"/>
    </row>
    <row r="228" spans="2:91" s="4" customFormat="1">
      <c r="B228" s="12"/>
      <c r="C228" s="11"/>
      <c r="BO228" s="221"/>
      <c r="BP228" s="221"/>
      <c r="BQ228" s="221"/>
      <c r="BR228" s="221"/>
      <c r="BS228" s="221"/>
      <c r="BT228" s="221"/>
      <c r="BU228" s="221"/>
      <c r="BV228" s="221"/>
      <c r="BW228" s="221"/>
      <c r="BX228" s="221"/>
      <c r="BY228" s="221"/>
      <c r="BZ228" s="221"/>
      <c r="CA228" s="221"/>
      <c r="CB228" s="221"/>
      <c r="CC228" s="221"/>
      <c r="CD228" s="245"/>
      <c r="CE228" s="221"/>
      <c r="CF228" s="223"/>
      <c r="CG228" s="223"/>
      <c r="CH228" s="223"/>
      <c r="CI228" s="223"/>
      <c r="CJ228" s="222"/>
      <c r="CK228" s="223"/>
      <c r="CL228" s="223"/>
      <c r="CM228" s="223"/>
    </row>
    <row r="229" spans="2:91" s="4" customFormat="1">
      <c r="B229" s="12"/>
      <c r="C229" s="11"/>
      <c r="BO229" s="221"/>
      <c r="BP229" s="221"/>
      <c r="BQ229" s="221"/>
      <c r="BR229" s="221"/>
      <c r="BS229" s="221"/>
      <c r="BT229" s="221"/>
      <c r="BU229" s="221"/>
      <c r="BV229" s="221"/>
      <c r="BW229" s="221"/>
      <c r="BX229" s="221"/>
      <c r="BY229" s="221"/>
      <c r="BZ229" s="221"/>
      <c r="CA229" s="221"/>
      <c r="CB229" s="221"/>
      <c r="CC229" s="221"/>
      <c r="CD229" s="245"/>
      <c r="CE229" s="221"/>
      <c r="CF229" s="223"/>
      <c r="CG229" s="223"/>
      <c r="CH229" s="223"/>
      <c r="CI229" s="223"/>
      <c r="CJ229" s="222"/>
      <c r="CK229" s="223"/>
      <c r="CL229" s="223"/>
      <c r="CM229" s="223"/>
    </row>
    <row r="230" spans="2:91" s="4" customFormat="1">
      <c r="B230" s="12"/>
      <c r="C230" s="11"/>
      <c r="BO230" s="221"/>
      <c r="BP230" s="221"/>
      <c r="BQ230" s="221"/>
      <c r="BR230" s="221"/>
      <c r="BS230" s="221"/>
      <c r="BT230" s="221"/>
      <c r="BU230" s="221"/>
      <c r="BV230" s="221"/>
      <c r="BW230" s="221"/>
      <c r="BX230" s="221"/>
      <c r="BY230" s="221"/>
      <c r="BZ230" s="221"/>
      <c r="CA230" s="221"/>
      <c r="CB230" s="221"/>
      <c r="CC230" s="221"/>
      <c r="CD230" s="245"/>
      <c r="CE230" s="221"/>
      <c r="CF230" s="223"/>
      <c r="CG230" s="223"/>
      <c r="CH230" s="223"/>
      <c r="CI230" s="223"/>
      <c r="CJ230" s="222"/>
      <c r="CK230" s="223"/>
      <c r="CL230" s="223"/>
      <c r="CM230" s="223"/>
    </row>
    <row r="231" spans="2:91" s="4" customFormat="1">
      <c r="B231" s="12"/>
      <c r="C231" s="11"/>
      <c r="BO231" s="221"/>
      <c r="BP231" s="221"/>
      <c r="BQ231" s="221"/>
      <c r="BR231" s="221"/>
      <c r="BS231" s="221"/>
      <c r="BT231" s="221"/>
      <c r="BU231" s="221"/>
      <c r="BV231" s="221"/>
      <c r="BW231" s="221"/>
      <c r="BX231" s="221"/>
      <c r="BY231" s="221"/>
      <c r="BZ231" s="221"/>
      <c r="CA231" s="221"/>
      <c r="CB231" s="221"/>
      <c r="CC231" s="221"/>
      <c r="CD231" s="245"/>
      <c r="CE231" s="221"/>
      <c r="CF231" s="223"/>
      <c r="CG231" s="223"/>
      <c r="CH231" s="223"/>
      <c r="CI231" s="223"/>
      <c r="CJ231" s="222"/>
      <c r="CK231" s="223"/>
      <c r="CL231" s="223"/>
      <c r="CM231" s="223"/>
    </row>
    <row r="232" spans="2:91" s="4" customFormat="1">
      <c r="B232" s="12"/>
      <c r="C232" s="11"/>
      <c r="BO232" s="221"/>
      <c r="BP232" s="221"/>
      <c r="BQ232" s="221"/>
      <c r="BR232" s="221"/>
      <c r="BS232" s="221"/>
      <c r="BT232" s="221"/>
      <c r="BU232" s="221"/>
      <c r="BV232" s="221"/>
      <c r="BW232" s="221"/>
      <c r="BX232" s="221"/>
      <c r="BY232" s="221"/>
      <c r="BZ232" s="221"/>
      <c r="CA232" s="221"/>
      <c r="CB232" s="221"/>
      <c r="CC232" s="221"/>
      <c r="CD232" s="245"/>
      <c r="CE232" s="221"/>
      <c r="CF232" s="223"/>
      <c r="CG232" s="223"/>
      <c r="CH232" s="223"/>
      <c r="CI232" s="223"/>
      <c r="CJ232" s="222"/>
      <c r="CK232" s="223"/>
      <c r="CL232" s="223"/>
      <c r="CM232" s="223"/>
    </row>
    <row r="233" spans="2:91" s="4" customFormat="1">
      <c r="B233" s="12"/>
      <c r="C233" s="11"/>
      <c r="BO233" s="221"/>
      <c r="BP233" s="221"/>
      <c r="BQ233" s="221"/>
      <c r="BR233" s="221"/>
      <c r="BS233" s="221"/>
      <c r="BT233" s="221"/>
      <c r="BU233" s="221"/>
      <c r="BV233" s="221"/>
      <c r="BW233" s="221"/>
      <c r="BX233" s="221"/>
      <c r="BY233" s="221"/>
      <c r="BZ233" s="221"/>
      <c r="CA233" s="221"/>
      <c r="CB233" s="221"/>
      <c r="CC233" s="221"/>
      <c r="CD233" s="245"/>
      <c r="CE233" s="221"/>
      <c r="CF233" s="223"/>
      <c r="CG233" s="223"/>
      <c r="CH233" s="223"/>
      <c r="CI233" s="223"/>
      <c r="CJ233" s="222"/>
      <c r="CK233" s="223"/>
      <c r="CL233" s="223"/>
      <c r="CM233" s="223"/>
    </row>
    <row r="234" spans="2:91" s="4" customFormat="1">
      <c r="B234" s="12"/>
      <c r="C234" s="11"/>
      <c r="BO234" s="221"/>
      <c r="BP234" s="221"/>
      <c r="BQ234" s="221"/>
      <c r="BR234" s="221"/>
      <c r="BS234" s="221"/>
      <c r="BT234" s="221"/>
      <c r="BU234" s="221"/>
      <c r="BV234" s="221"/>
      <c r="BW234" s="221"/>
      <c r="BX234" s="221"/>
      <c r="BY234" s="221"/>
      <c r="BZ234" s="221"/>
      <c r="CA234" s="221"/>
      <c r="CB234" s="221"/>
      <c r="CC234" s="221"/>
      <c r="CD234" s="245"/>
      <c r="CE234" s="221"/>
      <c r="CF234" s="223"/>
      <c r="CG234" s="223"/>
      <c r="CH234" s="223"/>
      <c r="CI234" s="223"/>
      <c r="CJ234" s="222"/>
      <c r="CK234" s="223"/>
      <c r="CL234" s="223"/>
      <c r="CM234" s="223"/>
    </row>
    <row r="235" spans="2:91" s="4" customFormat="1">
      <c r="B235" s="12"/>
      <c r="C235" s="11"/>
      <c r="BO235" s="221"/>
      <c r="BP235" s="221"/>
      <c r="BQ235" s="221"/>
      <c r="BR235" s="221"/>
      <c r="BS235" s="221"/>
      <c r="BT235" s="221"/>
      <c r="BU235" s="221"/>
      <c r="BV235" s="221"/>
      <c r="BW235" s="221"/>
      <c r="BX235" s="221"/>
      <c r="BY235" s="221"/>
      <c r="BZ235" s="221"/>
      <c r="CA235" s="221"/>
      <c r="CB235" s="221"/>
      <c r="CC235" s="221"/>
      <c r="CD235" s="245"/>
      <c r="CE235" s="221"/>
      <c r="CF235" s="223"/>
      <c r="CG235" s="223"/>
      <c r="CH235" s="223"/>
      <c r="CI235" s="223"/>
      <c r="CJ235" s="222"/>
      <c r="CK235" s="223"/>
      <c r="CL235" s="223"/>
      <c r="CM235" s="223"/>
    </row>
    <row r="236" spans="2:91" s="4" customFormat="1">
      <c r="B236" s="12"/>
      <c r="C236" s="11"/>
      <c r="BO236" s="221"/>
      <c r="BP236" s="221"/>
      <c r="BQ236" s="221"/>
      <c r="BR236" s="221"/>
      <c r="BS236" s="221"/>
      <c r="BT236" s="221"/>
      <c r="BU236" s="221"/>
      <c r="BV236" s="221"/>
      <c r="BW236" s="221"/>
      <c r="BX236" s="221"/>
      <c r="BY236" s="221"/>
      <c r="BZ236" s="221"/>
      <c r="CA236" s="221"/>
      <c r="CB236" s="221"/>
      <c r="CC236" s="221"/>
      <c r="CD236" s="245"/>
      <c r="CE236" s="221"/>
      <c r="CF236" s="223"/>
      <c r="CG236" s="223"/>
      <c r="CH236" s="223"/>
      <c r="CI236" s="223"/>
      <c r="CJ236" s="222"/>
      <c r="CK236" s="223"/>
      <c r="CL236" s="223"/>
      <c r="CM236" s="223"/>
    </row>
    <row r="237" spans="2:91" s="4" customFormat="1">
      <c r="B237" s="12"/>
      <c r="C237" s="11"/>
      <c r="BO237" s="221"/>
      <c r="BP237" s="221"/>
      <c r="BQ237" s="221"/>
      <c r="BR237" s="221"/>
      <c r="BS237" s="221"/>
      <c r="BT237" s="221"/>
      <c r="BU237" s="221"/>
      <c r="BV237" s="221"/>
      <c r="BW237" s="221"/>
      <c r="BX237" s="221"/>
      <c r="BY237" s="221"/>
      <c r="BZ237" s="221"/>
      <c r="CA237" s="221"/>
      <c r="CB237" s="221"/>
      <c r="CC237" s="221"/>
      <c r="CD237" s="245"/>
      <c r="CE237" s="221"/>
      <c r="CF237" s="223"/>
      <c r="CG237" s="223"/>
      <c r="CH237" s="223"/>
      <c r="CI237" s="223"/>
      <c r="CJ237" s="222"/>
      <c r="CK237" s="223"/>
      <c r="CL237" s="223"/>
      <c r="CM237" s="223"/>
    </row>
    <row r="238" spans="2:91" s="4" customFormat="1">
      <c r="B238" s="12"/>
      <c r="C238" s="11"/>
      <c r="BO238" s="221"/>
      <c r="BP238" s="221"/>
      <c r="BQ238" s="221"/>
      <c r="BR238" s="221"/>
      <c r="BS238" s="221"/>
      <c r="BT238" s="221"/>
      <c r="BU238" s="221"/>
      <c r="BV238" s="221"/>
      <c r="BW238" s="221"/>
      <c r="BX238" s="221"/>
      <c r="BY238" s="221"/>
      <c r="BZ238" s="221"/>
      <c r="CA238" s="221"/>
      <c r="CB238" s="221"/>
      <c r="CC238" s="221"/>
      <c r="CD238" s="245"/>
      <c r="CE238" s="221"/>
      <c r="CF238" s="223"/>
      <c r="CG238" s="223"/>
      <c r="CH238" s="223"/>
      <c r="CI238" s="223"/>
      <c r="CJ238" s="222"/>
      <c r="CK238" s="223"/>
      <c r="CL238" s="223"/>
      <c r="CM238" s="223"/>
    </row>
    <row r="239" spans="2:91" s="4" customFormat="1">
      <c r="B239" s="12"/>
      <c r="C239" s="11"/>
      <c r="BO239" s="221"/>
      <c r="BP239" s="221"/>
      <c r="BQ239" s="221"/>
      <c r="BR239" s="221"/>
      <c r="BS239" s="221"/>
      <c r="BT239" s="221"/>
      <c r="BU239" s="221"/>
      <c r="BV239" s="221"/>
      <c r="BW239" s="221"/>
      <c r="BX239" s="221"/>
      <c r="BY239" s="221"/>
      <c r="BZ239" s="221"/>
      <c r="CA239" s="221"/>
      <c r="CB239" s="221"/>
      <c r="CC239" s="221"/>
      <c r="CD239" s="245"/>
      <c r="CE239" s="221"/>
      <c r="CF239" s="223"/>
      <c r="CG239" s="223"/>
      <c r="CH239" s="223"/>
      <c r="CI239" s="223"/>
      <c r="CJ239" s="222"/>
      <c r="CK239" s="223"/>
      <c r="CL239" s="223"/>
      <c r="CM239" s="223"/>
    </row>
    <row r="240" spans="2:91" s="4" customFormat="1">
      <c r="B240" s="12"/>
      <c r="C240" s="11"/>
      <c r="BO240" s="221"/>
      <c r="BP240" s="221"/>
      <c r="BQ240" s="221"/>
      <c r="BR240" s="221"/>
      <c r="BS240" s="221"/>
      <c r="BT240" s="221"/>
      <c r="BU240" s="221"/>
      <c r="BV240" s="221"/>
      <c r="BW240" s="221"/>
      <c r="BX240" s="221"/>
      <c r="BY240" s="221"/>
      <c r="BZ240" s="221"/>
      <c r="CA240" s="221"/>
      <c r="CB240" s="221"/>
      <c r="CC240" s="221"/>
      <c r="CD240" s="245"/>
      <c r="CE240" s="221"/>
      <c r="CF240" s="223"/>
      <c r="CG240" s="223"/>
      <c r="CH240" s="223"/>
      <c r="CI240" s="223"/>
      <c r="CJ240" s="222"/>
      <c r="CK240" s="223"/>
      <c r="CL240" s="223"/>
      <c r="CM240" s="223"/>
    </row>
    <row r="241" spans="2:91" s="4" customFormat="1">
      <c r="B241" s="12"/>
      <c r="C241" s="11"/>
      <c r="BO241" s="221"/>
      <c r="BP241" s="221"/>
      <c r="BQ241" s="221"/>
      <c r="BR241" s="221"/>
      <c r="BS241" s="221"/>
      <c r="BT241" s="221"/>
      <c r="BU241" s="221"/>
      <c r="BV241" s="221"/>
      <c r="BW241" s="221"/>
      <c r="BX241" s="221"/>
      <c r="BY241" s="221"/>
      <c r="BZ241" s="221"/>
      <c r="CA241" s="221"/>
      <c r="CB241" s="221"/>
      <c r="CC241" s="221"/>
      <c r="CD241" s="245"/>
      <c r="CE241" s="221"/>
      <c r="CF241" s="223"/>
      <c r="CG241" s="223"/>
      <c r="CH241" s="223"/>
      <c r="CI241" s="223"/>
      <c r="CJ241" s="222"/>
      <c r="CK241" s="223"/>
      <c r="CL241" s="223"/>
      <c r="CM241" s="223"/>
    </row>
    <row r="242" spans="2:91" s="4" customFormat="1">
      <c r="B242" s="12"/>
      <c r="C242" s="11"/>
      <c r="BO242" s="221"/>
      <c r="BP242" s="221"/>
      <c r="BQ242" s="221"/>
      <c r="BR242" s="221"/>
      <c r="BS242" s="221"/>
      <c r="BT242" s="221"/>
      <c r="BU242" s="221"/>
      <c r="BV242" s="221"/>
      <c r="BW242" s="221"/>
      <c r="BX242" s="221"/>
      <c r="BY242" s="221"/>
      <c r="BZ242" s="221"/>
      <c r="CA242" s="221"/>
      <c r="CB242" s="221"/>
      <c r="CC242" s="221"/>
      <c r="CD242" s="245"/>
      <c r="CE242" s="221"/>
      <c r="CF242" s="223"/>
      <c r="CG242" s="223"/>
      <c r="CH242" s="223"/>
      <c r="CI242" s="223"/>
      <c r="CJ242" s="222"/>
      <c r="CK242" s="223"/>
      <c r="CL242" s="223"/>
      <c r="CM242" s="223"/>
    </row>
    <row r="243" spans="2:91" s="4" customFormat="1">
      <c r="B243" s="12"/>
      <c r="C243" s="11"/>
      <c r="BO243" s="221"/>
      <c r="BP243" s="221"/>
      <c r="BQ243" s="221"/>
      <c r="BR243" s="221"/>
      <c r="BS243" s="221"/>
      <c r="BT243" s="221"/>
      <c r="BU243" s="221"/>
      <c r="BV243" s="221"/>
      <c r="BW243" s="221"/>
      <c r="BX243" s="221"/>
      <c r="BY243" s="221"/>
      <c r="BZ243" s="221"/>
      <c r="CA243" s="221"/>
      <c r="CB243" s="221"/>
      <c r="CC243" s="221"/>
      <c r="CD243" s="245"/>
      <c r="CE243" s="221"/>
      <c r="CF243" s="223"/>
      <c r="CG243" s="223"/>
      <c r="CH243" s="223"/>
      <c r="CI243" s="223"/>
      <c r="CJ243" s="222"/>
      <c r="CK243" s="223"/>
      <c r="CL243" s="223"/>
      <c r="CM243" s="223"/>
    </row>
    <row r="244" spans="2:91" s="4" customFormat="1">
      <c r="B244" s="12"/>
      <c r="C244" s="11"/>
      <c r="BO244" s="221"/>
      <c r="BP244" s="221"/>
      <c r="BQ244" s="221"/>
      <c r="BR244" s="221"/>
      <c r="BS244" s="221"/>
      <c r="BT244" s="221"/>
      <c r="BU244" s="221"/>
      <c r="BV244" s="221"/>
      <c r="BW244" s="221"/>
      <c r="BX244" s="221"/>
      <c r="BY244" s="221"/>
      <c r="BZ244" s="221"/>
      <c r="CA244" s="221"/>
      <c r="CB244" s="221"/>
      <c r="CC244" s="221"/>
      <c r="CD244" s="245"/>
      <c r="CE244" s="221"/>
      <c r="CF244" s="223"/>
      <c r="CG244" s="223"/>
      <c r="CH244" s="223"/>
      <c r="CI244" s="223"/>
      <c r="CJ244" s="222"/>
      <c r="CK244" s="223"/>
      <c r="CL244" s="223"/>
      <c r="CM244" s="223"/>
    </row>
    <row r="245" spans="2:91" s="4" customFormat="1">
      <c r="B245" s="12"/>
      <c r="C245" s="11"/>
      <c r="BO245" s="221"/>
      <c r="BP245" s="221"/>
      <c r="BQ245" s="221"/>
      <c r="BR245" s="221"/>
      <c r="BS245" s="221"/>
      <c r="BT245" s="221"/>
      <c r="BU245" s="221"/>
      <c r="BV245" s="221"/>
      <c r="BW245" s="221"/>
      <c r="BX245" s="221"/>
      <c r="BY245" s="221"/>
      <c r="BZ245" s="221"/>
      <c r="CA245" s="221"/>
      <c r="CB245" s="221"/>
      <c r="CC245" s="221"/>
      <c r="CD245" s="245"/>
      <c r="CE245" s="221"/>
      <c r="CF245" s="223"/>
      <c r="CG245" s="223"/>
      <c r="CH245" s="223"/>
      <c r="CI245" s="223"/>
      <c r="CJ245" s="222"/>
      <c r="CK245" s="223"/>
      <c r="CL245" s="223"/>
      <c r="CM245" s="223"/>
    </row>
    <row r="246" spans="2:91" s="4" customFormat="1">
      <c r="B246" s="12"/>
      <c r="C246" s="11"/>
      <c r="BO246" s="221"/>
      <c r="BP246" s="221"/>
      <c r="BQ246" s="221"/>
      <c r="BR246" s="221"/>
      <c r="BS246" s="221"/>
      <c r="BT246" s="221"/>
      <c r="BU246" s="221"/>
      <c r="BV246" s="221"/>
      <c r="BW246" s="221"/>
      <c r="BX246" s="221"/>
      <c r="BY246" s="221"/>
      <c r="BZ246" s="221"/>
      <c r="CA246" s="221"/>
      <c r="CB246" s="221"/>
      <c r="CC246" s="221"/>
      <c r="CD246" s="245"/>
      <c r="CE246" s="221"/>
      <c r="CF246" s="223"/>
      <c r="CG246" s="223"/>
      <c r="CH246" s="223"/>
      <c r="CI246" s="223"/>
      <c r="CJ246" s="222"/>
      <c r="CK246" s="223"/>
      <c r="CL246" s="223"/>
      <c r="CM246" s="223"/>
    </row>
    <row r="247" spans="2:91" s="4" customFormat="1">
      <c r="B247" s="12"/>
      <c r="C247" s="11"/>
      <c r="BO247" s="221"/>
      <c r="BP247" s="221"/>
      <c r="BQ247" s="221"/>
      <c r="BR247" s="221"/>
      <c r="BS247" s="221"/>
      <c r="BT247" s="221"/>
      <c r="BU247" s="221"/>
      <c r="BV247" s="221"/>
      <c r="BW247" s="221"/>
      <c r="BX247" s="221"/>
      <c r="BY247" s="221"/>
      <c r="BZ247" s="221"/>
      <c r="CA247" s="221"/>
      <c r="CB247" s="221"/>
      <c r="CC247" s="221"/>
      <c r="CD247" s="245"/>
      <c r="CE247" s="221"/>
      <c r="CF247" s="223"/>
      <c r="CG247" s="223"/>
      <c r="CH247" s="223"/>
      <c r="CI247" s="223"/>
      <c r="CJ247" s="222"/>
      <c r="CK247" s="223"/>
      <c r="CL247" s="223"/>
      <c r="CM247" s="223"/>
    </row>
    <row r="248" spans="2:91" s="4" customFormat="1">
      <c r="B248" s="12"/>
      <c r="C248" s="11"/>
      <c r="BO248" s="221"/>
      <c r="BP248" s="221"/>
      <c r="BQ248" s="221"/>
      <c r="BR248" s="221"/>
      <c r="BS248" s="221"/>
      <c r="BT248" s="221"/>
      <c r="BU248" s="221"/>
      <c r="BV248" s="221"/>
      <c r="BW248" s="221"/>
      <c r="BX248" s="221"/>
      <c r="BY248" s="221"/>
      <c r="BZ248" s="221"/>
      <c r="CA248" s="221"/>
      <c r="CB248" s="221"/>
      <c r="CC248" s="221"/>
      <c r="CD248" s="245"/>
      <c r="CE248" s="221"/>
      <c r="CF248" s="223"/>
      <c r="CG248" s="223"/>
      <c r="CH248" s="223"/>
      <c r="CI248" s="223"/>
      <c r="CJ248" s="222"/>
      <c r="CK248" s="223"/>
      <c r="CL248" s="223"/>
      <c r="CM248" s="223"/>
    </row>
    <row r="249" spans="2:91" s="4" customFormat="1">
      <c r="B249" s="12"/>
      <c r="C249" s="11"/>
      <c r="BO249" s="221"/>
      <c r="BP249" s="221"/>
      <c r="BQ249" s="221"/>
      <c r="BR249" s="221"/>
      <c r="BS249" s="221"/>
      <c r="BT249" s="221"/>
      <c r="BU249" s="221"/>
      <c r="BV249" s="221"/>
      <c r="BW249" s="221"/>
      <c r="BX249" s="221"/>
      <c r="BY249" s="221"/>
      <c r="BZ249" s="221"/>
      <c r="CA249" s="221"/>
      <c r="CB249" s="221"/>
      <c r="CC249" s="221"/>
      <c r="CD249" s="245"/>
      <c r="CE249" s="221"/>
      <c r="CF249" s="223"/>
      <c r="CG249" s="223"/>
      <c r="CH249" s="223"/>
      <c r="CI249" s="223"/>
      <c r="CJ249" s="222"/>
      <c r="CK249" s="223"/>
      <c r="CL249" s="223"/>
      <c r="CM249" s="223"/>
    </row>
    <row r="250" spans="2:91" s="4" customFormat="1">
      <c r="B250" s="12"/>
      <c r="C250" s="11"/>
      <c r="BO250" s="221"/>
      <c r="BP250" s="221"/>
      <c r="BQ250" s="221"/>
      <c r="BR250" s="221"/>
      <c r="BS250" s="221"/>
      <c r="BT250" s="221"/>
      <c r="BU250" s="221"/>
      <c r="BV250" s="221"/>
      <c r="BW250" s="221"/>
      <c r="BX250" s="221"/>
      <c r="BY250" s="221"/>
      <c r="BZ250" s="221"/>
      <c r="CA250" s="221"/>
      <c r="CB250" s="221"/>
      <c r="CC250" s="221"/>
      <c r="CD250" s="245"/>
      <c r="CE250" s="221"/>
      <c r="CF250" s="223"/>
      <c r="CG250" s="223"/>
      <c r="CH250" s="223"/>
      <c r="CI250" s="223"/>
      <c r="CJ250" s="222"/>
      <c r="CK250" s="223"/>
      <c r="CL250" s="223"/>
      <c r="CM250" s="223"/>
    </row>
    <row r="251" spans="2:91" s="4" customFormat="1">
      <c r="B251" s="12"/>
      <c r="C251" s="11"/>
      <c r="BO251" s="221"/>
      <c r="BP251" s="221"/>
      <c r="BQ251" s="221"/>
      <c r="BR251" s="221"/>
      <c r="BS251" s="221"/>
      <c r="BT251" s="221"/>
      <c r="BU251" s="221"/>
      <c r="BV251" s="221"/>
      <c r="BW251" s="221"/>
      <c r="BX251" s="221"/>
      <c r="BY251" s="221"/>
      <c r="BZ251" s="221"/>
      <c r="CA251" s="221"/>
      <c r="CB251" s="221"/>
      <c r="CC251" s="221"/>
      <c r="CD251" s="245"/>
      <c r="CE251" s="221"/>
      <c r="CF251" s="223"/>
      <c r="CG251" s="223"/>
      <c r="CH251" s="223"/>
      <c r="CI251" s="223"/>
      <c r="CJ251" s="222"/>
      <c r="CK251" s="223"/>
      <c r="CL251" s="223"/>
      <c r="CM251" s="223"/>
    </row>
    <row r="252" spans="2:91" s="4" customFormat="1">
      <c r="B252" s="12"/>
      <c r="C252" s="11"/>
      <c r="BO252" s="221"/>
      <c r="BP252" s="221"/>
      <c r="BQ252" s="221"/>
      <c r="BR252" s="221"/>
      <c r="BS252" s="221"/>
      <c r="BT252" s="221"/>
      <c r="BU252" s="221"/>
      <c r="BV252" s="221"/>
      <c r="BW252" s="221"/>
      <c r="BX252" s="221"/>
      <c r="BY252" s="221"/>
      <c r="BZ252" s="221"/>
      <c r="CA252" s="221"/>
      <c r="CB252" s="221"/>
      <c r="CC252" s="221"/>
      <c r="CD252" s="245"/>
      <c r="CE252" s="221"/>
      <c r="CF252" s="223"/>
      <c r="CG252" s="223"/>
      <c r="CH252" s="223"/>
      <c r="CI252" s="223"/>
      <c r="CJ252" s="222"/>
      <c r="CK252" s="223"/>
      <c r="CL252" s="223"/>
      <c r="CM252" s="223"/>
    </row>
    <row r="253" spans="2:91" s="4" customFormat="1">
      <c r="B253" s="12"/>
      <c r="C253" s="11"/>
      <c r="BO253" s="221"/>
      <c r="BP253" s="221"/>
      <c r="BQ253" s="221"/>
      <c r="BR253" s="221"/>
      <c r="BS253" s="221"/>
      <c r="BT253" s="221"/>
      <c r="BU253" s="221"/>
      <c r="BV253" s="221"/>
      <c r="BW253" s="221"/>
      <c r="BX253" s="221"/>
      <c r="BY253" s="221"/>
      <c r="BZ253" s="221"/>
      <c r="CA253" s="221"/>
      <c r="CB253" s="221"/>
      <c r="CC253" s="221"/>
      <c r="CD253" s="245"/>
      <c r="CE253" s="221"/>
      <c r="CF253" s="223"/>
      <c r="CG253" s="223"/>
      <c r="CH253" s="223"/>
      <c r="CI253" s="223"/>
      <c r="CJ253" s="222"/>
      <c r="CK253" s="223"/>
      <c r="CL253" s="223"/>
      <c r="CM253" s="223"/>
    </row>
    <row r="254" spans="2:91" s="4" customFormat="1">
      <c r="B254" s="12"/>
      <c r="C254" s="11"/>
      <c r="BO254" s="221"/>
      <c r="BP254" s="221"/>
      <c r="BQ254" s="221"/>
      <c r="BR254" s="221"/>
      <c r="BS254" s="221"/>
      <c r="BT254" s="221"/>
      <c r="BU254" s="221"/>
      <c r="BV254" s="221"/>
      <c r="BW254" s="221"/>
      <c r="BX254" s="221"/>
      <c r="BY254" s="221"/>
      <c r="BZ254" s="221"/>
      <c r="CA254" s="221"/>
      <c r="CB254" s="221"/>
      <c r="CC254" s="221"/>
      <c r="CD254" s="245"/>
      <c r="CE254" s="221"/>
      <c r="CF254" s="223"/>
      <c r="CG254" s="223"/>
      <c r="CH254" s="223"/>
      <c r="CI254" s="223"/>
      <c r="CJ254" s="222"/>
      <c r="CK254" s="223"/>
      <c r="CL254" s="223"/>
      <c r="CM254" s="223"/>
    </row>
    <row r="255" spans="2:91" s="4" customFormat="1">
      <c r="B255" s="12"/>
      <c r="C255" s="11"/>
      <c r="BO255" s="221"/>
      <c r="BP255" s="221"/>
      <c r="BQ255" s="221"/>
      <c r="BR255" s="221"/>
      <c r="BS255" s="221"/>
      <c r="BT255" s="221"/>
      <c r="BU255" s="221"/>
      <c r="BV255" s="221"/>
      <c r="BW255" s="221"/>
      <c r="BX255" s="221"/>
      <c r="BY255" s="221"/>
      <c r="BZ255" s="221"/>
      <c r="CA255" s="221"/>
      <c r="CB255" s="221"/>
      <c r="CC255" s="221"/>
      <c r="CD255" s="245"/>
      <c r="CE255" s="221"/>
      <c r="CF255" s="223"/>
      <c r="CG255" s="223"/>
      <c r="CH255" s="223"/>
      <c r="CI255" s="223"/>
      <c r="CJ255" s="222"/>
      <c r="CK255" s="223"/>
      <c r="CL255" s="223"/>
      <c r="CM255" s="223"/>
    </row>
    <row r="256" spans="2:91" s="4" customFormat="1">
      <c r="B256" s="12"/>
      <c r="C256" s="11"/>
      <c r="BO256" s="221"/>
      <c r="BP256" s="221"/>
      <c r="BQ256" s="221"/>
      <c r="BR256" s="221"/>
      <c r="BS256" s="221"/>
      <c r="BT256" s="221"/>
      <c r="BU256" s="221"/>
      <c r="BV256" s="221"/>
      <c r="BW256" s="221"/>
      <c r="BX256" s="221"/>
      <c r="BY256" s="221"/>
      <c r="BZ256" s="221"/>
      <c r="CA256" s="221"/>
      <c r="CB256" s="221"/>
      <c r="CC256" s="221"/>
      <c r="CD256" s="245"/>
      <c r="CE256" s="221"/>
      <c r="CF256" s="223"/>
      <c r="CG256" s="223"/>
      <c r="CH256" s="223"/>
      <c r="CI256" s="223"/>
      <c r="CJ256" s="222"/>
      <c r="CK256" s="223"/>
      <c r="CL256" s="223"/>
      <c r="CM256" s="223"/>
    </row>
    <row r="257" spans="2:91" s="4" customFormat="1">
      <c r="B257" s="12"/>
      <c r="C257" s="11"/>
      <c r="BO257" s="221"/>
      <c r="BP257" s="221"/>
      <c r="BQ257" s="221"/>
      <c r="BR257" s="221"/>
      <c r="BS257" s="221"/>
      <c r="BT257" s="221"/>
      <c r="BU257" s="221"/>
      <c r="BV257" s="221"/>
      <c r="BW257" s="221"/>
      <c r="BX257" s="221"/>
      <c r="BY257" s="221"/>
      <c r="BZ257" s="221"/>
      <c r="CA257" s="221"/>
      <c r="CB257" s="221"/>
      <c r="CC257" s="221"/>
      <c r="CD257" s="245"/>
      <c r="CE257" s="221"/>
      <c r="CF257" s="223"/>
      <c r="CG257" s="223"/>
      <c r="CH257" s="223"/>
      <c r="CI257" s="223"/>
      <c r="CJ257" s="222"/>
      <c r="CK257" s="223"/>
      <c r="CL257" s="223"/>
      <c r="CM257" s="223"/>
    </row>
    <row r="258" spans="2:91" s="4" customFormat="1">
      <c r="B258" s="12"/>
      <c r="C258" s="11"/>
      <c r="BO258" s="221"/>
      <c r="BP258" s="221"/>
      <c r="BQ258" s="221"/>
      <c r="BR258" s="221"/>
      <c r="BS258" s="221"/>
      <c r="BT258" s="221"/>
      <c r="BU258" s="221"/>
      <c r="BV258" s="221"/>
      <c r="BW258" s="221"/>
      <c r="BX258" s="221"/>
      <c r="BY258" s="221"/>
      <c r="BZ258" s="221"/>
      <c r="CA258" s="221"/>
      <c r="CB258" s="221"/>
      <c r="CC258" s="221"/>
      <c r="CD258" s="245"/>
      <c r="CE258" s="221"/>
      <c r="CF258" s="223"/>
      <c r="CG258" s="223"/>
      <c r="CH258" s="223"/>
      <c r="CI258" s="223"/>
      <c r="CJ258" s="222"/>
      <c r="CK258" s="223"/>
      <c r="CL258" s="223"/>
      <c r="CM258" s="223"/>
    </row>
    <row r="259" spans="2:91" s="4" customFormat="1">
      <c r="B259" s="12"/>
      <c r="C259" s="11"/>
      <c r="BO259" s="221"/>
      <c r="BP259" s="221"/>
      <c r="BQ259" s="221"/>
      <c r="BR259" s="221"/>
      <c r="BS259" s="221"/>
      <c r="BT259" s="221"/>
      <c r="BU259" s="221"/>
      <c r="BV259" s="221"/>
      <c r="BW259" s="221"/>
      <c r="BX259" s="221"/>
      <c r="BY259" s="221"/>
      <c r="BZ259" s="221"/>
      <c r="CA259" s="221"/>
      <c r="CB259" s="221"/>
      <c r="CC259" s="221"/>
      <c r="CD259" s="245"/>
      <c r="CE259" s="221"/>
      <c r="CF259" s="223"/>
      <c r="CG259" s="223"/>
      <c r="CH259" s="223"/>
      <c r="CI259" s="223"/>
      <c r="CJ259" s="222"/>
      <c r="CK259" s="223"/>
      <c r="CL259" s="223"/>
      <c r="CM259" s="223"/>
    </row>
  </sheetData>
  <sheetProtection selectLockedCells="1" autoFilter="0"/>
  <autoFilter ref="A5:A155"/>
  <mergeCells count="36">
    <mergeCell ref="B3:B5"/>
    <mergeCell ref="C3:C5"/>
    <mergeCell ref="D3:K3"/>
    <mergeCell ref="L3:S3"/>
    <mergeCell ref="Q4:R4"/>
    <mergeCell ref="D4:H4"/>
    <mergeCell ref="I4:J4"/>
    <mergeCell ref="K4:K5"/>
    <mergeCell ref="L4:P4"/>
    <mergeCell ref="S4:S5"/>
    <mergeCell ref="T3:AA3"/>
    <mergeCell ref="AJ3:AQ3"/>
    <mergeCell ref="AR3:AY3"/>
    <mergeCell ref="AJ4:AN4"/>
    <mergeCell ref="AO4:AP4"/>
    <mergeCell ref="AQ4:AQ5"/>
    <mergeCell ref="AR4:AV4"/>
    <mergeCell ref="AW4:AX4"/>
    <mergeCell ref="AY4:AY5"/>
    <mergeCell ref="AB3:AI3"/>
    <mergeCell ref="AB4:AF4"/>
    <mergeCell ref="AG4:AH4"/>
    <mergeCell ref="AI4:AI5"/>
    <mergeCell ref="AA4:AA5"/>
    <mergeCell ref="T4:X4"/>
    <mergeCell ref="Y4:Z4"/>
    <mergeCell ref="AZ4:AZ5"/>
    <mergeCell ref="BA4:BA5"/>
    <mergeCell ref="CJ3:CM4"/>
    <mergeCell ref="CF3:CI4"/>
    <mergeCell ref="AZ3:BA3"/>
    <mergeCell ref="BO3:BO4"/>
    <mergeCell ref="BX3:CA4"/>
    <mergeCell ref="CB3:CE4"/>
    <mergeCell ref="BT3:BW4"/>
    <mergeCell ref="BP3:BS4"/>
  </mergeCells>
  <phoneticPr fontId="13" type="noConversion"/>
  <dataValidations count="2">
    <dataValidation type="date" operator="greaterThan" allowBlank="1" showInputMessage="1" showErrorMessage="1" sqref="CF6:CF155">
      <formula1>39173</formula1>
    </dataValidation>
    <dataValidation type="date" operator="greaterThanOrEqual" allowBlank="1" showInputMessage="1" showErrorMessage="1" sqref="B6:B37 B39:B155">
      <formula1>40634</formula1>
    </dataValidation>
  </dataValidations>
  <printOptions horizontalCentered="1"/>
  <pageMargins left="0.17" right="0.17" top="0.55118110236220474" bottom="0.23" header="0.51181102362204722" footer="0.17"/>
  <pageSetup paperSize="9" scale="67" orientation="landscape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Blad3" enableFormatConditionsCalculation="0">
    <pageSetUpPr autoPageBreaks="0"/>
  </sheetPr>
  <dimension ref="A1:BO166"/>
  <sheetViews>
    <sheetView showGridLines="0" zoomScale="91" zoomScaleNormal="91" zoomScalePageLayoutView="9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8" sqref="B18"/>
    </sheetView>
  </sheetViews>
  <sheetFormatPr baseColWidth="10" defaultColWidth="8.83203125" defaultRowHeight="12" x14ac:dyDescent="0"/>
  <cols>
    <col min="1" max="1" width="7.5" customWidth="1"/>
    <col min="2" max="2" width="10.1640625" style="1" customWidth="1"/>
    <col min="3" max="3" width="6.83203125" style="1" customWidth="1"/>
    <col min="4" max="13" width="4.6640625" customWidth="1"/>
    <col min="14" max="28" width="2.6640625" customWidth="1"/>
    <col min="29" max="29" width="4.5" customWidth="1"/>
    <col min="30" max="34" width="2.6640625" customWidth="1"/>
    <col min="35" max="35" width="4.5" customWidth="1"/>
    <col min="36" max="38" width="9.5" style="47" customWidth="1"/>
    <col min="39" max="39" width="8.5" style="47" bestFit="1" customWidth="1"/>
    <col min="48" max="48" width="5.83203125" bestFit="1" customWidth="1"/>
    <col min="49" max="49" width="5.83203125" style="47" bestFit="1" customWidth="1"/>
    <col min="50" max="50" width="10.1640625" style="234" bestFit="1" customWidth="1"/>
    <col min="51" max="51" width="6" bestFit="1" customWidth="1"/>
    <col min="52" max="52" width="5.83203125" bestFit="1" customWidth="1"/>
    <col min="53" max="53" width="10.1640625" style="234" bestFit="1" customWidth="1"/>
    <col min="54" max="54" width="6" bestFit="1" customWidth="1"/>
    <col min="55" max="55" width="6.1640625" style="47" bestFit="1" customWidth="1"/>
    <col min="56" max="56" width="10.1640625" bestFit="1" customWidth="1"/>
    <col min="58" max="58" width="5.83203125" bestFit="1" customWidth="1"/>
    <col min="59" max="59" width="10.1640625" bestFit="1" customWidth="1"/>
    <col min="61" max="61" width="5.83203125" bestFit="1" customWidth="1"/>
    <col min="62" max="62" width="10.1640625" bestFit="1" customWidth="1"/>
    <col min="64" max="64" width="5.83203125" bestFit="1" customWidth="1"/>
    <col min="65" max="65" width="10.1640625" bestFit="1" customWidth="1"/>
  </cols>
  <sheetData>
    <row r="1" spans="1:67" ht="17">
      <c r="A1" s="165" t="s">
        <v>42</v>
      </c>
      <c r="B1" s="167"/>
      <c r="C1" s="167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78"/>
      <c r="AC1" s="178"/>
      <c r="AD1" s="168"/>
      <c r="AE1" s="168"/>
      <c r="AF1" s="168"/>
      <c r="AG1" s="168"/>
      <c r="AH1" s="168"/>
      <c r="AI1" s="168"/>
      <c r="AJ1" s="197"/>
      <c r="AK1" s="197"/>
      <c r="AL1" s="197"/>
      <c r="AM1" s="197"/>
      <c r="AN1" s="168"/>
      <c r="AO1" s="168"/>
      <c r="AP1" s="168"/>
      <c r="AQ1" s="168"/>
      <c r="AR1" s="168"/>
      <c r="AS1" s="168"/>
      <c r="AT1" s="168"/>
      <c r="AU1" s="168"/>
      <c r="AV1" s="168"/>
      <c r="AW1" s="197"/>
      <c r="AX1" s="233"/>
      <c r="AY1" s="168"/>
      <c r="AZ1" s="168"/>
      <c r="BA1" s="233"/>
      <c r="BB1" s="168"/>
      <c r="BC1" s="197"/>
      <c r="BD1" s="168"/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168"/>
    </row>
    <row r="2" spans="1:67" ht="18" thickBot="1">
      <c r="A2" s="169" t="s">
        <v>4</v>
      </c>
      <c r="B2" s="167"/>
      <c r="C2" s="182"/>
      <c r="D2" s="182"/>
      <c r="E2" s="182"/>
      <c r="F2" s="182"/>
      <c r="G2" s="182"/>
      <c r="H2" s="182"/>
      <c r="I2" s="182"/>
      <c r="J2" s="182"/>
      <c r="K2" s="182"/>
      <c r="L2" s="168"/>
      <c r="M2" s="182"/>
      <c r="N2" s="182"/>
      <c r="O2" s="182"/>
      <c r="P2" s="182"/>
      <c r="Q2" s="182"/>
      <c r="R2" s="182"/>
      <c r="S2" s="182"/>
      <c r="T2" s="182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78"/>
      <c r="AJ2" s="197"/>
      <c r="AK2" s="197"/>
      <c r="AL2" s="197"/>
      <c r="AM2" s="197"/>
      <c r="AN2" s="168"/>
      <c r="AO2" s="168"/>
      <c r="AP2" s="168"/>
      <c r="AQ2" s="168"/>
      <c r="AR2" s="168"/>
      <c r="AS2" s="168"/>
      <c r="AT2" s="168"/>
      <c r="AU2" s="168"/>
      <c r="AV2" s="168"/>
      <c r="AW2" s="197"/>
      <c r="AX2" s="233"/>
      <c r="AY2" s="168"/>
      <c r="AZ2" s="168"/>
      <c r="BA2" s="233"/>
      <c r="BB2" s="168"/>
      <c r="BC2" s="197"/>
      <c r="BD2" s="168"/>
      <c r="BE2" s="168"/>
      <c r="BF2" s="168"/>
      <c r="BG2" s="168"/>
      <c r="BH2" s="168"/>
      <c r="BI2" s="168"/>
      <c r="BJ2" s="168"/>
      <c r="BK2" s="168"/>
      <c r="BL2" s="168"/>
      <c r="BM2" s="168"/>
      <c r="BN2" s="168"/>
      <c r="BO2" s="168"/>
    </row>
    <row r="3" spans="1:67" ht="26.25" customHeight="1" thickBot="1">
      <c r="A3" s="125"/>
      <c r="B3" s="411" t="s">
        <v>1</v>
      </c>
      <c r="C3" s="411" t="s">
        <v>0</v>
      </c>
      <c r="D3" s="418" t="s">
        <v>20</v>
      </c>
      <c r="E3" s="419"/>
      <c r="F3" s="419"/>
      <c r="G3" s="419"/>
      <c r="H3" s="419"/>
      <c r="I3" s="419"/>
      <c r="J3" s="419"/>
      <c r="K3" s="419"/>
      <c r="L3" s="419"/>
      <c r="M3" s="420"/>
      <c r="N3" s="418" t="s">
        <v>17</v>
      </c>
      <c r="O3" s="419"/>
      <c r="P3" s="419"/>
      <c r="Q3" s="419"/>
      <c r="R3" s="419"/>
      <c r="S3" s="419"/>
      <c r="T3" s="419"/>
      <c r="U3" s="419"/>
      <c r="V3" s="419"/>
      <c r="W3" s="420"/>
      <c r="X3" s="421" t="s">
        <v>14</v>
      </c>
      <c r="Y3" s="422"/>
      <c r="Z3" s="422"/>
      <c r="AA3" s="422"/>
      <c r="AB3" s="422"/>
      <c r="AC3" s="413" t="s">
        <v>19</v>
      </c>
      <c r="AD3" s="421" t="s">
        <v>15</v>
      </c>
      <c r="AE3" s="422"/>
      <c r="AF3" s="422"/>
      <c r="AG3" s="422"/>
      <c r="AH3" s="422"/>
      <c r="AI3" s="413" t="s">
        <v>19</v>
      </c>
      <c r="AJ3" s="415" t="s">
        <v>35</v>
      </c>
      <c r="AK3" s="416"/>
      <c r="AL3" s="416"/>
      <c r="AM3" s="417"/>
      <c r="AN3" s="168"/>
      <c r="AO3" s="168"/>
      <c r="AP3" s="168"/>
      <c r="AQ3" s="168"/>
      <c r="AR3" s="168"/>
      <c r="AS3" s="168"/>
      <c r="AT3" s="168"/>
      <c r="AU3" s="168"/>
      <c r="AV3" s="332" t="s">
        <v>71</v>
      </c>
      <c r="AW3" s="409">
        <v>2006</v>
      </c>
      <c r="AX3" s="409"/>
      <c r="AY3" s="410"/>
      <c r="AZ3" s="409">
        <v>2007</v>
      </c>
      <c r="BA3" s="409"/>
      <c r="BB3" s="410"/>
      <c r="BC3" s="409">
        <v>2008</v>
      </c>
      <c r="BD3" s="409"/>
      <c r="BE3" s="410"/>
      <c r="BF3" s="409">
        <v>2009</v>
      </c>
      <c r="BG3" s="409"/>
      <c r="BH3" s="410"/>
      <c r="BI3" s="409">
        <v>2010</v>
      </c>
      <c r="BJ3" s="409"/>
      <c r="BK3" s="410"/>
      <c r="BL3" s="409">
        <v>2011</v>
      </c>
      <c r="BM3" s="409"/>
      <c r="BN3" s="410"/>
      <c r="BO3" s="168"/>
    </row>
    <row r="4" spans="1:67" ht="13" thickBot="1">
      <c r="A4" s="126" t="s">
        <v>29</v>
      </c>
      <c r="B4" s="412"/>
      <c r="C4" s="412"/>
      <c r="D4" s="48">
        <v>1</v>
      </c>
      <c r="E4" s="49">
        <v>2</v>
      </c>
      <c r="F4" s="49">
        <v>3</v>
      </c>
      <c r="G4" s="49">
        <v>4</v>
      </c>
      <c r="H4" s="49">
        <v>5</v>
      </c>
      <c r="I4" s="49">
        <v>6</v>
      </c>
      <c r="J4" s="49">
        <v>7</v>
      </c>
      <c r="K4" s="49">
        <v>8</v>
      </c>
      <c r="L4" s="49">
        <v>9</v>
      </c>
      <c r="M4" s="50">
        <v>10</v>
      </c>
      <c r="N4" s="92">
        <v>1</v>
      </c>
      <c r="O4" s="93">
        <v>2</v>
      </c>
      <c r="P4" s="93">
        <v>3</v>
      </c>
      <c r="Q4" s="93">
        <v>4</v>
      </c>
      <c r="R4" s="93">
        <v>5</v>
      </c>
      <c r="S4" s="93">
        <v>6</v>
      </c>
      <c r="T4" s="93">
        <v>7</v>
      </c>
      <c r="U4" s="93">
        <v>8</v>
      </c>
      <c r="V4" s="93">
        <v>9</v>
      </c>
      <c r="W4" s="94">
        <v>10</v>
      </c>
      <c r="X4" s="48">
        <v>1</v>
      </c>
      <c r="Y4" s="49">
        <v>2</v>
      </c>
      <c r="Z4" s="49">
        <v>3</v>
      </c>
      <c r="AA4" s="49">
        <v>4</v>
      </c>
      <c r="AB4" s="49">
        <v>5</v>
      </c>
      <c r="AC4" s="414"/>
      <c r="AD4" s="48">
        <v>1</v>
      </c>
      <c r="AE4" s="49">
        <v>2</v>
      </c>
      <c r="AF4" s="49">
        <v>3</v>
      </c>
      <c r="AG4" s="49">
        <v>4</v>
      </c>
      <c r="AH4" s="49">
        <v>5</v>
      </c>
      <c r="AI4" s="414"/>
      <c r="AJ4" s="127" t="s">
        <v>38</v>
      </c>
      <c r="AK4" s="128" t="s">
        <v>39</v>
      </c>
      <c r="AL4" s="128" t="s">
        <v>40</v>
      </c>
      <c r="AM4" s="129" t="s">
        <v>41</v>
      </c>
      <c r="AN4" s="168"/>
      <c r="AO4" s="168"/>
      <c r="AP4" s="168"/>
      <c r="AQ4" s="168"/>
      <c r="AR4" s="168"/>
      <c r="AS4" s="168"/>
      <c r="AT4" s="168"/>
      <c r="AU4" s="168"/>
      <c r="AV4" s="333" t="s">
        <v>52</v>
      </c>
      <c r="AW4" s="231" t="s">
        <v>52</v>
      </c>
      <c r="AX4" s="213" t="s">
        <v>1</v>
      </c>
      <c r="AY4" s="134" t="s">
        <v>60</v>
      </c>
      <c r="AZ4" s="231" t="s">
        <v>52</v>
      </c>
      <c r="BA4" s="213" t="s">
        <v>1</v>
      </c>
      <c r="BB4" s="134" t="s">
        <v>60</v>
      </c>
      <c r="BC4" s="231" t="s">
        <v>52</v>
      </c>
      <c r="BD4" s="213" t="s">
        <v>1</v>
      </c>
      <c r="BE4" s="134" t="s">
        <v>60</v>
      </c>
      <c r="BF4" s="231" t="s">
        <v>52</v>
      </c>
      <c r="BG4" s="213" t="s">
        <v>1</v>
      </c>
      <c r="BH4" s="134" t="s">
        <v>60</v>
      </c>
      <c r="BI4" s="231" t="s">
        <v>52</v>
      </c>
      <c r="BJ4" s="213" t="s">
        <v>1</v>
      </c>
      <c r="BK4" s="134" t="s">
        <v>60</v>
      </c>
      <c r="BL4" s="231" t="s">
        <v>52</v>
      </c>
      <c r="BM4" s="213" t="s">
        <v>1</v>
      </c>
      <c r="BN4" s="134" t="s">
        <v>60</v>
      </c>
      <c r="BO4" s="168"/>
    </row>
    <row r="5" spans="1:67">
      <c r="A5" s="366" t="s">
        <v>30</v>
      </c>
      <c r="B5" s="64">
        <v>41032</v>
      </c>
      <c r="C5" s="40" t="s">
        <v>73</v>
      </c>
      <c r="D5" s="39">
        <v>36</v>
      </c>
      <c r="E5" s="40">
        <v>26</v>
      </c>
      <c r="F5" s="40">
        <v>45</v>
      </c>
      <c r="G5" s="40">
        <v>15</v>
      </c>
      <c r="H5" s="40">
        <v>28</v>
      </c>
      <c r="I5" s="40">
        <v>20</v>
      </c>
      <c r="J5" s="40">
        <v>21</v>
      </c>
      <c r="K5" s="42"/>
      <c r="L5" s="42"/>
      <c r="M5" s="43"/>
      <c r="N5" s="39">
        <v>2</v>
      </c>
      <c r="O5" s="40">
        <v>2</v>
      </c>
      <c r="P5" s="40">
        <v>2</v>
      </c>
      <c r="Q5" s="40">
        <v>1</v>
      </c>
      <c r="R5" s="40">
        <v>2</v>
      </c>
      <c r="S5" s="40">
        <v>2</v>
      </c>
      <c r="T5" s="40">
        <v>2</v>
      </c>
      <c r="U5" s="42"/>
      <c r="V5" s="42"/>
      <c r="W5" s="43"/>
      <c r="X5" s="39">
        <v>0</v>
      </c>
      <c r="Y5" s="40">
        <v>0</v>
      </c>
      <c r="Z5" s="40">
        <v>0</v>
      </c>
      <c r="AA5" s="40">
        <v>0</v>
      </c>
      <c r="AB5" s="41">
        <v>0</v>
      </c>
      <c r="AC5" s="38">
        <v>0</v>
      </c>
      <c r="AD5" s="39">
        <v>0</v>
      </c>
      <c r="AE5" s="40">
        <v>0</v>
      </c>
      <c r="AF5" s="40">
        <v>0</v>
      </c>
      <c r="AG5" s="40">
        <v>0</v>
      </c>
      <c r="AH5" s="41">
        <v>0</v>
      </c>
      <c r="AI5" s="41">
        <v>0</v>
      </c>
      <c r="AJ5" s="51">
        <f>IF(COUNT(D5:M5)=0,"",AVERAGE(D5:M5))</f>
        <v>27.285714285714285</v>
      </c>
      <c r="AK5" s="52">
        <f t="shared" ref="AK5:AK10" si="0">IF(COUNT(N5:W5)=0,"",AVERAGE(N5:W5))</f>
        <v>1.8571428571428572</v>
      </c>
      <c r="AL5" s="52">
        <f>IF(COUNT(X5:AB5)=0,"",AVERAGE(X5:AB5))</f>
        <v>0</v>
      </c>
      <c r="AM5" s="53">
        <f>IF(COUNT(AD5:AH5)=0,"",AVERAGE(AD5:AH5))</f>
        <v>0</v>
      </c>
      <c r="AN5" s="168"/>
      <c r="AO5" s="168"/>
      <c r="AP5" s="168"/>
      <c r="AQ5" s="168"/>
      <c r="AR5" s="168"/>
      <c r="AS5" s="168"/>
      <c r="AT5" s="168"/>
      <c r="AU5" s="168"/>
      <c r="AV5" s="337">
        <f>IF(B5=0,AV4,B5-DATE(YEAR(B5)-1,12,31))</f>
        <v>124</v>
      </c>
      <c r="AW5" s="236">
        <f>IF(AX5=0,AW4,AX5-DATE(YEAR(AX5)-1,12,31))</f>
        <v>128</v>
      </c>
      <c r="AX5" s="213">
        <v>38845</v>
      </c>
      <c r="AY5" s="336">
        <v>14.285714285714286</v>
      </c>
      <c r="AZ5" s="236">
        <f>IF(BA5=0,AZ4,BA5-DATE(YEAR(BA5)-1,12,31))</f>
        <v>115</v>
      </c>
      <c r="BA5" s="213">
        <v>39197</v>
      </c>
      <c r="BB5" s="336">
        <v>11</v>
      </c>
      <c r="BC5" s="236">
        <f>IF(BD5=0,BC4,BD5-DATE(YEAR(BD5)-1,12,31))</f>
        <v>116</v>
      </c>
      <c r="BD5" s="213">
        <v>39563</v>
      </c>
      <c r="BE5" s="336">
        <v>14.7</v>
      </c>
      <c r="BF5" s="182">
        <v>107</v>
      </c>
      <c r="BG5" s="213">
        <v>39920</v>
      </c>
      <c r="BH5" s="336">
        <v>14.9</v>
      </c>
      <c r="BI5" s="182">
        <v>113</v>
      </c>
      <c r="BJ5" s="213">
        <v>40291</v>
      </c>
      <c r="BK5" s="336">
        <v>13.9</v>
      </c>
      <c r="BL5" s="182">
        <v>130</v>
      </c>
      <c r="BM5" s="213">
        <v>40673</v>
      </c>
      <c r="BN5" s="336">
        <v>47</v>
      </c>
      <c r="BO5" s="168"/>
    </row>
    <row r="6" spans="1:67">
      <c r="A6" s="60" t="s">
        <v>30</v>
      </c>
      <c r="B6" s="65">
        <v>41040</v>
      </c>
      <c r="C6" s="24" t="s">
        <v>73</v>
      </c>
      <c r="D6" s="23">
        <v>58</v>
      </c>
      <c r="E6" s="24">
        <v>35</v>
      </c>
      <c r="F6" s="24">
        <v>63</v>
      </c>
      <c r="G6" s="24">
        <v>22</v>
      </c>
      <c r="H6" s="24">
        <v>57</v>
      </c>
      <c r="I6" s="24">
        <v>28</v>
      </c>
      <c r="J6" s="24">
        <v>31</v>
      </c>
      <c r="K6" s="26"/>
      <c r="L6" s="26"/>
      <c r="M6" s="27"/>
      <c r="N6" s="23">
        <v>2</v>
      </c>
      <c r="O6" s="24">
        <v>2</v>
      </c>
      <c r="P6" s="24">
        <v>2</v>
      </c>
      <c r="Q6" s="24">
        <v>2</v>
      </c>
      <c r="R6" s="24">
        <v>2</v>
      </c>
      <c r="S6" s="24">
        <v>2</v>
      </c>
      <c r="T6" s="24">
        <v>2</v>
      </c>
      <c r="U6" s="26"/>
      <c r="V6" s="26"/>
      <c r="W6" s="27"/>
      <c r="X6" s="23">
        <v>0</v>
      </c>
      <c r="Y6" s="24">
        <v>0</v>
      </c>
      <c r="Z6" s="24">
        <v>0</v>
      </c>
      <c r="AA6" s="24">
        <v>0</v>
      </c>
      <c r="AB6" s="25">
        <v>0</v>
      </c>
      <c r="AC6" s="22">
        <v>0</v>
      </c>
      <c r="AD6" s="23">
        <v>0</v>
      </c>
      <c r="AE6" s="24">
        <v>0</v>
      </c>
      <c r="AF6" s="24">
        <v>0</v>
      </c>
      <c r="AG6" s="24">
        <v>0</v>
      </c>
      <c r="AH6" s="25">
        <v>0</v>
      </c>
      <c r="AI6" s="25">
        <v>0</v>
      </c>
      <c r="AJ6" s="54">
        <f t="shared" ref="AJ6:AJ16" si="1">IF(COUNT(D6:M6)=0,AJ5,AVERAGE(D6:M6))</f>
        <v>42</v>
      </c>
      <c r="AK6" s="55">
        <f t="shared" si="0"/>
        <v>2</v>
      </c>
      <c r="AL6" s="55">
        <f>IF(COUNT(X6:AB6)=0,"",AVERAGE(X6:AB6))</f>
        <v>0</v>
      </c>
      <c r="AM6" s="56">
        <f>IF(COUNT(AD6:AH6)=0,"",AVERAGE(AD6:AH6))</f>
        <v>0</v>
      </c>
      <c r="AN6" s="168"/>
      <c r="AO6" s="168"/>
      <c r="AP6" s="168"/>
      <c r="AQ6" s="168"/>
      <c r="AR6" s="168"/>
      <c r="AS6" s="168"/>
      <c r="AT6" s="168"/>
      <c r="AU6" s="168"/>
      <c r="AV6" s="337">
        <f t="shared" ref="AV6:AV69" si="2">IF(B6=0,AV5,B6-DATE(YEAR(B6)-1,12,31))</f>
        <v>132</v>
      </c>
      <c r="AW6" s="236">
        <f t="shared" ref="AW6:AW34" si="3">IF(AX6=0,AW5,AX6-DATE(YEAR(AX6)-1,12,31))</f>
        <v>132</v>
      </c>
      <c r="AX6" s="213">
        <v>38849</v>
      </c>
      <c r="AY6" s="336">
        <v>20.857142857142858</v>
      </c>
      <c r="AZ6" s="236">
        <f t="shared" ref="AZ6:AZ34" si="4">IF(BA6=0,AZ5,BA6-DATE(YEAR(BA6)-1,12,31))</f>
        <v>117</v>
      </c>
      <c r="BA6" s="213">
        <v>39199</v>
      </c>
      <c r="BB6" s="336">
        <v>20.666666666666668</v>
      </c>
      <c r="BC6" s="236">
        <f t="shared" ref="BC6:BC34" si="5">IF(BD6=0,BC5,BD6-DATE(YEAR(BD6)-1,12,31))</f>
        <v>123</v>
      </c>
      <c r="BD6" s="213">
        <v>39570</v>
      </c>
      <c r="BE6" s="336">
        <v>21.9</v>
      </c>
      <c r="BF6" s="182">
        <v>114</v>
      </c>
      <c r="BG6" s="213">
        <v>39927</v>
      </c>
      <c r="BH6" s="336">
        <v>16.399999999999999</v>
      </c>
      <c r="BI6" s="182">
        <v>125</v>
      </c>
      <c r="BJ6" s="213">
        <v>40303</v>
      </c>
      <c r="BK6" s="336">
        <v>20.3</v>
      </c>
      <c r="BL6" s="182">
        <v>138</v>
      </c>
      <c r="BM6" s="213">
        <v>40681</v>
      </c>
      <c r="BN6" s="336">
        <v>75.142857142857139</v>
      </c>
      <c r="BO6" s="168"/>
    </row>
    <row r="7" spans="1:67">
      <c r="A7" s="60" t="s">
        <v>30</v>
      </c>
      <c r="B7" s="65">
        <v>41047</v>
      </c>
      <c r="C7" s="24" t="s">
        <v>73</v>
      </c>
      <c r="D7" s="23">
        <v>80</v>
      </c>
      <c r="E7" s="24">
        <v>46</v>
      </c>
      <c r="F7" s="24">
        <v>88</v>
      </c>
      <c r="G7" s="24">
        <v>27</v>
      </c>
      <c r="H7" s="24">
        <v>79</v>
      </c>
      <c r="I7" s="24">
        <v>41</v>
      </c>
      <c r="J7" s="24">
        <v>47</v>
      </c>
      <c r="K7" s="26"/>
      <c r="L7" s="26"/>
      <c r="M7" s="27"/>
      <c r="N7" s="23">
        <v>2</v>
      </c>
      <c r="O7" s="24">
        <v>2</v>
      </c>
      <c r="P7" s="24">
        <v>2</v>
      </c>
      <c r="Q7" s="24">
        <v>2</v>
      </c>
      <c r="R7" s="24">
        <v>2</v>
      </c>
      <c r="S7" s="24">
        <v>2</v>
      </c>
      <c r="T7" s="24">
        <v>2</v>
      </c>
      <c r="U7" s="26"/>
      <c r="V7" s="26"/>
      <c r="W7" s="27"/>
      <c r="X7" s="23">
        <v>0</v>
      </c>
      <c r="Y7" s="24">
        <v>0</v>
      </c>
      <c r="Z7" s="24">
        <v>0</v>
      </c>
      <c r="AA7" s="24">
        <v>0</v>
      </c>
      <c r="AB7" s="25">
        <v>0</v>
      </c>
      <c r="AC7" s="22">
        <v>0</v>
      </c>
      <c r="AD7" s="23">
        <v>0</v>
      </c>
      <c r="AE7" s="24">
        <v>0</v>
      </c>
      <c r="AF7" s="24">
        <v>0</v>
      </c>
      <c r="AG7" s="24">
        <v>0</v>
      </c>
      <c r="AH7" s="25">
        <v>0</v>
      </c>
      <c r="AI7" s="25">
        <v>0</v>
      </c>
      <c r="AJ7" s="54">
        <f t="shared" si="1"/>
        <v>58.285714285714285</v>
      </c>
      <c r="AK7" s="55">
        <f t="shared" si="0"/>
        <v>2</v>
      </c>
      <c r="AL7" s="55">
        <f t="shared" ref="AL7:AL70" si="6">IF(COUNT(X7:AB7)=0,"",AVERAGE(X7:AB7))</f>
        <v>0</v>
      </c>
      <c r="AM7" s="56">
        <f t="shared" ref="AM7:AM69" si="7">IF(COUNT(AD7:AH7)=0,"",AVERAGE(AD7:AH7))</f>
        <v>0</v>
      </c>
      <c r="AN7" s="168"/>
      <c r="AO7" s="168"/>
      <c r="AP7" s="168"/>
      <c r="AQ7" s="168"/>
      <c r="AR7" s="168"/>
      <c r="AS7" s="168"/>
      <c r="AT7" s="168"/>
      <c r="AU7" s="168"/>
      <c r="AV7" s="337">
        <f t="shared" si="2"/>
        <v>139</v>
      </c>
      <c r="AW7" s="236">
        <f t="shared" si="3"/>
        <v>136</v>
      </c>
      <c r="AX7" s="213">
        <v>38853</v>
      </c>
      <c r="AY7" s="336">
        <v>25.285714285714285</v>
      </c>
      <c r="AZ7" s="236">
        <f t="shared" si="4"/>
        <v>122</v>
      </c>
      <c r="BA7" s="213">
        <v>39204</v>
      </c>
      <c r="BB7" s="336">
        <v>21.5</v>
      </c>
      <c r="BC7" s="236">
        <f t="shared" si="5"/>
        <v>130</v>
      </c>
      <c r="BD7" s="213">
        <v>39577</v>
      </c>
      <c r="BE7" s="336">
        <v>46.9</v>
      </c>
      <c r="BF7" s="182">
        <v>120</v>
      </c>
      <c r="BG7" s="213">
        <v>39933</v>
      </c>
      <c r="BH7" s="336">
        <v>32.9</v>
      </c>
      <c r="BI7" s="182">
        <v>124</v>
      </c>
      <c r="BJ7" s="213">
        <v>40302</v>
      </c>
      <c r="BK7" s="336">
        <v>25.9</v>
      </c>
      <c r="BL7" s="182">
        <v>145</v>
      </c>
      <c r="BM7" s="213">
        <v>40688</v>
      </c>
      <c r="BN7" s="336">
        <v>121.71428571428571</v>
      </c>
      <c r="BO7" s="168"/>
    </row>
    <row r="8" spans="1:67">
      <c r="A8" s="60" t="s">
        <v>30</v>
      </c>
      <c r="B8" s="65">
        <v>41054</v>
      </c>
      <c r="C8" s="24" t="s">
        <v>73</v>
      </c>
      <c r="D8" s="23">
        <v>115</v>
      </c>
      <c r="E8" s="24">
        <v>110</v>
      </c>
      <c r="F8" s="24">
        <v>205</v>
      </c>
      <c r="G8" s="24">
        <v>65</v>
      </c>
      <c r="H8" s="24">
        <v>170</v>
      </c>
      <c r="I8" s="24">
        <v>120</v>
      </c>
      <c r="J8" s="24">
        <v>117</v>
      </c>
      <c r="K8" s="26"/>
      <c r="L8" s="26"/>
      <c r="M8" s="27"/>
      <c r="N8" s="23">
        <v>2</v>
      </c>
      <c r="O8" s="24">
        <v>2</v>
      </c>
      <c r="P8" s="24">
        <v>2</v>
      </c>
      <c r="Q8" s="24">
        <v>2</v>
      </c>
      <c r="R8" s="24">
        <v>2</v>
      </c>
      <c r="S8" s="24">
        <v>2</v>
      </c>
      <c r="T8" s="24">
        <v>2</v>
      </c>
      <c r="U8" s="26"/>
      <c r="V8" s="26"/>
      <c r="W8" s="27"/>
      <c r="X8" s="23">
        <v>1</v>
      </c>
      <c r="Y8" s="24">
        <v>1</v>
      </c>
      <c r="Z8" s="24">
        <v>1</v>
      </c>
      <c r="AA8" s="24">
        <v>1</v>
      </c>
      <c r="AB8" s="25">
        <v>1</v>
      </c>
      <c r="AC8" s="22">
        <v>3</v>
      </c>
      <c r="AD8" s="23">
        <v>1</v>
      </c>
      <c r="AE8" s="24">
        <v>1</v>
      </c>
      <c r="AF8" s="24">
        <v>1</v>
      </c>
      <c r="AG8" s="24">
        <v>1</v>
      </c>
      <c r="AH8" s="25">
        <v>1</v>
      </c>
      <c r="AI8" s="25">
        <v>3</v>
      </c>
      <c r="AJ8" s="54">
        <f t="shared" si="1"/>
        <v>128.85714285714286</v>
      </c>
      <c r="AK8" s="55">
        <f t="shared" si="0"/>
        <v>2</v>
      </c>
      <c r="AL8" s="55">
        <f t="shared" si="6"/>
        <v>1</v>
      </c>
      <c r="AM8" s="56">
        <f t="shared" si="7"/>
        <v>1</v>
      </c>
      <c r="AN8" s="168"/>
      <c r="AO8" s="168"/>
      <c r="AP8" s="168"/>
      <c r="AQ8" s="168"/>
      <c r="AR8" s="168"/>
      <c r="AS8" s="168"/>
      <c r="AT8" s="168"/>
      <c r="AU8" s="168"/>
      <c r="AV8" s="337">
        <f t="shared" si="2"/>
        <v>146</v>
      </c>
      <c r="AW8" s="236">
        <f t="shared" si="3"/>
        <v>138</v>
      </c>
      <c r="AX8" s="213">
        <v>38855</v>
      </c>
      <c r="AY8" s="336">
        <v>27.285714285714285</v>
      </c>
      <c r="AZ8" s="236">
        <f t="shared" si="4"/>
        <v>124</v>
      </c>
      <c r="BA8" s="213">
        <v>39206</v>
      </c>
      <c r="BB8" s="336">
        <v>28.2</v>
      </c>
      <c r="BC8" s="236">
        <f t="shared" si="5"/>
        <v>137</v>
      </c>
      <c r="BD8" s="213">
        <v>39584</v>
      </c>
      <c r="BE8" s="336">
        <v>76</v>
      </c>
      <c r="BF8" s="182">
        <v>128</v>
      </c>
      <c r="BG8" s="213">
        <v>39941</v>
      </c>
      <c r="BH8" s="336">
        <v>39.5</v>
      </c>
      <c r="BI8" s="182">
        <v>140</v>
      </c>
      <c r="BJ8" s="213">
        <v>40318</v>
      </c>
      <c r="BK8" s="336">
        <v>41.2</v>
      </c>
      <c r="BL8" s="182">
        <v>150</v>
      </c>
      <c r="BM8" s="213">
        <v>40693</v>
      </c>
      <c r="BN8" s="336">
        <v>144.14285714285714</v>
      </c>
      <c r="BO8" s="168"/>
    </row>
    <row r="9" spans="1:67">
      <c r="A9" s="60" t="s">
        <v>30</v>
      </c>
      <c r="B9" s="65">
        <v>41059</v>
      </c>
      <c r="C9" s="24" t="s">
        <v>73</v>
      </c>
      <c r="D9" s="23">
        <v>145</v>
      </c>
      <c r="E9" s="24">
        <v>145</v>
      </c>
      <c r="F9" s="24">
        <v>280</v>
      </c>
      <c r="G9" s="24">
        <v>105</v>
      </c>
      <c r="H9" s="24">
        <v>225</v>
      </c>
      <c r="I9" s="24">
        <v>165</v>
      </c>
      <c r="J9" s="24">
        <v>140</v>
      </c>
      <c r="K9" s="26"/>
      <c r="L9" s="26"/>
      <c r="M9" s="27"/>
      <c r="N9" s="23">
        <v>2</v>
      </c>
      <c r="O9" s="24">
        <v>2</v>
      </c>
      <c r="P9" s="24">
        <v>2</v>
      </c>
      <c r="Q9" s="24">
        <v>2</v>
      </c>
      <c r="R9" s="24">
        <v>2</v>
      </c>
      <c r="S9" s="24">
        <v>2</v>
      </c>
      <c r="T9" s="24">
        <v>2</v>
      </c>
      <c r="U9" s="26"/>
      <c r="V9" s="26"/>
      <c r="W9" s="27"/>
      <c r="X9" s="23">
        <v>2</v>
      </c>
      <c r="Y9" s="24">
        <v>2</v>
      </c>
      <c r="Z9" s="24">
        <v>2</v>
      </c>
      <c r="AA9" s="24">
        <v>2</v>
      </c>
      <c r="AB9" s="25">
        <v>2</v>
      </c>
      <c r="AC9" s="22">
        <v>3</v>
      </c>
      <c r="AD9" s="23">
        <v>1</v>
      </c>
      <c r="AE9" s="24">
        <v>1</v>
      </c>
      <c r="AF9" s="24">
        <v>1</v>
      </c>
      <c r="AG9" s="24">
        <v>1</v>
      </c>
      <c r="AH9" s="25">
        <v>1</v>
      </c>
      <c r="AI9" s="25">
        <v>3</v>
      </c>
      <c r="AJ9" s="54">
        <f t="shared" si="1"/>
        <v>172.14285714285714</v>
      </c>
      <c r="AK9" s="55">
        <f t="shared" si="0"/>
        <v>2</v>
      </c>
      <c r="AL9" s="55">
        <f t="shared" si="6"/>
        <v>2</v>
      </c>
      <c r="AM9" s="56">
        <f t="shared" si="7"/>
        <v>1</v>
      </c>
      <c r="AN9" s="168"/>
      <c r="AO9" s="168"/>
      <c r="AP9" s="168"/>
      <c r="AQ9" s="168"/>
      <c r="AR9" s="168"/>
      <c r="AS9" s="168"/>
      <c r="AT9" s="168"/>
      <c r="AU9" s="168"/>
      <c r="AV9" s="337">
        <f t="shared" si="2"/>
        <v>151</v>
      </c>
      <c r="AW9" s="236">
        <f t="shared" si="3"/>
        <v>139</v>
      </c>
      <c r="AX9" s="213">
        <v>38856</v>
      </c>
      <c r="AY9" s="336">
        <v>29.285714285714285</v>
      </c>
      <c r="AZ9" s="236">
        <f t="shared" si="4"/>
        <v>128</v>
      </c>
      <c r="BA9" s="213">
        <v>39210</v>
      </c>
      <c r="BB9" s="336">
        <v>35.200000000000003</v>
      </c>
      <c r="BC9" s="236">
        <f t="shared" si="5"/>
        <v>144</v>
      </c>
      <c r="BD9" s="213">
        <v>39591</v>
      </c>
      <c r="BE9" s="336">
        <v>98.9</v>
      </c>
      <c r="BF9" s="182">
        <v>135</v>
      </c>
      <c r="BG9" s="213">
        <v>39948</v>
      </c>
      <c r="BH9" s="336">
        <v>63.4</v>
      </c>
      <c r="BI9" s="182">
        <v>148</v>
      </c>
      <c r="BJ9" s="213">
        <v>40326</v>
      </c>
      <c r="BK9" s="336">
        <v>77.900000000000006</v>
      </c>
      <c r="BL9" s="182">
        <v>158</v>
      </c>
      <c r="BM9" s="213">
        <v>40701</v>
      </c>
      <c r="BN9" s="336">
        <v>217.85714285714286</v>
      </c>
      <c r="BO9" s="168"/>
    </row>
    <row r="10" spans="1:67">
      <c r="A10" s="60" t="s">
        <v>30</v>
      </c>
      <c r="B10" s="65">
        <v>41068</v>
      </c>
      <c r="C10" s="24" t="s">
        <v>73</v>
      </c>
      <c r="D10" s="23">
        <v>170</v>
      </c>
      <c r="E10" s="24">
        <v>170</v>
      </c>
      <c r="F10" s="24">
        <v>340</v>
      </c>
      <c r="G10" s="24">
        <v>130</v>
      </c>
      <c r="H10" s="24">
        <v>260</v>
      </c>
      <c r="I10" s="24">
        <v>195</v>
      </c>
      <c r="J10" s="24">
        <v>200</v>
      </c>
      <c r="K10" s="26"/>
      <c r="L10" s="26"/>
      <c r="M10" s="27"/>
      <c r="N10" s="23">
        <v>2</v>
      </c>
      <c r="O10" s="24">
        <v>2</v>
      </c>
      <c r="P10" s="24">
        <v>2</v>
      </c>
      <c r="Q10" s="24">
        <v>2</v>
      </c>
      <c r="R10" s="24">
        <v>2</v>
      </c>
      <c r="S10" s="24">
        <v>2</v>
      </c>
      <c r="T10" s="24">
        <v>2</v>
      </c>
      <c r="U10" s="26"/>
      <c r="V10" s="26"/>
      <c r="W10" s="27"/>
      <c r="X10" s="23">
        <v>3</v>
      </c>
      <c r="Y10" s="24">
        <v>3</v>
      </c>
      <c r="Z10" s="24">
        <v>3</v>
      </c>
      <c r="AA10" s="24">
        <v>3</v>
      </c>
      <c r="AB10" s="25">
        <v>3</v>
      </c>
      <c r="AC10" s="22">
        <v>3</v>
      </c>
      <c r="AD10" s="23">
        <v>1</v>
      </c>
      <c r="AE10" s="24">
        <v>1</v>
      </c>
      <c r="AF10" s="24">
        <v>1</v>
      </c>
      <c r="AG10" s="24">
        <v>1</v>
      </c>
      <c r="AH10" s="25">
        <v>1</v>
      </c>
      <c r="AI10" s="25">
        <v>3</v>
      </c>
      <c r="AJ10" s="54">
        <f t="shared" si="1"/>
        <v>209.28571428571428</v>
      </c>
      <c r="AK10" s="55">
        <f t="shared" si="0"/>
        <v>2</v>
      </c>
      <c r="AL10" s="55">
        <f t="shared" si="6"/>
        <v>3</v>
      </c>
      <c r="AM10" s="56">
        <f t="shared" si="7"/>
        <v>1</v>
      </c>
      <c r="AN10" s="168"/>
      <c r="AO10" s="168"/>
      <c r="AP10" s="168"/>
      <c r="AQ10" s="168"/>
      <c r="AR10" s="168"/>
      <c r="AS10" s="168"/>
      <c r="AT10" s="168"/>
      <c r="AU10" s="168"/>
      <c r="AV10" s="337">
        <f t="shared" si="2"/>
        <v>160</v>
      </c>
      <c r="AW10" s="236">
        <f t="shared" si="3"/>
        <v>142</v>
      </c>
      <c r="AX10" s="213">
        <v>38859</v>
      </c>
      <c r="AY10" s="336">
        <v>34.428571428571431</v>
      </c>
      <c r="AZ10" s="236">
        <f t="shared" si="4"/>
        <v>131</v>
      </c>
      <c r="BA10" s="213">
        <v>39213</v>
      </c>
      <c r="BB10" s="336">
        <v>39.200000000000003</v>
      </c>
      <c r="BC10" s="236">
        <f t="shared" si="5"/>
        <v>151</v>
      </c>
      <c r="BD10" s="213">
        <v>39598</v>
      </c>
      <c r="BE10" s="336">
        <v>135.9</v>
      </c>
      <c r="BF10" s="182">
        <v>140</v>
      </c>
      <c r="BG10" s="213">
        <v>39953</v>
      </c>
      <c r="BH10" s="336">
        <v>84.9</v>
      </c>
      <c r="BI10" s="182">
        <v>155</v>
      </c>
      <c r="BJ10" s="213">
        <v>40333</v>
      </c>
      <c r="BK10" s="336">
        <v>133.1</v>
      </c>
      <c r="BL10" s="182">
        <v>167</v>
      </c>
      <c r="BM10" s="213">
        <v>40710</v>
      </c>
      <c r="BN10" s="336">
        <v>231.42857142857142</v>
      </c>
      <c r="BO10" s="168"/>
    </row>
    <row r="11" spans="1:67">
      <c r="A11" s="60" t="s">
        <v>30</v>
      </c>
      <c r="B11" s="65">
        <v>41074</v>
      </c>
      <c r="C11" s="24" t="s">
        <v>74</v>
      </c>
      <c r="D11" s="23">
        <v>210</v>
      </c>
      <c r="E11" s="24">
        <v>205</v>
      </c>
      <c r="F11" s="24">
        <v>405</v>
      </c>
      <c r="G11" s="24">
        <v>160</v>
      </c>
      <c r="H11" s="24">
        <v>310</v>
      </c>
      <c r="I11" s="24">
        <v>230</v>
      </c>
      <c r="J11" s="24">
        <v>230</v>
      </c>
      <c r="K11" s="26"/>
      <c r="L11" s="26"/>
      <c r="M11" s="27"/>
      <c r="N11" s="23">
        <v>2</v>
      </c>
      <c r="O11" s="24">
        <v>2</v>
      </c>
      <c r="P11" s="24">
        <v>2</v>
      </c>
      <c r="Q11" s="24">
        <v>2</v>
      </c>
      <c r="R11" s="24">
        <v>2</v>
      </c>
      <c r="S11" s="24">
        <v>2</v>
      </c>
      <c r="T11" s="24">
        <v>2</v>
      </c>
      <c r="U11" s="26"/>
      <c r="V11" s="26"/>
      <c r="W11" s="27"/>
      <c r="X11" s="23">
        <v>3</v>
      </c>
      <c r="Y11" s="24">
        <v>3</v>
      </c>
      <c r="Z11" s="24">
        <v>3</v>
      </c>
      <c r="AA11" s="24">
        <v>3</v>
      </c>
      <c r="AB11" s="25">
        <v>3</v>
      </c>
      <c r="AC11" s="22">
        <v>3</v>
      </c>
      <c r="AD11" s="23">
        <v>1</v>
      </c>
      <c r="AE11" s="24">
        <v>1</v>
      </c>
      <c r="AF11" s="24">
        <v>1</v>
      </c>
      <c r="AG11" s="24">
        <v>1</v>
      </c>
      <c r="AH11" s="25">
        <v>1</v>
      </c>
      <c r="AI11" s="25">
        <v>3</v>
      </c>
      <c r="AJ11" s="54">
        <f t="shared" si="1"/>
        <v>250</v>
      </c>
      <c r="AK11" s="55">
        <f t="shared" ref="AK11:AK69" si="8">IF(COUNT(N11:W11)=0,"",AVERAGE(N11:W11))</f>
        <v>2</v>
      </c>
      <c r="AL11" s="55">
        <f t="shared" si="6"/>
        <v>3</v>
      </c>
      <c r="AM11" s="56">
        <f t="shared" si="7"/>
        <v>1</v>
      </c>
      <c r="AN11" s="168"/>
      <c r="AO11" s="168"/>
      <c r="AP11" s="168"/>
      <c r="AQ11" s="168"/>
      <c r="AR11" s="168"/>
      <c r="AS11" s="168"/>
      <c r="AT11" s="168"/>
      <c r="AU11" s="168"/>
      <c r="AV11" s="337">
        <f t="shared" si="2"/>
        <v>166</v>
      </c>
      <c r="AW11" s="236">
        <f t="shared" si="3"/>
        <v>144</v>
      </c>
      <c r="AX11" s="213">
        <v>38861</v>
      </c>
      <c r="AY11" s="336">
        <v>39</v>
      </c>
      <c r="AZ11" s="236">
        <f t="shared" si="4"/>
        <v>135</v>
      </c>
      <c r="BA11" s="213">
        <v>39217</v>
      </c>
      <c r="BB11" s="336">
        <v>50</v>
      </c>
      <c r="BC11" s="236">
        <f t="shared" si="5"/>
        <v>157</v>
      </c>
      <c r="BD11" s="213">
        <v>39604</v>
      </c>
      <c r="BE11" s="336">
        <v>189.4</v>
      </c>
      <c r="BF11" s="182">
        <v>149</v>
      </c>
      <c r="BG11" s="213">
        <v>39962</v>
      </c>
      <c r="BH11" s="336">
        <v>155.19999999999999</v>
      </c>
      <c r="BI11" s="182">
        <v>162</v>
      </c>
      <c r="BJ11" s="213">
        <v>40340</v>
      </c>
      <c r="BK11" s="336">
        <v>190</v>
      </c>
      <c r="BL11" s="182">
        <v>174</v>
      </c>
      <c r="BM11" s="213">
        <v>40717</v>
      </c>
      <c r="BN11" s="336">
        <v>323.33333333333331</v>
      </c>
      <c r="BO11" s="168"/>
    </row>
    <row r="12" spans="1:67">
      <c r="A12" s="60" t="s">
        <v>30</v>
      </c>
      <c r="B12" s="65">
        <v>41079</v>
      </c>
      <c r="C12" s="24" t="s">
        <v>73</v>
      </c>
      <c r="D12" s="23">
        <v>240</v>
      </c>
      <c r="E12" s="24">
        <v>230</v>
      </c>
      <c r="F12" s="24">
        <v>455</v>
      </c>
      <c r="G12" s="24">
        <v>170</v>
      </c>
      <c r="H12" s="24">
        <v>330</v>
      </c>
      <c r="I12" s="24">
        <v>260</v>
      </c>
      <c r="J12" s="24">
        <v>250</v>
      </c>
      <c r="K12" s="26"/>
      <c r="L12" s="26"/>
      <c r="M12" s="27"/>
      <c r="N12" s="23">
        <v>2</v>
      </c>
      <c r="O12" s="24">
        <v>2</v>
      </c>
      <c r="P12" s="24">
        <v>2</v>
      </c>
      <c r="Q12" s="24">
        <v>2</v>
      </c>
      <c r="R12" s="24">
        <v>2</v>
      </c>
      <c r="S12" s="24">
        <v>2</v>
      </c>
      <c r="T12" s="24">
        <v>2</v>
      </c>
      <c r="U12" s="26"/>
      <c r="V12" s="26"/>
      <c r="W12" s="27"/>
      <c r="X12" s="23">
        <v>3</v>
      </c>
      <c r="Y12" s="24">
        <v>3</v>
      </c>
      <c r="Z12" s="24">
        <v>3</v>
      </c>
      <c r="AA12" s="24">
        <v>3</v>
      </c>
      <c r="AB12" s="25">
        <v>3</v>
      </c>
      <c r="AC12" s="22">
        <v>3</v>
      </c>
      <c r="AD12" s="23">
        <v>1</v>
      </c>
      <c r="AE12" s="24">
        <v>1</v>
      </c>
      <c r="AF12" s="24">
        <v>1</v>
      </c>
      <c r="AG12" s="24">
        <v>1</v>
      </c>
      <c r="AH12" s="25">
        <v>1</v>
      </c>
      <c r="AI12" s="25">
        <v>3</v>
      </c>
      <c r="AJ12" s="54">
        <f t="shared" si="1"/>
        <v>276.42857142857144</v>
      </c>
      <c r="AK12" s="55">
        <f t="shared" si="8"/>
        <v>2</v>
      </c>
      <c r="AL12" s="55">
        <f t="shared" si="6"/>
        <v>3</v>
      </c>
      <c r="AM12" s="56">
        <f t="shared" si="7"/>
        <v>1</v>
      </c>
      <c r="AN12" s="168"/>
      <c r="AO12" s="168"/>
      <c r="AP12" s="168"/>
      <c r="AQ12" s="168"/>
      <c r="AR12" s="168"/>
      <c r="AS12" s="168"/>
      <c r="AT12" s="168"/>
      <c r="AU12" s="168"/>
      <c r="AV12" s="337">
        <f t="shared" si="2"/>
        <v>171</v>
      </c>
      <c r="AW12" s="236">
        <f t="shared" si="3"/>
        <v>146</v>
      </c>
      <c r="AX12" s="213">
        <v>38863</v>
      </c>
      <c r="AY12" s="336">
        <v>42.428571428571431</v>
      </c>
      <c r="AZ12" s="236">
        <f t="shared" si="4"/>
        <v>138</v>
      </c>
      <c r="BA12" s="213">
        <v>39220</v>
      </c>
      <c r="BB12" s="336">
        <v>56.8</v>
      </c>
      <c r="BC12" s="236">
        <f t="shared" si="5"/>
        <v>165</v>
      </c>
      <c r="BD12" s="213">
        <v>39612</v>
      </c>
      <c r="BE12" s="336">
        <v>238</v>
      </c>
      <c r="BF12" s="182">
        <v>155</v>
      </c>
      <c r="BG12" s="213">
        <v>39968</v>
      </c>
      <c r="BH12" s="336">
        <v>214</v>
      </c>
      <c r="BI12" s="182">
        <v>173</v>
      </c>
      <c r="BJ12" s="213">
        <v>40351</v>
      </c>
      <c r="BK12" s="336">
        <v>248.5</v>
      </c>
      <c r="BL12" s="182">
        <v>174</v>
      </c>
      <c r="BM12" s="213"/>
      <c r="BN12" s="336">
        <v>323.33333333333331</v>
      </c>
      <c r="BO12" s="168"/>
    </row>
    <row r="13" spans="1:67">
      <c r="A13" s="60" t="s">
        <v>30</v>
      </c>
      <c r="B13" s="65">
        <v>41088</v>
      </c>
      <c r="C13" s="24" t="s">
        <v>84</v>
      </c>
      <c r="D13" s="23">
        <v>290</v>
      </c>
      <c r="E13" s="24">
        <v>260</v>
      </c>
      <c r="F13" s="24">
        <v>510</v>
      </c>
      <c r="G13" s="24">
        <v>190</v>
      </c>
      <c r="H13" s="24">
        <v>340</v>
      </c>
      <c r="I13" s="24">
        <v>275</v>
      </c>
      <c r="J13" s="24">
        <v>290</v>
      </c>
      <c r="K13" s="26"/>
      <c r="L13" s="26"/>
      <c r="M13" s="27"/>
      <c r="N13" s="23">
        <v>2</v>
      </c>
      <c r="O13" s="24">
        <v>2</v>
      </c>
      <c r="P13" s="24">
        <v>2</v>
      </c>
      <c r="Q13" s="24">
        <v>2</v>
      </c>
      <c r="R13" s="24">
        <v>2</v>
      </c>
      <c r="S13" s="24">
        <v>2</v>
      </c>
      <c r="T13" s="24">
        <v>2</v>
      </c>
      <c r="U13" s="26"/>
      <c r="V13" s="26"/>
      <c r="W13" s="27"/>
      <c r="X13" s="23"/>
      <c r="Y13" s="24"/>
      <c r="Z13" s="24"/>
      <c r="AA13" s="24"/>
      <c r="AB13" s="25"/>
      <c r="AC13" s="22"/>
      <c r="AD13" s="23"/>
      <c r="AE13" s="24"/>
      <c r="AF13" s="24"/>
      <c r="AG13" s="24"/>
      <c r="AH13" s="25"/>
      <c r="AI13" s="25"/>
      <c r="AJ13" s="54">
        <f t="shared" si="1"/>
        <v>307.85714285714283</v>
      </c>
      <c r="AK13" s="55">
        <f t="shared" si="8"/>
        <v>2</v>
      </c>
      <c r="AL13" s="55" t="str">
        <f t="shared" si="6"/>
        <v/>
      </c>
      <c r="AM13" s="56" t="str">
        <f t="shared" si="7"/>
        <v/>
      </c>
      <c r="AN13" s="168"/>
      <c r="AO13" s="168"/>
      <c r="AP13" s="168"/>
      <c r="AQ13" s="168"/>
      <c r="AR13" s="168"/>
      <c r="AS13" s="168"/>
      <c r="AT13" s="168"/>
      <c r="AU13" s="168"/>
      <c r="AV13" s="337">
        <f t="shared" si="2"/>
        <v>180</v>
      </c>
      <c r="AW13" s="236">
        <f t="shared" si="3"/>
        <v>149</v>
      </c>
      <c r="AX13" s="213">
        <v>38866</v>
      </c>
      <c r="AY13" s="336">
        <v>49.571428571428569</v>
      </c>
      <c r="AZ13" s="236">
        <f t="shared" si="4"/>
        <v>142</v>
      </c>
      <c r="BA13" s="213">
        <v>39224</v>
      </c>
      <c r="BB13" s="336">
        <v>81.2</v>
      </c>
      <c r="BC13" s="236">
        <f t="shared" si="5"/>
        <v>171</v>
      </c>
      <c r="BD13" s="213">
        <v>39618</v>
      </c>
      <c r="BE13" s="336">
        <v>244.5</v>
      </c>
      <c r="BF13" s="182">
        <v>163</v>
      </c>
      <c r="BG13" s="213">
        <v>39976</v>
      </c>
      <c r="BH13" s="336">
        <v>250.1</v>
      </c>
      <c r="BI13" s="182">
        <v>183</v>
      </c>
      <c r="BJ13" s="213">
        <v>40361</v>
      </c>
      <c r="BK13" s="336">
        <v>289.5</v>
      </c>
      <c r="BL13" s="182">
        <v>174</v>
      </c>
      <c r="BM13" s="213"/>
      <c r="BN13" s="336">
        <v>323.33333333333331</v>
      </c>
      <c r="BO13" s="168"/>
    </row>
    <row r="14" spans="1:67">
      <c r="A14" s="60" t="s">
        <v>30</v>
      </c>
      <c r="B14" s="65">
        <v>41096</v>
      </c>
      <c r="C14" s="24" t="s">
        <v>85</v>
      </c>
      <c r="D14" s="23">
        <v>320</v>
      </c>
      <c r="E14" s="24">
        <v>275</v>
      </c>
      <c r="F14" s="24">
        <v>520</v>
      </c>
      <c r="G14" s="24">
        <v>200</v>
      </c>
      <c r="H14" s="24">
        <v>340</v>
      </c>
      <c r="I14" s="24">
        <v>275</v>
      </c>
      <c r="J14" s="24">
        <v>335</v>
      </c>
      <c r="K14" s="26"/>
      <c r="L14" s="26"/>
      <c r="M14" s="27"/>
      <c r="N14" s="23">
        <v>2</v>
      </c>
      <c r="O14" s="24">
        <v>2</v>
      </c>
      <c r="P14" s="24">
        <v>2</v>
      </c>
      <c r="Q14" s="24">
        <v>2</v>
      </c>
      <c r="R14" s="24">
        <v>3</v>
      </c>
      <c r="S14" s="24">
        <v>3</v>
      </c>
      <c r="T14" s="24">
        <v>2</v>
      </c>
      <c r="U14" s="26"/>
      <c r="V14" s="26"/>
      <c r="W14" s="27"/>
      <c r="X14" s="23"/>
      <c r="Y14" s="24"/>
      <c r="Z14" s="24"/>
      <c r="AA14" s="24"/>
      <c r="AB14" s="25"/>
      <c r="AC14" s="22"/>
      <c r="AD14" s="23"/>
      <c r="AE14" s="24"/>
      <c r="AF14" s="24"/>
      <c r="AG14" s="24"/>
      <c r="AH14" s="25"/>
      <c r="AI14" s="25"/>
      <c r="AJ14" s="54">
        <f t="shared" si="1"/>
        <v>323.57142857142856</v>
      </c>
      <c r="AK14" s="55">
        <f t="shared" si="8"/>
        <v>2.2857142857142856</v>
      </c>
      <c r="AL14" s="55" t="str">
        <f t="shared" si="6"/>
        <v/>
      </c>
      <c r="AM14" s="56" t="str">
        <f t="shared" si="7"/>
        <v/>
      </c>
      <c r="AN14" s="168"/>
      <c r="AO14" s="168"/>
      <c r="AP14" s="168"/>
      <c r="AQ14" s="168"/>
      <c r="AR14" s="168"/>
      <c r="AS14" s="168"/>
      <c r="AT14" s="168"/>
      <c r="AU14" s="168"/>
      <c r="AV14" s="337">
        <f t="shared" si="2"/>
        <v>188</v>
      </c>
      <c r="AW14" s="236">
        <f t="shared" si="3"/>
        <v>151</v>
      </c>
      <c r="AX14" s="213">
        <v>38868</v>
      </c>
      <c r="AY14" s="336">
        <v>55.142857142857146</v>
      </c>
      <c r="AZ14" s="236">
        <f t="shared" si="4"/>
        <v>145</v>
      </c>
      <c r="BA14" s="213">
        <v>39227</v>
      </c>
      <c r="BB14" s="336">
        <v>99.6</v>
      </c>
      <c r="BC14" s="236">
        <f t="shared" si="5"/>
        <v>179</v>
      </c>
      <c r="BD14" s="213">
        <v>39626</v>
      </c>
      <c r="BE14" s="336">
        <v>245.3</v>
      </c>
      <c r="BF14" s="182">
        <v>169</v>
      </c>
      <c r="BG14" s="213">
        <v>39982</v>
      </c>
      <c r="BH14" s="336">
        <v>278.7</v>
      </c>
      <c r="BI14" s="182">
        <v>190</v>
      </c>
      <c r="BJ14" s="213">
        <v>40368</v>
      </c>
      <c r="BK14" s="336">
        <v>293</v>
      </c>
      <c r="BL14" s="182">
        <v>174</v>
      </c>
      <c r="BM14" s="213"/>
      <c r="BN14" s="336">
        <v>323.33333333333331</v>
      </c>
      <c r="BO14" s="168"/>
    </row>
    <row r="15" spans="1:67">
      <c r="A15" s="60" t="s">
        <v>30</v>
      </c>
      <c r="B15" s="65">
        <v>41103</v>
      </c>
      <c r="C15" s="24" t="s">
        <v>86</v>
      </c>
      <c r="D15" s="23">
        <v>320</v>
      </c>
      <c r="E15" s="24">
        <v>275</v>
      </c>
      <c r="F15" s="24">
        <v>520</v>
      </c>
      <c r="G15" s="24">
        <v>200</v>
      </c>
      <c r="H15" s="24">
        <v>340</v>
      </c>
      <c r="I15" s="24">
        <v>275</v>
      </c>
      <c r="J15" s="24">
        <v>355</v>
      </c>
      <c r="K15" s="26"/>
      <c r="L15" s="26"/>
      <c r="M15" s="27"/>
      <c r="N15" s="23">
        <v>3</v>
      </c>
      <c r="O15" s="24">
        <v>3</v>
      </c>
      <c r="P15" s="24">
        <v>3</v>
      </c>
      <c r="Q15" s="24">
        <v>3</v>
      </c>
      <c r="R15" s="24">
        <v>3</v>
      </c>
      <c r="S15" s="24">
        <v>3</v>
      </c>
      <c r="T15" s="24">
        <v>2</v>
      </c>
      <c r="U15" s="26"/>
      <c r="V15" s="26"/>
      <c r="W15" s="27"/>
      <c r="X15" s="23"/>
      <c r="Y15" s="24"/>
      <c r="Z15" s="24"/>
      <c r="AA15" s="24"/>
      <c r="AB15" s="25"/>
      <c r="AC15" s="22"/>
      <c r="AD15" s="23"/>
      <c r="AE15" s="24"/>
      <c r="AF15" s="24"/>
      <c r="AG15" s="24"/>
      <c r="AH15" s="25"/>
      <c r="AI15" s="25"/>
      <c r="AJ15" s="54">
        <f t="shared" si="1"/>
        <v>326.42857142857144</v>
      </c>
      <c r="AK15" s="55">
        <f t="shared" si="8"/>
        <v>2.8571428571428572</v>
      </c>
      <c r="AL15" s="55" t="str">
        <f t="shared" si="6"/>
        <v/>
      </c>
      <c r="AM15" s="56" t="str">
        <f t="shared" si="7"/>
        <v/>
      </c>
      <c r="AN15" s="168"/>
      <c r="AO15" s="168"/>
      <c r="AP15" s="168"/>
      <c r="AQ15" s="168"/>
      <c r="AR15" s="168"/>
      <c r="AS15" s="168"/>
      <c r="AT15" s="168"/>
      <c r="AU15" s="168"/>
      <c r="AV15" s="337">
        <f t="shared" si="2"/>
        <v>195</v>
      </c>
      <c r="AW15" s="236">
        <f t="shared" si="3"/>
        <v>153</v>
      </c>
      <c r="AX15" s="213">
        <v>38870</v>
      </c>
      <c r="AY15" s="336">
        <v>61.142857142857146</v>
      </c>
      <c r="AZ15" s="236">
        <f t="shared" si="4"/>
        <v>151</v>
      </c>
      <c r="BA15" s="213">
        <v>39233</v>
      </c>
      <c r="BB15" s="336">
        <v>154.69999999999999</v>
      </c>
      <c r="BC15" s="236">
        <f t="shared" si="5"/>
        <v>189</v>
      </c>
      <c r="BD15" s="213">
        <v>39636</v>
      </c>
      <c r="BE15" s="336">
        <v>248</v>
      </c>
      <c r="BF15" s="182">
        <v>176</v>
      </c>
      <c r="BG15" s="213">
        <v>39989</v>
      </c>
      <c r="BH15" s="336">
        <v>309</v>
      </c>
      <c r="BI15" s="182">
        <v>197</v>
      </c>
      <c r="BJ15" s="213">
        <v>40375</v>
      </c>
      <c r="BK15" s="336">
        <v>293</v>
      </c>
      <c r="BL15" s="182">
        <v>174</v>
      </c>
      <c r="BM15" s="213"/>
      <c r="BN15" s="336">
        <v>323.33333333333331</v>
      </c>
      <c r="BO15" s="168"/>
    </row>
    <row r="16" spans="1:67">
      <c r="A16" s="60" t="s">
        <v>30</v>
      </c>
      <c r="B16" s="65">
        <v>41110</v>
      </c>
      <c r="C16" s="24" t="s">
        <v>90</v>
      </c>
      <c r="D16" s="23">
        <v>320</v>
      </c>
      <c r="E16" s="24">
        <v>275</v>
      </c>
      <c r="F16" s="24">
        <v>520</v>
      </c>
      <c r="G16" s="24">
        <v>200</v>
      </c>
      <c r="H16" s="24">
        <v>340</v>
      </c>
      <c r="I16" s="24">
        <v>275</v>
      </c>
      <c r="J16" s="24">
        <v>360</v>
      </c>
      <c r="K16" s="26"/>
      <c r="L16" s="26"/>
      <c r="M16" s="27"/>
      <c r="N16" s="23">
        <v>3</v>
      </c>
      <c r="O16" s="24">
        <v>3</v>
      </c>
      <c r="P16" s="24">
        <v>3</v>
      </c>
      <c r="Q16" s="24">
        <v>3</v>
      </c>
      <c r="R16" s="24">
        <v>3</v>
      </c>
      <c r="S16" s="24">
        <v>3</v>
      </c>
      <c r="T16" s="24">
        <v>2</v>
      </c>
      <c r="U16" s="26"/>
      <c r="V16" s="26"/>
      <c r="W16" s="27"/>
      <c r="X16" s="23"/>
      <c r="Y16" s="24"/>
      <c r="Z16" s="24"/>
      <c r="AA16" s="24"/>
      <c r="AB16" s="25"/>
      <c r="AC16" s="22"/>
      <c r="AD16" s="23"/>
      <c r="AE16" s="24"/>
      <c r="AF16" s="24"/>
      <c r="AG16" s="24"/>
      <c r="AH16" s="25"/>
      <c r="AI16" s="25"/>
      <c r="AJ16" s="54">
        <f t="shared" si="1"/>
        <v>327.14285714285717</v>
      </c>
      <c r="AK16" s="55">
        <f t="shared" si="8"/>
        <v>2.8571428571428572</v>
      </c>
      <c r="AL16" s="55" t="str">
        <f t="shared" si="6"/>
        <v/>
      </c>
      <c r="AM16" s="56" t="str">
        <f t="shared" si="7"/>
        <v/>
      </c>
      <c r="AN16" s="168"/>
      <c r="AO16" s="168"/>
      <c r="AP16" s="168"/>
      <c r="AQ16" s="168"/>
      <c r="AR16" s="168"/>
      <c r="AS16" s="168"/>
      <c r="AT16" s="168"/>
      <c r="AU16" s="168"/>
      <c r="AV16" s="337">
        <f t="shared" si="2"/>
        <v>202</v>
      </c>
      <c r="AW16" s="236">
        <f t="shared" si="3"/>
        <v>156</v>
      </c>
      <c r="AX16" s="213">
        <v>38873</v>
      </c>
      <c r="AY16" s="336">
        <v>80</v>
      </c>
      <c r="AZ16" s="236">
        <f t="shared" si="4"/>
        <v>152</v>
      </c>
      <c r="BA16" s="213">
        <v>39234</v>
      </c>
      <c r="BB16" s="336">
        <v>165.2</v>
      </c>
      <c r="BC16" s="236">
        <f t="shared" si="5"/>
        <v>193</v>
      </c>
      <c r="BD16" s="213">
        <v>39640</v>
      </c>
      <c r="BE16" s="336">
        <v>249</v>
      </c>
      <c r="BF16" s="182">
        <v>182</v>
      </c>
      <c r="BG16" s="213">
        <v>39995</v>
      </c>
      <c r="BH16" s="336">
        <v>321.5</v>
      </c>
      <c r="BI16" s="182">
        <v>204</v>
      </c>
      <c r="BJ16" s="213">
        <v>40382</v>
      </c>
      <c r="BK16" s="336">
        <v>294.5</v>
      </c>
      <c r="BL16" s="182">
        <v>174</v>
      </c>
      <c r="BM16" s="213"/>
      <c r="BN16" s="336">
        <v>323.33333333333331</v>
      </c>
      <c r="BO16" s="168"/>
    </row>
    <row r="17" spans="1:67">
      <c r="A17" s="60" t="s">
        <v>30</v>
      </c>
      <c r="B17" s="65">
        <v>41117</v>
      </c>
      <c r="C17" s="24" t="s">
        <v>86</v>
      </c>
      <c r="D17" s="23">
        <v>320</v>
      </c>
      <c r="E17" s="24">
        <v>275</v>
      </c>
      <c r="F17" s="24">
        <v>520</v>
      </c>
      <c r="G17" s="24">
        <v>200</v>
      </c>
      <c r="H17" s="24">
        <v>340</v>
      </c>
      <c r="I17" s="24">
        <v>275</v>
      </c>
      <c r="J17" s="24">
        <v>360</v>
      </c>
      <c r="K17" s="26"/>
      <c r="L17" s="26"/>
      <c r="M17" s="27"/>
      <c r="N17" s="23">
        <v>3</v>
      </c>
      <c r="O17" s="24">
        <v>3</v>
      </c>
      <c r="P17" s="24">
        <v>3</v>
      </c>
      <c r="Q17" s="24">
        <v>3</v>
      </c>
      <c r="R17" s="24">
        <v>3</v>
      </c>
      <c r="S17" s="24">
        <v>3</v>
      </c>
      <c r="T17" s="24">
        <v>3</v>
      </c>
      <c r="U17" s="26"/>
      <c r="V17" s="26"/>
      <c r="W17" s="27"/>
      <c r="X17" s="23"/>
      <c r="Y17" s="24"/>
      <c r="Z17" s="24"/>
      <c r="AA17" s="24"/>
      <c r="AB17" s="25"/>
      <c r="AC17" s="22"/>
      <c r="AD17" s="23"/>
      <c r="AE17" s="24"/>
      <c r="AF17" s="24"/>
      <c r="AG17" s="24"/>
      <c r="AH17" s="25"/>
      <c r="AI17" s="25"/>
      <c r="AJ17" s="54"/>
      <c r="AK17" s="55"/>
      <c r="AL17" s="55" t="str">
        <f t="shared" si="6"/>
        <v/>
      </c>
      <c r="AM17" s="56" t="str">
        <f t="shared" si="7"/>
        <v/>
      </c>
      <c r="AN17" s="168"/>
      <c r="AO17" s="168"/>
      <c r="AP17" s="168"/>
      <c r="AQ17" s="168"/>
      <c r="AR17" s="168"/>
      <c r="AS17" s="168"/>
      <c r="AT17" s="168"/>
      <c r="AU17" s="168"/>
      <c r="AV17" s="337">
        <f t="shared" si="2"/>
        <v>209</v>
      </c>
      <c r="AW17" s="236">
        <f t="shared" si="3"/>
        <v>158</v>
      </c>
      <c r="AX17" s="213">
        <v>38875</v>
      </c>
      <c r="AY17" s="336">
        <v>91.714285714285708</v>
      </c>
      <c r="AZ17" s="236">
        <f t="shared" si="4"/>
        <v>158</v>
      </c>
      <c r="BA17" s="213">
        <v>39240</v>
      </c>
      <c r="BB17" s="336">
        <v>204.7</v>
      </c>
      <c r="BC17" s="236">
        <f t="shared" si="5"/>
        <v>193</v>
      </c>
      <c r="BD17" s="182"/>
      <c r="BE17" s="134"/>
      <c r="BF17" s="182">
        <v>191</v>
      </c>
      <c r="BG17" s="213">
        <v>40004</v>
      </c>
      <c r="BH17" s="134"/>
      <c r="BI17" s="182">
        <v>204</v>
      </c>
      <c r="BJ17" s="213"/>
      <c r="BK17" s="134"/>
      <c r="BL17" s="182">
        <v>174</v>
      </c>
      <c r="BM17" s="213"/>
      <c r="BN17" s="134"/>
      <c r="BO17" s="168"/>
    </row>
    <row r="18" spans="1:67">
      <c r="A18" s="60" t="s">
        <v>30</v>
      </c>
      <c r="B18" s="65"/>
      <c r="C18" s="24"/>
      <c r="D18" s="23"/>
      <c r="E18" s="24"/>
      <c r="F18" s="24"/>
      <c r="G18" s="24"/>
      <c r="H18" s="24"/>
      <c r="I18" s="24"/>
      <c r="J18" s="24"/>
      <c r="K18" s="26"/>
      <c r="L18" s="26"/>
      <c r="M18" s="27"/>
      <c r="N18" s="23"/>
      <c r="O18" s="24"/>
      <c r="P18" s="24"/>
      <c r="Q18" s="24"/>
      <c r="R18" s="24"/>
      <c r="S18" s="24"/>
      <c r="T18" s="24"/>
      <c r="U18" s="26"/>
      <c r="V18" s="26"/>
      <c r="W18" s="27"/>
      <c r="X18" s="23"/>
      <c r="Y18" s="24"/>
      <c r="Z18" s="24"/>
      <c r="AA18" s="24"/>
      <c r="AB18" s="25"/>
      <c r="AC18" s="22"/>
      <c r="AD18" s="23"/>
      <c r="AE18" s="24"/>
      <c r="AF18" s="24"/>
      <c r="AG18" s="24"/>
      <c r="AH18" s="25"/>
      <c r="AI18" s="25"/>
      <c r="AJ18" s="54"/>
      <c r="AK18" s="55"/>
      <c r="AL18" s="55"/>
      <c r="AM18" s="56"/>
      <c r="AN18" s="168"/>
      <c r="AO18" s="168"/>
      <c r="AP18" s="168"/>
      <c r="AQ18" s="168"/>
      <c r="AR18" s="168"/>
      <c r="AS18" s="168"/>
      <c r="AT18" s="168"/>
      <c r="AU18" s="168"/>
      <c r="AV18" s="337">
        <f t="shared" si="2"/>
        <v>209</v>
      </c>
      <c r="AW18" s="236">
        <f t="shared" si="3"/>
        <v>160</v>
      </c>
      <c r="AX18" s="213">
        <v>38877</v>
      </c>
      <c r="AY18" s="336">
        <v>108.71428571428571</v>
      </c>
      <c r="AZ18" s="236">
        <f t="shared" si="4"/>
        <v>166</v>
      </c>
      <c r="BA18" s="213">
        <v>39248</v>
      </c>
      <c r="BB18" s="336">
        <v>267.5</v>
      </c>
      <c r="BC18" s="236">
        <f t="shared" si="5"/>
        <v>193</v>
      </c>
      <c r="BD18" s="182"/>
      <c r="BE18" s="134"/>
      <c r="BF18" s="182">
        <v>198</v>
      </c>
      <c r="BG18" s="213">
        <v>40011</v>
      </c>
      <c r="BH18" s="134"/>
      <c r="BI18" s="182">
        <v>204</v>
      </c>
      <c r="BJ18" s="213"/>
      <c r="BK18" s="134"/>
      <c r="BL18" s="182">
        <v>174</v>
      </c>
      <c r="BM18" s="213"/>
      <c r="BN18" s="134"/>
      <c r="BO18" s="168"/>
    </row>
    <row r="19" spans="1:67">
      <c r="A19" s="60" t="s">
        <v>30</v>
      </c>
      <c r="B19" s="65"/>
      <c r="C19" s="24"/>
      <c r="D19" s="23"/>
      <c r="E19" s="24"/>
      <c r="F19" s="24"/>
      <c r="G19" s="24"/>
      <c r="H19" s="24"/>
      <c r="I19" s="24"/>
      <c r="J19" s="24"/>
      <c r="K19" s="26"/>
      <c r="L19" s="26"/>
      <c r="M19" s="27"/>
      <c r="N19" s="23"/>
      <c r="O19" s="24"/>
      <c r="P19" s="24"/>
      <c r="Q19" s="24"/>
      <c r="R19" s="24"/>
      <c r="S19" s="24"/>
      <c r="T19" s="24"/>
      <c r="U19" s="26"/>
      <c r="V19" s="26"/>
      <c r="W19" s="27"/>
      <c r="X19" s="23"/>
      <c r="Y19" s="24"/>
      <c r="Z19" s="24"/>
      <c r="AA19" s="24"/>
      <c r="AB19" s="25"/>
      <c r="AC19" s="22"/>
      <c r="AD19" s="23"/>
      <c r="AE19" s="24"/>
      <c r="AF19" s="24"/>
      <c r="AG19" s="24"/>
      <c r="AH19" s="25"/>
      <c r="AI19" s="25"/>
      <c r="AJ19" s="54"/>
      <c r="AK19" s="55"/>
      <c r="AL19" s="55"/>
      <c r="AM19" s="56"/>
      <c r="AN19" s="168"/>
      <c r="AO19" s="168"/>
      <c r="AP19" s="168"/>
      <c r="AQ19" s="168"/>
      <c r="AR19" s="168"/>
      <c r="AS19" s="168"/>
      <c r="AT19" s="168"/>
      <c r="AU19" s="168"/>
      <c r="AV19" s="337">
        <f t="shared" si="2"/>
        <v>209</v>
      </c>
      <c r="AW19" s="236">
        <f t="shared" si="3"/>
        <v>163</v>
      </c>
      <c r="AX19" s="213">
        <v>38880</v>
      </c>
      <c r="AY19" s="336">
        <v>149.42857142857142</v>
      </c>
      <c r="AZ19" s="236">
        <f t="shared" si="4"/>
        <v>171</v>
      </c>
      <c r="BA19" s="213">
        <v>39253</v>
      </c>
      <c r="BB19" s="336">
        <v>273.8</v>
      </c>
      <c r="BC19" s="236">
        <f t="shared" si="5"/>
        <v>193</v>
      </c>
      <c r="BD19" s="182"/>
      <c r="BE19" s="134"/>
      <c r="BF19" s="182">
        <v>205</v>
      </c>
      <c r="BG19" s="213">
        <v>40018</v>
      </c>
      <c r="BH19" s="134"/>
      <c r="BI19" s="182">
        <v>204</v>
      </c>
      <c r="BJ19" s="213"/>
      <c r="BK19" s="134"/>
      <c r="BL19" s="182">
        <v>174</v>
      </c>
      <c r="BM19" s="213"/>
      <c r="BN19" s="134"/>
      <c r="BO19" s="168"/>
    </row>
    <row r="20" spans="1:67">
      <c r="A20" s="60" t="s">
        <v>30</v>
      </c>
      <c r="B20" s="65"/>
      <c r="C20" s="24"/>
      <c r="D20" s="23"/>
      <c r="E20" s="24"/>
      <c r="F20" s="24"/>
      <c r="G20" s="24"/>
      <c r="H20" s="24"/>
      <c r="I20" s="24"/>
      <c r="J20" s="24"/>
      <c r="K20" s="26"/>
      <c r="L20" s="26"/>
      <c r="M20" s="27"/>
      <c r="N20" s="23"/>
      <c r="O20" s="24"/>
      <c r="P20" s="24"/>
      <c r="Q20" s="24"/>
      <c r="R20" s="24"/>
      <c r="S20" s="24"/>
      <c r="T20" s="24"/>
      <c r="U20" s="26"/>
      <c r="V20" s="26"/>
      <c r="W20" s="27"/>
      <c r="X20" s="23"/>
      <c r="Y20" s="24"/>
      <c r="Z20" s="24"/>
      <c r="AA20" s="24"/>
      <c r="AB20" s="25"/>
      <c r="AC20" s="22"/>
      <c r="AD20" s="23"/>
      <c r="AE20" s="24"/>
      <c r="AF20" s="24"/>
      <c r="AG20" s="24"/>
      <c r="AH20" s="25"/>
      <c r="AI20" s="25"/>
      <c r="AJ20" s="54"/>
      <c r="AK20" s="55" t="str">
        <f t="shared" si="8"/>
        <v/>
      </c>
      <c r="AL20" s="55"/>
      <c r="AM20" s="56"/>
      <c r="AN20" s="168"/>
      <c r="AO20" s="168"/>
      <c r="AP20" s="168"/>
      <c r="AQ20" s="168"/>
      <c r="AR20" s="168"/>
      <c r="AS20" s="168"/>
      <c r="AT20" s="168"/>
      <c r="AU20" s="168"/>
      <c r="AV20" s="337">
        <f t="shared" si="2"/>
        <v>209</v>
      </c>
      <c r="AW20" s="236">
        <f t="shared" si="3"/>
        <v>166</v>
      </c>
      <c r="AX20" s="213">
        <v>38883</v>
      </c>
      <c r="AY20" s="336">
        <v>179.57142857142858</v>
      </c>
      <c r="AZ20" s="236">
        <f t="shared" si="4"/>
        <v>180</v>
      </c>
      <c r="BA20" s="213">
        <v>39262</v>
      </c>
      <c r="BB20" s="336">
        <v>275.5</v>
      </c>
      <c r="BC20" s="236">
        <f t="shared" si="5"/>
        <v>193</v>
      </c>
      <c r="BD20" s="182"/>
      <c r="BE20" s="134"/>
      <c r="BF20" s="182">
        <v>212</v>
      </c>
      <c r="BG20" s="213">
        <v>40025</v>
      </c>
      <c r="BH20" s="134"/>
      <c r="BI20" s="182">
        <v>204</v>
      </c>
      <c r="BJ20" s="213"/>
      <c r="BK20" s="134"/>
      <c r="BL20" s="182">
        <v>174</v>
      </c>
      <c r="BM20" s="213"/>
      <c r="BN20" s="134"/>
      <c r="BO20" s="168"/>
    </row>
    <row r="21" spans="1:67">
      <c r="A21" s="60" t="s">
        <v>30</v>
      </c>
      <c r="B21" s="65"/>
      <c r="C21" s="24"/>
      <c r="D21" s="23"/>
      <c r="E21" s="24"/>
      <c r="F21" s="24"/>
      <c r="G21" s="24"/>
      <c r="H21" s="24"/>
      <c r="I21" s="24"/>
      <c r="J21" s="24"/>
      <c r="K21" s="26"/>
      <c r="L21" s="26"/>
      <c r="M21" s="27"/>
      <c r="N21" s="23"/>
      <c r="O21" s="24"/>
      <c r="P21" s="24"/>
      <c r="Q21" s="24"/>
      <c r="R21" s="24"/>
      <c r="S21" s="24"/>
      <c r="T21" s="24"/>
      <c r="U21" s="26"/>
      <c r="V21" s="26"/>
      <c r="W21" s="27"/>
      <c r="X21" s="23"/>
      <c r="Y21" s="24"/>
      <c r="Z21" s="24"/>
      <c r="AA21" s="24"/>
      <c r="AB21" s="25"/>
      <c r="AC21" s="22"/>
      <c r="AD21" s="23"/>
      <c r="AE21" s="24"/>
      <c r="AF21" s="24"/>
      <c r="AG21" s="24"/>
      <c r="AH21" s="25"/>
      <c r="AI21" s="25"/>
      <c r="AJ21" s="54"/>
      <c r="AK21" s="55" t="str">
        <f t="shared" si="8"/>
        <v/>
      </c>
      <c r="AL21" s="55"/>
      <c r="AM21" s="56"/>
      <c r="AN21" s="168"/>
      <c r="AO21" s="168"/>
      <c r="AP21" s="168"/>
      <c r="AQ21" s="168"/>
      <c r="AR21" s="168"/>
      <c r="AS21" s="168"/>
      <c r="AT21" s="168"/>
      <c r="AU21" s="168"/>
      <c r="AV21" s="337">
        <f t="shared" si="2"/>
        <v>209</v>
      </c>
      <c r="AW21" s="236">
        <f t="shared" si="3"/>
        <v>170</v>
      </c>
      <c r="AX21" s="213">
        <v>38887</v>
      </c>
      <c r="AY21" s="336">
        <v>205.42857142857142</v>
      </c>
      <c r="AZ21" s="236">
        <f t="shared" si="4"/>
        <v>187</v>
      </c>
      <c r="BA21" s="213">
        <v>39269</v>
      </c>
      <c r="BB21" s="336">
        <v>277</v>
      </c>
      <c r="BC21" s="236">
        <f t="shared" si="5"/>
        <v>193</v>
      </c>
      <c r="BD21" s="182"/>
      <c r="BE21" s="134"/>
      <c r="BF21" s="182">
        <v>212</v>
      </c>
      <c r="BG21" s="213"/>
      <c r="BH21" s="134"/>
      <c r="BI21" s="182">
        <v>204</v>
      </c>
      <c r="BJ21" s="213"/>
      <c r="BK21" s="134"/>
      <c r="BL21" s="182">
        <v>174</v>
      </c>
      <c r="BM21" s="213"/>
      <c r="BN21" s="134"/>
      <c r="BO21" s="168"/>
    </row>
    <row r="22" spans="1:67">
      <c r="A22" s="16" t="s">
        <v>30</v>
      </c>
      <c r="B22" s="65"/>
      <c r="C22" s="24"/>
      <c r="D22" s="23"/>
      <c r="E22" s="24"/>
      <c r="F22" s="24"/>
      <c r="G22" s="24"/>
      <c r="H22" s="24"/>
      <c r="I22" s="24"/>
      <c r="J22" s="24"/>
      <c r="K22" s="26"/>
      <c r="L22" s="26"/>
      <c r="M22" s="27"/>
      <c r="N22" s="23"/>
      <c r="O22" s="24"/>
      <c r="P22" s="24"/>
      <c r="Q22" s="24"/>
      <c r="R22" s="24"/>
      <c r="S22" s="24"/>
      <c r="T22" s="24"/>
      <c r="U22" s="26"/>
      <c r="V22" s="26"/>
      <c r="W22" s="27"/>
      <c r="X22" s="23"/>
      <c r="Y22" s="24"/>
      <c r="Z22" s="24"/>
      <c r="AA22" s="24"/>
      <c r="AB22" s="25"/>
      <c r="AC22" s="22"/>
      <c r="AD22" s="23"/>
      <c r="AE22" s="24"/>
      <c r="AF22" s="24"/>
      <c r="AG22" s="24"/>
      <c r="AH22" s="25"/>
      <c r="AI22" s="25"/>
      <c r="AJ22" s="54"/>
      <c r="AK22" s="55" t="str">
        <f t="shared" si="8"/>
        <v/>
      </c>
      <c r="AL22" s="55"/>
      <c r="AM22" s="56"/>
      <c r="AN22" s="168"/>
      <c r="AO22" s="168"/>
      <c r="AP22" s="168"/>
      <c r="AQ22" s="168"/>
      <c r="AR22" s="168"/>
      <c r="AS22" s="168"/>
      <c r="AT22" s="168"/>
      <c r="AU22" s="168"/>
      <c r="AV22" s="337">
        <f t="shared" si="2"/>
        <v>209</v>
      </c>
      <c r="AW22" s="236">
        <f t="shared" si="3"/>
        <v>172</v>
      </c>
      <c r="AX22" s="213">
        <v>38889</v>
      </c>
      <c r="AY22" s="336">
        <v>211</v>
      </c>
      <c r="AZ22" s="236">
        <f t="shared" si="4"/>
        <v>194</v>
      </c>
      <c r="BA22" s="213">
        <v>39276</v>
      </c>
      <c r="BB22" s="336">
        <v>279.5</v>
      </c>
      <c r="BC22" s="236">
        <f t="shared" si="5"/>
        <v>193</v>
      </c>
      <c r="BD22" s="182"/>
      <c r="BE22" s="134"/>
      <c r="BF22" s="182">
        <v>212</v>
      </c>
      <c r="BG22" s="213"/>
      <c r="BH22" s="134"/>
      <c r="BI22" s="182">
        <v>204</v>
      </c>
      <c r="BJ22" s="213"/>
      <c r="BK22" s="134"/>
      <c r="BL22" s="182">
        <v>174</v>
      </c>
      <c r="BM22" s="213"/>
      <c r="BN22" s="134"/>
      <c r="BO22" s="168"/>
    </row>
    <row r="23" spans="1:67">
      <c r="A23" s="16" t="s">
        <v>30</v>
      </c>
      <c r="B23" s="65"/>
      <c r="C23" s="24"/>
      <c r="D23" s="23"/>
      <c r="E23" s="24"/>
      <c r="F23" s="24"/>
      <c r="G23" s="24"/>
      <c r="H23" s="24"/>
      <c r="I23" s="24"/>
      <c r="J23" s="24"/>
      <c r="K23" s="26"/>
      <c r="L23" s="26"/>
      <c r="M23" s="27"/>
      <c r="N23" s="23"/>
      <c r="O23" s="24"/>
      <c r="P23" s="24"/>
      <c r="Q23" s="24"/>
      <c r="R23" s="24"/>
      <c r="S23" s="24"/>
      <c r="T23" s="24"/>
      <c r="U23" s="26"/>
      <c r="V23" s="26"/>
      <c r="W23" s="27"/>
      <c r="X23" s="23"/>
      <c r="Y23" s="24"/>
      <c r="Z23" s="24"/>
      <c r="AA23" s="24"/>
      <c r="AB23" s="25"/>
      <c r="AC23" s="22"/>
      <c r="AD23" s="23"/>
      <c r="AE23" s="24"/>
      <c r="AF23" s="24"/>
      <c r="AG23" s="24"/>
      <c r="AH23" s="25"/>
      <c r="AI23" s="25"/>
      <c r="AJ23" s="54"/>
      <c r="AK23" s="55" t="str">
        <f t="shared" si="8"/>
        <v/>
      </c>
      <c r="AL23" s="55"/>
      <c r="AM23" s="56"/>
      <c r="AN23" s="168"/>
      <c r="AO23" s="168"/>
      <c r="AP23" s="168"/>
      <c r="AQ23" s="168"/>
      <c r="AR23" s="168"/>
      <c r="AS23" s="168"/>
      <c r="AT23" s="168"/>
      <c r="AU23" s="168"/>
      <c r="AV23" s="337">
        <f t="shared" si="2"/>
        <v>209</v>
      </c>
      <c r="AW23" s="236">
        <f t="shared" si="3"/>
        <v>177</v>
      </c>
      <c r="AX23" s="213">
        <v>38894</v>
      </c>
      <c r="AY23" s="336">
        <v>212</v>
      </c>
      <c r="AZ23" s="236">
        <f t="shared" si="4"/>
        <v>201</v>
      </c>
      <c r="BA23" s="213">
        <v>39283</v>
      </c>
      <c r="BB23" s="336">
        <v>279.5</v>
      </c>
      <c r="BC23" s="236">
        <f t="shared" si="5"/>
        <v>193</v>
      </c>
      <c r="BD23" s="182"/>
      <c r="BE23" s="134"/>
      <c r="BF23" s="182">
        <v>212</v>
      </c>
      <c r="BG23" s="213"/>
      <c r="BH23" s="134"/>
      <c r="BI23" s="182">
        <v>204</v>
      </c>
      <c r="BJ23" s="213"/>
      <c r="BK23" s="134"/>
      <c r="BL23" s="182">
        <v>174</v>
      </c>
      <c r="BM23" s="213"/>
      <c r="BN23" s="134"/>
      <c r="BO23" s="168"/>
    </row>
    <row r="24" spans="1:67">
      <c r="A24" s="16" t="s">
        <v>30</v>
      </c>
      <c r="B24" s="65"/>
      <c r="C24" s="24"/>
      <c r="D24" s="23"/>
      <c r="E24" s="24"/>
      <c r="F24" s="24"/>
      <c r="G24" s="24"/>
      <c r="H24" s="24"/>
      <c r="I24" s="24"/>
      <c r="J24" s="24"/>
      <c r="K24" s="26"/>
      <c r="L24" s="26"/>
      <c r="M24" s="27"/>
      <c r="N24" s="23"/>
      <c r="O24" s="24"/>
      <c r="P24" s="24"/>
      <c r="Q24" s="24"/>
      <c r="R24" s="24"/>
      <c r="S24" s="24"/>
      <c r="T24" s="24"/>
      <c r="U24" s="26"/>
      <c r="V24" s="26"/>
      <c r="W24" s="27"/>
      <c r="X24" s="23"/>
      <c r="Y24" s="24"/>
      <c r="Z24" s="24"/>
      <c r="AA24" s="24"/>
      <c r="AB24" s="25"/>
      <c r="AC24" s="22"/>
      <c r="AD24" s="23"/>
      <c r="AE24" s="24"/>
      <c r="AF24" s="24"/>
      <c r="AG24" s="24"/>
      <c r="AH24" s="25"/>
      <c r="AI24" s="25"/>
      <c r="AJ24" s="54"/>
      <c r="AK24" s="55" t="str">
        <f t="shared" si="8"/>
        <v/>
      </c>
      <c r="AL24" s="55"/>
      <c r="AM24" s="56"/>
      <c r="AN24" s="168"/>
      <c r="AO24" s="168"/>
      <c r="AP24" s="168"/>
      <c r="AQ24" s="168"/>
      <c r="AR24" s="168"/>
      <c r="AS24" s="168"/>
      <c r="AT24" s="168"/>
      <c r="AU24" s="168"/>
      <c r="AV24" s="337">
        <f t="shared" si="2"/>
        <v>209</v>
      </c>
      <c r="AW24" s="236">
        <f t="shared" si="3"/>
        <v>179</v>
      </c>
      <c r="AX24" s="213">
        <v>38896</v>
      </c>
      <c r="AY24" s="336">
        <v>212.57142857142858</v>
      </c>
      <c r="AZ24" s="236">
        <f t="shared" si="4"/>
        <v>201</v>
      </c>
      <c r="BA24" s="213"/>
      <c r="BB24" s="134"/>
      <c r="BC24" s="236">
        <f t="shared" si="5"/>
        <v>193</v>
      </c>
      <c r="BD24" s="182"/>
      <c r="BE24" s="134"/>
      <c r="BF24" s="182">
        <v>212</v>
      </c>
      <c r="BG24" s="213"/>
      <c r="BH24" s="134"/>
      <c r="BI24" s="182">
        <v>204</v>
      </c>
      <c r="BJ24" s="213"/>
      <c r="BK24" s="134"/>
      <c r="BL24" s="182">
        <v>174</v>
      </c>
      <c r="BM24" s="213"/>
      <c r="BN24" s="134"/>
      <c r="BO24" s="168"/>
    </row>
    <row r="25" spans="1:67">
      <c r="A25" s="16" t="s">
        <v>30</v>
      </c>
      <c r="B25" s="65"/>
      <c r="C25" s="24"/>
      <c r="D25" s="23"/>
      <c r="E25" s="24"/>
      <c r="F25" s="24"/>
      <c r="G25" s="24"/>
      <c r="H25" s="24"/>
      <c r="I25" s="24"/>
      <c r="J25" s="24"/>
      <c r="K25" s="26"/>
      <c r="L25" s="26"/>
      <c r="M25" s="27"/>
      <c r="N25" s="23"/>
      <c r="O25" s="24"/>
      <c r="P25" s="24"/>
      <c r="Q25" s="24"/>
      <c r="R25" s="24"/>
      <c r="S25" s="24"/>
      <c r="T25" s="24"/>
      <c r="U25" s="26"/>
      <c r="V25" s="26"/>
      <c r="W25" s="27"/>
      <c r="X25" s="23"/>
      <c r="Y25" s="24"/>
      <c r="Z25" s="24"/>
      <c r="AA25" s="24"/>
      <c r="AB25" s="25"/>
      <c r="AC25" s="22"/>
      <c r="AD25" s="23"/>
      <c r="AE25" s="24"/>
      <c r="AF25" s="24"/>
      <c r="AG25" s="24"/>
      <c r="AH25" s="25"/>
      <c r="AI25" s="25"/>
      <c r="AJ25" s="54"/>
      <c r="AK25" s="55" t="str">
        <f t="shared" si="8"/>
        <v/>
      </c>
      <c r="AL25" s="55"/>
      <c r="AM25" s="56"/>
      <c r="AN25" s="168"/>
      <c r="AO25" s="168"/>
      <c r="AP25" s="168"/>
      <c r="AQ25" s="168"/>
      <c r="AR25" s="168"/>
      <c r="AS25" s="168"/>
      <c r="AT25" s="168"/>
      <c r="AU25" s="168"/>
      <c r="AV25" s="337">
        <f t="shared" si="2"/>
        <v>209</v>
      </c>
      <c r="AW25" s="236">
        <f t="shared" si="3"/>
        <v>187</v>
      </c>
      <c r="AX25" s="213">
        <v>38904</v>
      </c>
      <c r="AY25" s="336">
        <v>213</v>
      </c>
      <c r="AZ25" s="236">
        <f t="shared" si="4"/>
        <v>201</v>
      </c>
      <c r="BA25" s="213"/>
      <c r="BB25" s="134"/>
      <c r="BC25" s="236">
        <f t="shared" si="5"/>
        <v>193</v>
      </c>
      <c r="BD25" s="182"/>
      <c r="BE25" s="134"/>
      <c r="BF25" s="182">
        <v>212</v>
      </c>
      <c r="BG25" s="213"/>
      <c r="BH25" s="134"/>
      <c r="BI25" s="182">
        <v>204</v>
      </c>
      <c r="BJ25" s="213"/>
      <c r="BK25" s="134"/>
      <c r="BL25" s="182">
        <v>174</v>
      </c>
      <c r="BM25" s="213"/>
      <c r="BN25" s="134"/>
      <c r="BO25" s="168"/>
    </row>
    <row r="26" spans="1:67">
      <c r="A26" s="16" t="s">
        <v>30</v>
      </c>
      <c r="B26" s="65"/>
      <c r="C26" s="24"/>
      <c r="D26" s="23"/>
      <c r="E26" s="24"/>
      <c r="F26" s="24"/>
      <c r="G26" s="24"/>
      <c r="H26" s="24"/>
      <c r="I26" s="24"/>
      <c r="J26" s="24"/>
      <c r="K26" s="26"/>
      <c r="L26" s="26"/>
      <c r="M26" s="27"/>
      <c r="N26" s="23"/>
      <c r="O26" s="24"/>
      <c r="P26" s="24"/>
      <c r="Q26" s="24"/>
      <c r="R26" s="24"/>
      <c r="S26" s="24"/>
      <c r="T26" s="24"/>
      <c r="U26" s="26"/>
      <c r="V26" s="26"/>
      <c r="W26" s="27"/>
      <c r="X26" s="23"/>
      <c r="Y26" s="24"/>
      <c r="Z26" s="24"/>
      <c r="AA26" s="24"/>
      <c r="AB26" s="25"/>
      <c r="AC26" s="22"/>
      <c r="AD26" s="23"/>
      <c r="AE26" s="24"/>
      <c r="AF26" s="24"/>
      <c r="AG26" s="24"/>
      <c r="AH26" s="25"/>
      <c r="AI26" s="25"/>
      <c r="AJ26" s="54"/>
      <c r="AK26" s="55" t="str">
        <f t="shared" si="8"/>
        <v/>
      </c>
      <c r="AL26" s="55"/>
      <c r="AM26" s="56"/>
      <c r="AN26" s="168"/>
      <c r="AO26" s="168"/>
      <c r="AP26" s="168"/>
      <c r="AQ26" s="168"/>
      <c r="AR26" s="168"/>
      <c r="AS26" s="168"/>
      <c r="AT26" s="168"/>
      <c r="AU26" s="168"/>
      <c r="AV26" s="337">
        <f t="shared" si="2"/>
        <v>209</v>
      </c>
      <c r="AW26" s="236">
        <f t="shared" si="3"/>
        <v>209</v>
      </c>
      <c r="AX26" s="213">
        <v>38926</v>
      </c>
      <c r="AY26" s="336">
        <v>217.71428571428572</v>
      </c>
      <c r="AZ26" s="236">
        <f t="shared" si="4"/>
        <v>201</v>
      </c>
      <c r="BA26" s="213"/>
      <c r="BB26" s="134"/>
      <c r="BC26" s="236">
        <f t="shared" si="5"/>
        <v>193</v>
      </c>
      <c r="BD26" s="182"/>
      <c r="BE26" s="134"/>
      <c r="BF26" s="182">
        <v>212</v>
      </c>
      <c r="BG26" s="213"/>
      <c r="BH26" s="134"/>
      <c r="BI26" s="182">
        <v>204</v>
      </c>
      <c r="BJ26" s="213"/>
      <c r="BK26" s="134"/>
      <c r="BL26" s="182">
        <v>174</v>
      </c>
      <c r="BM26" s="213"/>
      <c r="BN26" s="134"/>
      <c r="BO26" s="168"/>
    </row>
    <row r="27" spans="1:67">
      <c r="A27" s="16" t="s">
        <v>30</v>
      </c>
      <c r="B27" s="65"/>
      <c r="C27" s="24"/>
      <c r="D27" s="23"/>
      <c r="E27" s="24"/>
      <c r="F27" s="24"/>
      <c r="G27" s="24"/>
      <c r="H27" s="24"/>
      <c r="I27" s="24"/>
      <c r="J27" s="24"/>
      <c r="K27" s="26"/>
      <c r="L27" s="26"/>
      <c r="M27" s="27"/>
      <c r="N27" s="23"/>
      <c r="O27" s="24"/>
      <c r="P27" s="24"/>
      <c r="Q27" s="24"/>
      <c r="R27" s="24"/>
      <c r="S27" s="24"/>
      <c r="T27" s="24"/>
      <c r="U27" s="26"/>
      <c r="V27" s="26"/>
      <c r="W27" s="27"/>
      <c r="X27" s="23"/>
      <c r="Y27" s="24"/>
      <c r="Z27" s="24"/>
      <c r="AA27" s="24"/>
      <c r="AB27" s="25"/>
      <c r="AC27" s="22"/>
      <c r="AD27" s="23"/>
      <c r="AE27" s="24"/>
      <c r="AF27" s="24"/>
      <c r="AG27" s="24"/>
      <c r="AH27" s="25"/>
      <c r="AI27" s="25"/>
      <c r="AJ27" s="54"/>
      <c r="AK27" s="55" t="str">
        <f t="shared" si="8"/>
        <v/>
      </c>
      <c r="AL27" s="55"/>
      <c r="AM27" s="56"/>
      <c r="AN27" s="168"/>
      <c r="AO27" s="168"/>
      <c r="AP27" s="168"/>
      <c r="AQ27" s="168"/>
      <c r="AR27" s="168"/>
      <c r="AS27" s="168"/>
      <c r="AT27" s="168"/>
      <c r="AU27" s="168"/>
      <c r="AV27" s="337">
        <f t="shared" si="2"/>
        <v>209</v>
      </c>
      <c r="AW27" s="236">
        <f t="shared" si="3"/>
        <v>209</v>
      </c>
      <c r="AX27" s="213"/>
      <c r="AY27" s="134"/>
      <c r="AZ27" s="236">
        <f t="shared" si="4"/>
        <v>201</v>
      </c>
      <c r="BA27" s="213"/>
      <c r="BB27" s="134"/>
      <c r="BC27" s="236">
        <f t="shared" si="5"/>
        <v>193</v>
      </c>
      <c r="BD27" s="182"/>
      <c r="BE27" s="134"/>
      <c r="BF27" s="182">
        <v>212</v>
      </c>
      <c r="BG27" s="213"/>
      <c r="BH27" s="134"/>
      <c r="BI27" s="182">
        <v>204</v>
      </c>
      <c r="BJ27" s="213"/>
      <c r="BK27" s="134"/>
      <c r="BL27" s="182">
        <v>174</v>
      </c>
      <c r="BM27" s="213"/>
      <c r="BN27" s="134"/>
      <c r="BO27" s="168"/>
    </row>
    <row r="28" spans="1:67">
      <c r="A28" s="16" t="s">
        <v>30</v>
      </c>
      <c r="B28" s="65"/>
      <c r="C28" s="24"/>
      <c r="D28" s="23"/>
      <c r="E28" s="24"/>
      <c r="F28" s="24"/>
      <c r="G28" s="24"/>
      <c r="H28" s="24"/>
      <c r="I28" s="24"/>
      <c r="J28" s="24"/>
      <c r="K28" s="26"/>
      <c r="L28" s="26"/>
      <c r="M28" s="27"/>
      <c r="N28" s="23"/>
      <c r="O28" s="24"/>
      <c r="P28" s="24"/>
      <c r="Q28" s="24"/>
      <c r="R28" s="24"/>
      <c r="S28" s="24"/>
      <c r="T28" s="24"/>
      <c r="U28" s="26"/>
      <c r="V28" s="26"/>
      <c r="W28" s="27"/>
      <c r="X28" s="23"/>
      <c r="Y28" s="24"/>
      <c r="Z28" s="24"/>
      <c r="AA28" s="24"/>
      <c r="AB28" s="25"/>
      <c r="AC28" s="22"/>
      <c r="AD28" s="23"/>
      <c r="AE28" s="24"/>
      <c r="AF28" s="24"/>
      <c r="AG28" s="24"/>
      <c r="AH28" s="25"/>
      <c r="AI28" s="25"/>
      <c r="AJ28" s="54"/>
      <c r="AK28" s="55" t="str">
        <f t="shared" si="8"/>
        <v/>
      </c>
      <c r="AL28" s="55"/>
      <c r="AM28" s="56"/>
      <c r="AN28" s="168"/>
      <c r="AO28" s="168"/>
      <c r="AP28" s="168"/>
      <c r="AQ28" s="168"/>
      <c r="AR28" s="168"/>
      <c r="AS28" s="168"/>
      <c r="AT28" s="168"/>
      <c r="AU28" s="168"/>
      <c r="AV28" s="337">
        <f t="shared" si="2"/>
        <v>209</v>
      </c>
      <c r="AW28" s="236">
        <f t="shared" si="3"/>
        <v>209</v>
      </c>
      <c r="AX28" s="213"/>
      <c r="AY28" s="134"/>
      <c r="AZ28" s="236">
        <f t="shared" si="4"/>
        <v>201</v>
      </c>
      <c r="BA28" s="213"/>
      <c r="BB28" s="134"/>
      <c r="BC28" s="236">
        <f t="shared" si="5"/>
        <v>193</v>
      </c>
      <c r="BD28" s="182"/>
      <c r="BE28" s="134"/>
      <c r="BF28" s="182">
        <v>212</v>
      </c>
      <c r="BG28" s="213"/>
      <c r="BH28" s="134"/>
      <c r="BI28" s="182">
        <v>204</v>
      </c>
      <c r="BJ28" s="213"/>
      <c r="BK28" s="134"/>
      <c r="BL28" s="182">
        <v>174</v>
      </c>
      <c r="BM28" s="213"/>
      <c r="BN28" s="134"/>
      <c r="BO28" s="168"/>
    </row>
    <row r="29" spans="1:67">
      <c r="A29" s="16" t="s">
        <v>30</v>
      </c>
      <c r="B29" s="65"/>
      <c r="C29" s="24"/>
      <c r="D29" s="23"/>
      <c r="E29" s="24"/>
      <c r="F29" s="24"/>
      <c r="G29" s="24"/>
      <c r="H29" s="24"/>
      <c r="I29" s="24"/>
      <c r="J29" s="24"/>
      <c r="K29" s="26"/>
      <c r="L29" s="26"/>
      <c r="M29" s="27"/>
      <c r="N29" s="23"/>
      <c r="O29" s="24"/>
      <c r="P29" s="24"/>
      <c r="Q29" s="24"/>
      <c r="R29" s="24"/>
      <c r="S29" s="24"/>
      <c r="T29" s="24"/>
      <c r="U29" s="26"/>
      <c r="V29" s="26"/>
      <c r="W29" s="27"/>
      <c r="X29" s="23"/>
      <c r="Y29" s="24"/>
      <c r="Z29" s="24"/>
      <c r="AA29" s="24"/>
      <c r="AB29" s="25"/>
      <c r="AC29" s="22"/>
      <c r="AD29" s="23"/>
      <c r="AE29" s="24"/>
      <c r="AF29" s="24"/>
      <c r="AG29" s="24"/>
      <c r="AH29" s="25"/>
      <c r="AI29" s="25"/>
      <c r="AJ29" s="54"/>
      <c r="AK29" s="55" t="str">
        <f t="shared" si="8"/>
        <v/>
      </c>
      <c r="AL29" s="55"/>
      <c r="AM29" s="56"/>
      <c r="AN29" s="168"/>
      <c r="AO29" s="168"/>
      <c r="AP29" s="168"/>
      <c r="AQ29" s="168"/>
      <c r="AR29" s="168"/>
      <c r="AS29" s="168"/>
      <c r="AT29" s="168"/>
      <c r="AU29" s="168"/>
      <c r="AV29" s="337">
        <f t="shared" si="2"/>
        <v>209</v>
      </c>
      <c r="AW29" s="236">
        <f t="shared" si="3"/>
        <v>209</v>
      </c>
      <c r="AX29" s="213"/>
      <c r="AY29" s="134"/>
      <c r="AZ29" s="236">
        <f t="shared" si="4"/>
        <v>201</v>
      </c>
      <c r="BA29" s="213"/>
      <c r="BB29" s="134"/>
      <c r="BC29" s="236">
        <f t="shared" si="5"/>
        <v>193</v>
      </c>
      <c r="BD29" s="182"/>
      <c r="BE29" s="134"/>
      <c r="BF29" s="182">
        <v>212</v>
      </c>
      <c r="BG29" s="213"/>
      <c r="BH29" s="134"/>
      <c r="BI29" s="182">
        <v>204</v>
      </c>
      <c r="BJ29" s="213"/>
      <c r="BK29" s="134"/>
      <c r="BL29" s="182">
        <v>174</v>
      </c>
      <c r="BM29" s="213"/>
      <c r="BN29" s="134"/>
      <c r="BO29" s="168"/>
    </row>
    <row r="30" spans="1:67">
      <c r="A30" s="16" t="s">
        <v>30</v>
      </c>
      <c r="B30" s="65"/>
      <c r="C30" s="24"/>
      <c r="D30" s="23"/>
      <c r="E30" s="24"/>
      <c r="F30" s="24"/>
      <c r="G30" s="24"/>
      <c r="H30" s="24"/>
      <c r="I30" s="24"/>
      <c r="J30" s="24"/>
      <c r="K30" s="26"/>
      <c r="L30" s="26"/>
      <c r="M30" s="27"/>
      <c r="N30" s="23"/>
      <c r="O30" s="24"/>
      <c r="P30" s="24"/>
      <c r="Q30" s="24"/>
      <c r="R30" s="24"/>
      <c r="S30" s="24"/>
      <c r="T30" s="24"/>
      <c r="U30" s="26"/>
      <c r="V30" s="26"/>
      <c r="W30" s="27"/>
      <c r="X30" s="23"/>
      <c r="Y30" s="24"/>
      <c r="Z30" s="24"/>
      <c r="AA30" s="24"/>
      <c r="AB30" s="25"/>
      <c r="AC30" s="22"/>
      <c r="AD30" s="23"/>
      <c r="AE30" s="24"/>
      <c r="AF30" s="24"/>
      <c r="AG30" s="24"/>
      <c r="AH30" s="25"/>
      <c r="AI30" s="25"/>
      <c r="AJ30" s="54"/>
      <c r="AK30" s="55" t="str">
        <f t="shared" si="8"/>
        <v/>
      </c>
      <c r="AL30" s="55"/>
      <c r="AM30" s="56"/>
      <c r="AN30" s="168"/>
      <c r="AO30" s="168"/>
      <c r="AP30" s="168"/>
      <c r="AQ30" s="168"/>
      <c r="AR30" s="168"/>
      <c r="AS30" s="168"/>
      <c r="AT30" s="168"/>
      <c r="AU30" s="168"/>
      <c r="AV30" s="337">
        <f t="shared" si="2"/>
        <v>209</v>
      </c>
      <c r="AW30" s="236">
        <f t="shared" si="3"/>
        <v>209</v>
      </c>
      <c r="AX30" s="213"/>
      <c r="AY30" s="134"/>
      <c r="AZ30" s="236">
        <f t="shared" si="4"/>
        <v>201</v>
      </c>
      <c r="BA30" s="213"/>
      <c r="BB30" s="134"/>
      <c r="BC30" s="236">
        <f t="shared" si="5"/>
        <v>193</v>
      </c>
      <c r="BD30" s="182"/>
      <c r="BE30" s="134"/>
      <c r="BF30" s="182">
        <v>212</v>
      </c>
      <c r="BG30" s="213"/>
      <c r="BH30" s="134"/>
      <c r="BI30" s="182">
        <v>204</v>
      </c>
      <c r="BJ30" s="213"/>
      <c r="BK30" s="134"/>
      <c r="BL30" s="182">
        <v>174</v>
      </c>
      <c r="BM30" s="213"/>
      <c r="BN30" s="134"/>
      <c r="BO30" s="168"/>
    </row>
    <row r="31" spans="1:67">
      <c r="A31" s="16" t="s">
        <v>30</v>
      </c>
      <c r="B31" s="65"/>
      <c r="C31" s="24"/>
      <c r="D31" s="23"/>
      <c r="E31" s="24"/>
      <c r="F31" s="24"/>
      <c r="G31" s="24"/>
      <c r="H31" s="24"/>
      <c r="I31" s="24"/>
      <c r="J31" s="24"/>
      <c r="K31" s="26"/>
      <c r="L31" s="26"/>
      <c r="M31" s="27"/>
      <c r="N31" s="23"/>
      <c r="O31" s="24"/>
      <c r="P31" s="24"/>
      <c r="Q31" s="24"/>
      <c r="R31" s="24"/>
      <c r="S31" s="24"/>
      <c r="T31" s="24"/>
      <c r="U31" s="26"/>
      <c r="V31" s="26"/>
      <c r="W31" s="27"/>
      <c r="X31" s="23"/>
      <c r="Y31" s="24"/>
      <c r="Z31" s="24"/>
      <c r="AA31" s="24"/>
      <c r="AB31" s="25"/>
      <c r="AC31" s="22"/>
      <c r="AD31" s="23"/>
      <c r="AE31" s="24"/>
      <c r="AF31" s="24"/>
      <c r="AG31" s="24"/>
      <c r="AH31" s="25"/>
      <c r="AI31" s="25"/>
      <c r="AJ31" s="54"/>
      <c r="AK31" s="55" t="str">
        <f t="shared" si="8"/>
        <v/>
      </c>
      <c r="AL31" s="55"/>
      <c r="AM31" s="56"/>
      <c r="AN31" s="168"/>
      <c r="AO31" s="168"/>
      <c r="AP31" s="168"/>
      <c r="AQ31" s="168"/>
      <c r="AR31" s="168"/>
      <c r="AS31" s="168"/>
      <c r="AT31" s="168"/>
      <c r="AU31" s="168"/>
      <c r="AV31" s="337">
        <f t="shared" si="2"/>
        <v>209</v>
      </c>
      <c r="AW31" s="236">
        <f t="shared" si="3"/>
        <v>209</v>
      </c>
      <c r="AX31" s="213"/>
      <c r="AY31" s="134"/>
      <c r="AZ31" s="236">
        <f t="shared" si="4"/>
        <v>201</v>
      </c>
      <c r="BA31" s="213"/>
      <c r="BB31" s="134"/>
      <c r="BC31" s="236">
        <f t="shared" si="5"/>
        <v>193</v>
      </c>
      <c r="BD31" s="182"/>
      <c r="BE31" s="134"/>
      <c r="BF31" s="182">
        <v>212</v>
      </c>
      <c r="BG31" s="213"/>
      <c r="BH31" s="134"/>
      <c r="BI31" s="182">
        <v>204</v>
      </c>
      <c r="BJ31" s="213"/>
      <c r="BK31" s="134"/>
      <c r="BL31" s="182">
        <v>174</v>
      </c>
      <c r="BM31" s="213"/>
      <c r="BN31" s="134"/>
      <c r="BO31" s="168"/>
    </row>
    <row r="32" spans="1:67">
      <c r="A32" s="16" t="s">
        <v>30</v>
      </c>
      <c r="B32" s="65"/>
      <c r="C32" s="24"/>
      <c r="D32" s="23"/>
      <c r="E32" s="24"/>
      <c r="F32" s="24"/>
      <c r="G32" s="24"/>
      <c r="H32" s="24"/>
      <c r="I32" s="24"/>
      <c r="J32" s="24"/>
      <c r="K32" s="26"/>
      <c r="L32" s="26"/>
      <c r="M32" s="27"/>
      <c r="N32" s="23"/>
      <c r="O32" s="24"/>
      <c r="P32" s="24"/>
      <c r="Q32" s="24"/>
      <c r="R32" s="24"/>
      <c r="S32" s="24"/>
      <c r="T32" s="24"/>
      <c r="U32" s="26"/>
      <c r="V32" s="26"/>
      <c r="W32" s="27"/>
      <c r="X32" s="23"/>
      <c r="Y32" s="24"/>
      <c r="Z32" s="24"/>
      <c r="AA32" s="24"/>
      <c r="AB32" s="25"/>
      <c r="AC32" s="22"/>
      <c r="AD32" s="23"/>
      <c r="AE32" s="24"/>
      <c r="AF32" s="24"/>
      <c r="AG32" s="24"/>
      <c r="AH32" s="25"/>
      <c r="AI32" s="25"/>
      <c r="AJ32" s="54"/>
      <c r="AK32" s="55" t="str">
        <f t="shared" si="8"/>
        <v/>
      </c>
      <c r="AL32" s="55"/>
      <c r="AM32" s="56"/>
      <c r="AN32" s="168"/>
      <c r="AO32" s="168"/>
      <c r="AP32" s="168"/>
      <c r="AQ32" s="168"/>
      <c r="AR32" s="168"/>
      <c r="AS32" s="168"/>
      <c r="AT32" s="168"/>
      <c r="AU32" s="168"/>
      <c r="AV32" s="337">
        <f t="shared" si="2"/>
        <v>209</v>
      </c>
      <c r="AW32" s="236">
        <f t="shared" si="3"/>
        <v>209</v>
      </c>
      <c r="AX32" s="213"/>
      <c r="AY32" s="134"/>
      <c r="AZ32" s="236">
        <f t="shared" si="4"/>
        <v>201</v>
      </c>
      <c r="BA32" s="213"/>
      <c r="BB32" s="134"/>
      <c r="BC32" s="236">
        <f t="shared" si="5"/>
        <v>193</v>
      </c>
      <c r="BD32" s="182"/>
      <c r="BE32" s="134"/>
      <c r="BF32" s="182">
        <v>212</v>
      </c>
      <c r="BG32" s="213"/>
      <c r="BH32" s="134"/>
      <c r="BI32" s="182">
        <v>204</v>
      </c>
      <c r="BJ32" s="213"/>
      <c r="BK32" s="134"/>
      <c r="BL32" s="182">
        <v>174</v>
      </c>
      <c r="BM32" s="213"/>
      <c r="BN32" s="134"/>
      <c r="BO32" s="168"/>
    </row>
    <row r="33" spans="1:67">
      <c r="A33" s="16" t="s">
        <v>30</v>
      </c>
      <c r="B33" s="65"/>
      <c r="C33" s="24"/>
      <c r="D33" s="23"/>
      <c r="E33" s="24"/>
      <c r="F33" s="24"/>
      <c r="G33" s="24"/>
      <c r="H33" s="24"/>
      <c r="I33" s="24"/>
      <c r="J33" s="24"/>
      <c r="K33" s="26"/>
      <c r="L33" s="26"/>
      <c r="M33" s="27"/>
      <c r="N33" s="23"/>
      <c r="O33" s="24"/>
      <c r="P33" s="24"/>
      <c r="Q33" s="24"/>
      <c r="R33" s="24"/>
      <c r="S33" s="24"/>
      <c r="T33" s="24"/>
      <c r="U33" s="26"/>
      <c r="V33" s="26"/>
      <c r="W33" s="27"/>
      <c r="X33" s="23"/>
      <c r="Y33" s="24"/>
      <c r="Z33" s="24"/>
      <c r="AA33" s="24"/>
      <c r="AB33" s="25"/>
      <c r="AC33" s="22"/>
      <c r="AD33" s="23"/>
      <c r="AE33" s="24"/>
      <c r="AF33" s="24"/>
      <c r="AG33" s="24"/>
      <c r="AH33" s="25"/>
      <c r="AI33" s="25"/>
      <c r="AJ33" s="54"/>
      <c r="AK33" s="55" t="str">
        <f t="shared" si="8"/>
        <v/>
      </c>
      <c r="AL33" s="55"/>
      <c r="AM33" s="56"/>
      <c r="AN33" s="168"/>
      <c r="AO33" s="168"/>
      <c r="AP33" s="168"/>
      <c r="AQ33" s="168"/>
      <c r="AR33" s="168"/>
      <c r="AS33" s="168"/>
      <c r="AT33" s="168"/>
      <c r="AU33" s="168"/>
      <c r="AV33" s="337">
        <f t="shared" si="2"/>
        <v>209</v>
      </c>
      <c r="AW33" s="236">
        <f t="shared" si="3"/>
        <v>209</v>
      </c>
      <c r="AX33" s="213"/>
      <c r="AY33" s="134"/>
      <c r="AZ33" s="236">
        <f t="shared" si="4"/>
        <v>201</v>
      </c>
      <c r="BA33" s="213"/>
      <c r="BB33" s="134"/>
      <c r="BC33" s="236">
        <f t="shared" si="5"/>
        <v>193</v>
      </c>
      <c r="BD33" s="182"/>
      <c r="BE33" s="134"/>
      <c r="BF33" s="182">
        <v>212</v>
      </c>
      <c r="BG33" s="213"/>
      <c r="BH33" s="134"/>
      <c r="BI33" s="182">
        <v>204</v>
      </c>
      <c r="BJ33" s="213"/>
      <c r="BK33" s="134"/>
      <c r="BL33" s="182">
        <v>174</v>
      </c>
      <c r="BM33" s="213"/>
      <c r="BN33" s="134"/>
      <c r="BO33" s="168"/>
    </row>
    <row r="34" spans="1:67" ht="13" thickBot="1">
      <c r="A34" s="17" t="s">
        <v>30</v>
      </c>
      <c r="B34" s="66"/>
      <c r="C34" s="32"/>
      <c r="D34" s="31"/>
      <c r="E34" s="32"/>
      <c r="F34" s="32"/>
      <c r="G34" s="32"/>
      <c r="H34" s="32"/>
      <c r="I34" s="32"/>
      <c r="J34" s="32"/>
      <c r="K34" s="34"/>
      <c r="L34" s="34"/>
      <c r="M34" s="35"/>
      <c r="N34" s="31"/>
      <c r="O34" s="32"/>
      <c r="P34" s="32"/>
      <c r="Q34" s="32"/>
      <c r="R34" s="32"/>
      <c r="S34" s="32"/>
      <c r="T34" s="32"/>
      <c r="U34" s="34"/>
      <c r="V34" s="34"/>
      <c r="W34" s="35"/>
      <c r="X34" s="31"/>
      <c r="Y34" s="32"/>
      <c r="Z34" s="32"/>
      <c r="AA34" s="32"/>
      <c r="AB34" s="33"/>
      <c r="AC34" s="30"/>
      <c r="AD34" s="31"/>
      <c r="AE34" s="32"/>
      <c r="AF34" s="32"/>
      <c r="AG34" s="32"/>
      <c r="AH34" s="33"/>
      <c r="AI34" s="33"/>
      <c r="AJ34" s="57"/>
      <c r="AK34" s="58" t="str">
        <f t="shared" si="8"/>
        <v/>
      </c>
      <c r="AL34" s="58"/>
      <c r="AM34" s="59"/>
      <c r="AN34" s="168"/>
      <c r="AO34" s="168"/>
      <c r="AP34" s="168"/>
      <c r="AQ34" s="168"/>
      <c r="AR34" s="168"/>
      <c r="AS34" s="168"/>
      <c r="AT34" s="168"/>
      <c r="AU34" s="168"/>
      <c r="AV34" s="338">
        <f t="shared" si="2"/>
        <v>209</v>
      </c>
      <c r="AW34" s="339">
        <f t="shared" si="3"/>
        <v>209</v>
      </c>
      <c r="AX34" s="329"/>
      <c r="AY34" s="331"/>
      <c r="AZ34" s="339">
        <f t="shared" si="4"/>
        <v>201</v>
      </c>
      <c r="BA34" s="329"/>
      <c r="BB34" s="331"/>
      <c r="BC34" s="339">
        <f t="shared" si="5"/>
        <v>193</v>
      </c>
      <c r="BD34" s="330"/>
      <c r="BE34" s="331"/>
      <c r="BF34" s="330">
        <v>212</v>
      </c>
      <c r="BG34" s="329"/>
      <c r="BH34" s="331"/>
      <c r="BI34" s="330">
        <v>204</v>
      </c>
      <c r="BJ34" s="329"/>
      <c r="BK34" s="331"/>
      <c r="BL34" s="330">
        <v>174</v>
      </c>
      <c r="BM34" s="329"/>
      <c r="BN34" s="331"/>
      <c r="BO34" s="168"/>
    </row>
    <row r="35" spans="1:67">
      <c r="A35" s="367" t="s">
        <v>31</v>
      </c>
      <c r="B35" s="67">
        <v>40995</v>
      </c>
      <c r="C35" s="40" t="s">
        <v>79</v>
      </c>
      <c r="D35" s="39">
        <v>12</v>
      </c>
      <c r="E35" s="40">
        <v>19</v>
      </c>
      <c r="F35" s="40">
        <v>14</v>
      </c>
      <c r="G35" s="40">
        <v>12</v>
      </c>
      <c r="H35" s="40">
        <v>15</v>
      </c>
      <c r="I35" s="40">
        <v>13</v>
      </c>
      <c r="J35" s="40">
        <v>13</v>
      </c>
      <c r="K35" s="42">
        <v>9</v>
      </c>
      <c r="L35" s="42">
        <v>13</v>
      </c>
      <c r="M35" s="43">
        <v>19</v>
      </c>
      <c r="N35" s="39"/>
      <c r="O35" s="40"/>
      <c r="P35" s="40"/>
      <c r="Q35" s="40"/>
      <c r="R35" s="40"/>
      <c r="S35" s="40"/>
      <c r="T35" s="40"/>
      <c r="U35" s="42"/>
      <c r="V35" s="42"/>
      <c r="W35" s="43"/>
      <c r="X35" s="23"/>
      <c r="Y35" s="24"/>
      <c r="Z35" s="24"/>
      <c r="AA35" s="24"/>
      <c r="AB35" s="25"/>
      <c r="AC35" s="22"/>
      <c r="AD35" s="23"/>
      <c r="AE35" s="24"/>
      <c r="AF35" s="24"/>
      <c r="AG35" s="24"/>
      <c r="AH35" s="25"/>
      <c r="AI35" s="25"/>
      <c r="AJ35" s="61">
        <f t="shared" ref="AJ35:AJ40" si="9">IF(COUNT(D35:M35)=0,"",AVERAGE(D35:M35))</f>
        <v>13.9</v>
      </c>
      <c r="AK35" s="62" t="str">
        <f t="shared" ref="AK35:AK40" si="10">IF(COUNT(N35:W35)=0,"",AVERAGE(N35:W35))</f>
        <v/>
      </c>
      <c r="AL35" s="62" t="str">
        <f t="shared" si="6"/>
        <v/>
      </c>
      <c r="AM35" s="63" t="str">
        <f t="shared" si="7"/>
        <v/>
      </c>
      <c r="AN35" s="168"/>
      <c r="AO35" s="168"/>
      <c r="AP35" s="168"/>
      <c r="AQ35" s="168"/>
      <c r="AR35" s="168"/>
      <c r="AS35" s="168"/>
      <c r="AT35" s="168"/>
      <c r="AU35" s="168"/>
      <c r="AV35" s="334">
        <f t="shared" si="2"/>
        <v>87</v>
      </c>
      <c r="AW35" s="232"/>
      <c r="AX35" s="213"/>
      <c r="AY35" s="134"/>
      <c r="AZ35" s="182"/>
      <c r="BA35" s="213"/>
      <c r="BB35" s="134"/>
      <c r="BC35" s="232"/>
      <c r="BD35" s="182"/>
      <c r="BE35" s="134"/>
      <c r="BF35" s="182"/>
      <c r="BG35" s="213"/>
      <c r="BH35" s="134"/>
      <c r="BI35" s="236">
        <f>BJ35-DATE(YEAR(BJ35)-1,12,31)</f>
        <v>111</v>
      </c>
      <c r="BJ35" s="213">
        <v>40289</v>
      </c>
      <c r="BK35" s="134">
        <v>13.9</v>
      </c>
      <c r="BL35" s="232">
        <v>109</v>
      </c>
      <c r="BM35" s="213">
        <v>40652</v>
      </c>
      <c r="BN35" s="134">
        <v>14.4</v>
      </c>
      <c r="BO35" s="168"/>
    </row>
    <row r="36" spans="1:67">
      <c r="A36" s="16" t="s">
        <v>31</v>
      </c>
      <c r="B36" s="65">
        <v>41036</v>
      </c>
      <c r="C36" s="24" t="s">
        <v>72</v>
      </c>
      <c r="D36" s="23">
        <v>14</v>
      </c>
      <c r="E36" s="24">
        <v>25</v>
      </c>
      <c r="F36" s="24">
        <v>19</v>
      </c>
      <c r="G36" s="24">
        <v>14</v>
      </c>
      <c r="H36" s="24">
        <v>19</v>
      </c>
      <c r="I36" s="24">
        <v>17</v>
      </c>
      <c r="J36" s="24">
        <v>15</v>
      </c>
      <c r="K36" s="26">
        <v>12</v>
      </c>
      <c r="L36" s="26">
        <v>15</v>
      </c>
      <c r="M36" s="27">
        <v>25</v>
      </c>
      <c r="N36" s="23">
        <v>0</v>
      </c>
      <c r="O36" s="24">
        <v>1</v>
      </c>
      <c r="P36" s="24">
        <v>1</v>
      </c>
      <c r="Q36" s="24">
        <v>0</v>
      </c>
      <c r="R36" s="24">
        <v>1</v>
      </c>
      <c r="S36" s="24">
        <v>1</v>
      </c>
      <c r="T36" s="24">
        <v>0</v>
      </c>
      <c r="U36" s="26">
        <v>0</v>
      </c>
      <c r="V36" s="26">
        <v>0</v>
      </c>
      <c r="W36" s="27">
        <v>1</v>
      </c>
      <c r="X36" s="23"/>
      <c r="Y36" s="24"/>
      <c r="Z36" s="24"/>
      <c r="AA36" s="24"/>
      <c r="AB36" s="25"/>
      <c r="AC36" s="22"/>
      <c r="AD36" s="23"/>
      <c r="AE36" s="24"/>
      <c r="AF36" s="24"/>
      <c r="AG36" s="24"/>
      <c r="AH36" s="25"/>
      <c r="AI36" s="25"/>
      <c r="AJ36" s="54">
        <f t="shared" si="9"/>
        <v>17.5</v>
      </c>
      <c r="AK36" s="55">
        <f t="shared" si="10"/>
        <v>0.5</v>
      </c>
      <c r="AL36" s="55" t="str">
        <f t="shared" si="6"/>
        <v/>
      </c>
      <c r="AM36" s="56" t="str">
        <f t="shared" si="7"/>
        <v/>
      </c>
      <c r="AN36" s="168"/>
      <c r="AO36" s="168"/>
      <c r="AP36" s="168"/>
      <c r="AQ36" s="168"/>
      <c r="AR36" s="168"/>
      <c r="AS36" s="168"/>
      <c r="AT36" s="168"/>
      <c r="AU36" s="168"/>
      <c r="AV36" s="334">
        <f t="shared" si="2"/>
        <v>128</v>
      </c>
      <c r="AW36" s="232"/>
      <c r="AX36" s="213"/>
      <c r="AY36" s="134"/>
      <c r="AZ36" s="182"/>
      <c r="BA36" s="213"/>
      <c r="BB36" s="134"/>
      <c r="BC36" s="232"/>
      <c r="BD36" s="182"/>
      <c r="BE36" s="134"/>
      <c r="BF36" s="182"/>
      <c r="BG36" s="213"/>
      <c r="BH36" s="134"/>
      <c r="BI36" s="236">
        <f t="shared" ref="BI36:BI75" si="11">BJ36-DATE(YEAR(BJ36)-1,12,31)</f>
        <v>116</v>
      </c>
      <c r="BJ36" s="213">
        <v>40294</v>
      </c>
      <c r="BK36" s="134">
        <v>14.5</v>
      </c>
      <c r="BL36" s="232">
        <v>117</v>
      </c>
      <c r="BM36" s="213">
        <v>40660</v>
      </c>
      <c r="BN36" s="134">
        <v>19.899999999999999</v>
      </c>
      <c r="BO36" s="168"/>
    </row>
    <row r="37" spans="1:67">
      <c r="A37" s="16" t="s">
        <v>31</v>
      </c>
      <c r="B37" s="65">
        <v>41041</v>
      </c>
      <c r="C37" s="24" t="s">
        <v>72</v>
      </c>
      <c r="D37" s="23">
        <v>16</v>
      </c>
      <c r="E37" s="24">
        <v>30</v>
      </c>
      <c r="F37" s="24">
        <v>20</v>
      </c>
      <c r="G37" s="24">
        <v>15</v>
      </c>
      <c r="H37" s="24">
        <v>20</v>
      </c>
      <c r="I37" s="24">
        <v>21</v>
      </c>
      <c r="J37" s="24">
        <v>15</v>
      </c>
      <c r="K37" s="26">
        <v>10</v>
      </c>
      <c r="L37" s="26">
        <v>17</v>
      </c>
      <c r="M37" s="27">
        <v>27</v>
      </c>
      <c r="N37" s="23">
        <v>1</v>
      </c>
      <c r="O37" s="24">
        <v>2</v>
      </c>
      <c r="P37" s="24">
        <v>2</v>
      </c>
      <c r="Q37" s="24">
        <v>1</v>
      </c>
      <c r="R37" s="24">
        <v>2</v>
      </c>
      <c r="S37" s="24">
        <v>2</v>
      </c>
      <c r="T37" s="24">
        <v>1</v>
      </c>
      <c r="U37" s="26">
        <v>0</v>
      </c>
      <c r="V37" s="26">
        <v>1</v>
      </c>
      <c r="W37" s="27">
        <v>2</v>
      </c>
      <c r="X37" s="23"/>
      <c r="Y37" s="24"/>
      <c r="Z37" s="24"/>
      <c r="AA37" s="24"/>
      <c r="AB37" s="25"/>
      <c r="AC37" s="22"/>
      <c r="AD37" s="23"/>
      <c r="AE37" s="24"/>
      <c r="AF37" s="24"/>
      <c r="AG37" s="24"/>
      <c r="AH37" s="25"/>
      <c r="AI37" s="25"/>
      <c r="AJ37" s="54">
        <f t="shared" si="9"/>
        <v>19.100000000000001</v>
      </c>
      <c r="AK37" s="55">
        <f t="shared" si="10"/>
        <v>1.4</v>
      </c>
      <c r="AL37" s="55" t="str">
        <f t="shared" si="6"/>
        <v/>
      </c>
      <c r="AM37" s="56" t="str">
        <f t="shared" si="7"/>
        <v/>
      </c>
      <c r="AN37" s="168"/>
      <c r="AO37" s="168"/>
      <c r="AP37" s="168"/>
      <c r="AQ37" s="168"/>
      <c r="AR37" s="168"/>
      <c r="AS37" s="168"/>
      <c r="AT37" s="168"/>
      <c r="AU37" s="168"/>
      <c r="AV37" s="334">
        <f t="shared" si="2"/>
        <v>133</v>
      </c>
      <c r="AW37" s="232"/>
      <c r="AX37" s="213"/>
      <c r="AY37" s="134"/>
      <c r="AZ37" s="182"/>
      <c r="BA37" s="213"/>
      <c r="BB37" s="134"/>
      <c r="BC37" s="232"/>
      <c r="BD37" s="182"/>
      <c r="BE37" s="134"/>
      <c r="BF37" s="182"/>
      <c r="BG37" s="213"/>
      <c r="BH37" s="134"/>
      <c r="BI37" s="236">
        <f t="shared" si="11"/>
        <v>123</v>
      </c>
      <c r="BJ37" s="213">
        <v>40301</v>
      </c>
      <c r="BK37" s="134">
        <v>14.7</v>
      </c>
      <c r="BL37" s="232">
        <v>122</v>
      </c>
      <c r="BM37" s="213">
        <v>40665</v>
      </c>
      <c r="BN37" s="134">
        <v>19.7</v>
      </c>
      <c r="BO37" s="168"/>
    </row>
    <row r="38" spans="1:67">
      <c r="A38" s="16" t="s">
        <v>31</v>
      </c>
      <c r="B38" s="65">
        <v>41046</v>
      </c>
      <c r="C38" s="24" t="s">
        <v>72</v>
      </c>
      <c r="D38" s="23">
        <v>18</v>
      </c>
      <c r="E38" s="24">
        <v>32</v>
      </c>
      <c r="F38" s="24">
        <v>21</v>
      </c>
      <c r="G38" s="24">
        <v>18</v>
      </c>
      <c r="H38" s="24">
        <v>22</v>
      </c>
      <c r="I38" s="24">
        <v>24</v>
      </c>
      <c r="J38" s="24">
        <v>17</v>
      </c>
      <c r="K38" s="26">
        <v>14</v>
      </c>
      <c r="L38" s="26">
        <v>18</v>
      </c>
      <c r="M38" s="27">
        <v>30</v>
      </c>
      <c r="N38" s="23">
        <v>1</v>
      </c>
      <c r="O38" s="24">
        <v>2</v>
      </c>
      <c r="P38" s="24">
        <v>2</v>
      </c>
      <c r="Q38" s="24">
        <v>1</v>
      </c>
      <c r="R38" s="24">
        <v>2</v>
      </c>
      <c r="S38" s="24">
        <v>2</v>
      </c>
      <c r="T38" s="24">
        <v>1</v>
      </c>
      <c r="U38" s="26">
        <v>1</v>
      </c>
      <c r="V38" s="26">
        <v>1</v>
      </c>
      <c r="W38" s="27">
        <v>2</v>
      </c>
      <c r="X38" s="23"/>
      <c r="Y38" s="24"/>
      <c r="Z38" s="24"/>
      <c r="AA38" s="24"/>
      <c r="AB38" s="25"/>
      <c r="AC38" s="22"/>
      <c r="AD38" s="23"/>
      <c r="AE38" s="24"/>
      <c r="AF38" s="24"/>
      <c r="AG38" s="24"/>
      <c r="AH38" s="25"/>
      <c r="AI38" s="25"/>
      <c r="AJ38" s="54">
        <f t="shared" si="9"/>
        <v>21.4</v>
      </c>
      <c r="AK38" s="55">
        <f t="shared" si="10"/>
        <v>1.5</v>
      </c>
      <c r="AL38" s="55" t="str">
        <f t="shared" si="6"/>
        <v/>
      </c>
      <c r="AM38" s="56" t="str">
        <f t="shared" si="7"/>
        <v/>
      </c>
      <c r="AN38" s="168"/>
      <c r="AO38" s="168"/>
      <c r="AP38" s="168"/>
      <c r="AQ38" s="168"/>
      <c r="AR38" s="168"/>
      <c r="AS38" s="168"/>
      <c r="AT38" s="168"/>
      <c r="AU38" s="168"/>
      <c r="AV38" s="334">
        <f t="shared" si="2"/>
        <v>138</v>
      </c>
      <c r="AW38" s="232"/>
      <c r="AX38" s="213"/>
      <c r="AY38" s="134"/>
      <c r="AZ38" s="182"/>
      <c r="BA38" s="213"/>
      <c r="BB38" s="134"/>
      <c r="BC38" s="232"/>
      <c r="BD38" s="182"/>
      <c r="BE38" s="134"/>
      <c r="BF38" s="182"/>
      <c r="BG38" s="213"/>
      <c r="BH38" s="134"/>
      <c r="BI38" s="236">
        <f t="shared" si="11"/>
        <v>130</v>
      </c>
      <c r="BJ38" s="213">
        <v>40308</v>
      </c>
      <c r="BK38" s="134">
        <v>18.100000000000001</v>
      </c>
      <c r="BL38" s="232">
        <v>130</v>
      </c>
      <c r="BM38" s="213">
        <v>40673</v>
      </c>
      <c r="BN38" s="134">
        <v>26.5</v>
      </c>
      <c r="BO38" s="168"/>
    </row>
    <row r="39" spans="1:67">
      <c r="A39" s="16" t="s">
        <v>31</v>
      </c>
      <c r="B39" s="65">
        <v>41050</v>
      </c>
      <c r="C39" s="24" t="s">
        <v>72</v>
      </c>
      <c r="D39" s="23">
        <v>21</v>
      </c>
      <c r="E39" s="24">
        <v>41</v>
      </c>
      <c r="F39" s="24">
        <v>31</v>
      </c>
      <c r="G39" s="24">
        <v>22</v>
      </c>
      <c r="H39" s="24">
        <v>22</v>
      </c>
      <c r="I39" s="24">
        <v>27</v>
      </c>
      <c r="J39" s="24">
        <v>21</v>
      </c>
      <c r="K39" s="26">
        <v>15</v>
      </c>
      <c r="L39" s="26">
        <v>21</v>
      </c>
      <c r="M39" s="27">
        <v>36</v>
      </c>
      <c r="N39" s="23">
        <v>1</v>
      </c>
      <c r="O39" s="24">
        <v>2</v>
      </c>
      <c r="P39" s="24">
        <v>2</v>
      </c>
      <c r="Q39" s="24">
        <v>2</v>
      </c>
      <c r="R39" s="24">
        <v>2</v>
      </c>
      <c r="S39" s="24">
        <v>2</v>
      </c>
      <c r="T39" s="24">
        <v>2</v>
      </c>
      <c r="U39" s="26">
        <v>1</v>
      </c>
      <c r="V39" s="26">
        <v>2</v>
      </c>
      <c r="W39" s="27">
        <v>2</v>
      </c>
      <c r="X39" s="23"/>
      <c r="Y39" s="24"/>
      <c r="Z39" s="24"/>
      <c r="AA39" s="24"/>
      <c r="AB39" s="25"/>
      <c r="AC39" s="22"/>
      <c r="AD39" s="23"/>
      <c r="AE39" s="24"/>
      <c r="AF39" s="24"/>
      <c r="AG39" s="24"/>
      <c r="AH39" s="25"/>
      <c r="AI39" s="25"/>
      <c r="AJ39" s="54">
        <f t="shared" si="9"/>
        <v>25.7</v>
      </c>
      <c r="AK39" s="55">
        <f t="shared" si="10"/>
        <v>1.8</v>
      </c>
      <c r="AL39" s="55" t="str">
        <f t="shared" si="6"/>
        <v/>
      </c>
      <c r="AM39" s="56" t="str">
        <f t="shared" si="7"/>
        <v/>
      </c>
      <c r="AN39" s="168"/>
      <c r="AO39" s="168"/>
      <c r="AP39" s="168"/>
      <c r="AQ39" s="168"/>
      <c r="AR39" s="168"/>
      <c r="AS39" s="168"/>
      <c r="AT39" s="168"/>
      <c r="AU39" s="168"/>
      <c r="AV39" s="334">
        <f t="shared" si="2"/>
        <v>142</v>
      </c>
      <c r="AW39" s="232"/>
      <c r="AX39" s="213"/>
      <c r="AY39" s="134"/>
      <c r="AZ39" s="182"/>
      <c r="BA39" s="213"/>
      <c r="BB39" s="134"/>
      <c r="BC39" s="232"/>
      <c r="BD39" s="182"/>
      <c r="BE39" s="134"/>
      <c r="BF39" s="182"/>
      <c r="BG39" s="213"/>
      <c r="BH39" s="134"/>
      <c r="BI39" s="236">
        <f t="shared" si="11"/>
        <v>137</v>
      </c>
      <c r="BJ39" s="213">
        <v>40315</v>
      </c>
      <c r="BK39" s="134">
        <v>20.9</v>
      </c>
      <c r="BL39" s="232">
        <v>136</v>
      </c>
      <c r="BM39" s="213">
        <v>40679</v>
      </c>
      <c r="BN39" s="134">
        <v>37</v>
      </c>
      <c r="BO39" s="168"/>
    </row>
    <row r="40" spans="1:67">
      <c r="A40" s="16" t="s">
        <v>31</v>
      </c>
      <c r="B40" s="67">
        <v>41054</v>
      </c>
      <c r="C40" s="40" t="s">
        <v>72</v>
      </c>
      <c r="D40" s="39">
        <v>30</v>
      </c>
      <c r="E40" s="40">
        <v>61</v>
      </c>
      <c r="F40" s="40">
        <v>51</v>
      </c>
      <c r="G40" s="40">
        <v>36</v>
      </c>
      <c r="H40" s="40">
        <v>47</v>
      </c>
      <c r="I40" s="40">
        <v>45</v>
      </c>
      <c r="J40" s="40">
        <v>30</v>
      </c>
      <c r="K40" s="42">
        <v>25</v>
      </c>
      <c r="L40" s="42">
        <v>37</v>
      </c>
      <c r="M40" s="43">
        <v>60</v>
      </c>
      <c r="N40" s="39">
        <v>2</v>
      </c>
      <c r="O40" s="40">
        <v>2</v>
      </c>
      <c r="P40" s="40">
        <v>2</v>
      </c>
      <c r="Q40" s="40">
        <v>2</v>
      </c>
      <c r="R40" s="40">
        <v>2</v>
      </c>
      <c r="S40" s="40">
        <v>2</v>
      </c>
      <c r="T40" s="40">
        <v>2</v>
      </c>
      <c r="U40" s="42">
        <v>2</v>
      </c>
      <c r="V40" s="42">
        <v>2</v>
      </c>
      <c r="W40" s="43">
        <v>2</v>
      </c>
      <c r="X40" s="23">
        <v>0</v>
      </c>
      <c r="Y40" s="24">
        <v>0</v>
      </c>
      <c r="Z40" s="24">
        <v>0</v>
      </c>
      <c r="AA40" s="24">
        <v>0</v>
      </c>
      <c r="AB40" s="25">
        <v>0</v>
      </c>
      <c r="AC40" s="22">
        <v>0</v>
      </c>
      <c r="AD40" s="23">
        <v>0</v>
      </c>
      <c r="AE40" s="24">
        <v>0</v>
      </c>
      <c r="AF40" s="24">
        <v>0</v>
      </c>
      <c r="AG40" s="24">
        <v>0</v>
      </c>
      <c r="AH40" s="25">
        <v>0</v>
      </c>
      <c r="AI40" s="25">
        <v>0</v>
      </c>
      <c r="AJ40" s="54">
        <f t="shared" si="9"/>
        <v>42.2</v>
      </c>
      <c r="AK40" s="55">
        <f t="shared" si="10"/>
        <v>2</v>
      </c>
      <c r="AL40" s="55">
        <f t="shared" si="6"/>
        <v>0</v>
      </c>
      <c r="AM40" s="56">
        <f t="shared" si="7"/>
        <v>0</v>
      </c>
      <c r="AN40" s="168"/>
      <c r="AO40" s="168"/>
      <c r="AP40" s="168"/>
      <c r="AQ40" s="168"/>
      <c r="AR40" s="168"/>
      <c r="AS40" s="168"/>
      <c r="AT40" s="168"/>
      <c r="AU40" s="168"/>
      <c r="AV40" s="334">
        <f t="shared" si="2"/>
        <v>146</v>
      </c>
      <c r="AW40" s="232"/>
      <c r="AX40" s="213"/>
      <c r="AY40" s="134"/>
      <c r="AZ40" s="182"/>
      <c r="BA40" s="213"/>
      <c r="BB40" s="134"/>
      <c r="BC40" s="232"/>
      <c r="BD40" s="182"/>
      <c r="BE40" s="134"/>
      <c r="BF40" s="182"/>
      <c r="BG40" s="213"/>
      <c r="BH40" s="134"/>
      <c r="BI40" s="236">
        <f t="shared" si="11"/>
        <v>144</v>
      </c>
      <c r="BJ40" s="213">
        <v>40322</v>
      </c>
      <c r="BK40" s="134">
        <v>33.4</v>
      </c>
      <c r="BL40" s="232">
        <v>140</v>
      </c>
      <c r="BM40" s="213">
        <v>40683</v>
      </c>
      <c r="BN40" s="134">
        <v>42.8</v>
      </c>
      <c r="BO40" s="168"/>
    </row>
    <row r="41" spans="1:67">
      <c r="A41" s="16" t="s">
        <v>31</v>
      </c>
      <c r="B41" s="65">
        <v>41057</v>
      </c>
      <c r="C41" s="24" t="s">
        <v>72</v>
      </c>
      <c r="D41" s="23">
        <v>46</v>
      </c>
      <c r="E41" s="24">
        <v>96</v>
      </c>
      <c r="F41" s="24">
        <v>80</v>
      </c>
      <c r="G41" s="24">
        <v>52</v>
      </c>
      <c r="H41" s="24">
        <v>77</v>
      </c>
      <c r="I41" s="24">
        <v>69</v>
      </c>
      <c r="J41" s="24">
        <v>46</v>
      </c>
      <c r="K41" s="26">
        <v>44</v>
      </c>
      <c r="L41" s="26">
        <v>63</v>
      </c>
      <c r="M41" s="27">
        <v>91</v>
      </c>
      <c r="N41" s="23">
        <v>2</v>
      </c>
      <c r="O41" s="24">
        <v>2</v>
      </c>
      <c r="P41" s="24">
        <v>2</v>
      </c>
      <c r="Q41" s="24">
        <v>2</v>
      </c>
      <c r="R41" s="24">
        <v>2</v>
      </c>
      <c r="S41" s="24">
        <v>2</v>
      </c>
      <c r="T41" s="24">
        <v>2</v>
      </c>
      <c r="U41" s="26">
        <v>2</v>
      </c>
      <c r="V41" s="26">
        <v>2</v>
      </c>
      <c r="W41" s="27">
        <v>2</v>
      </c>
      <c r="X41" s="23">
        <v>1</v>
      </c>
      <c r="Y41" s="24">
        <v>1</v>
      </c>
      <c r="Z41" s="24">
        <v>1</v>
      </c>
      <c r="AA41" s="24">
        <v>1</v>
      </c>
      <c r="AB41" s="25">
        <v>1</v>
      </c>
      <c r="AC41" s="22">
        <v>0</v>
      </c>
      <c r="AD41" s="23">
        <v>0</v>
      </c>
      <c r="AE41" s="24">
        <v>0</v>
      </c>
      <c r="AF41" s="24">
        <v>0</v>
      </c>
      <c r="AG41" s="24">
        <v>0</v>
      </c>
      <c r="AH41" s="25">
        <v>0</v>
      </c>
      <c r="AI41" s="25">
        <v>0</v>
      </c>
      <c r="AJ41" s="54" t="str">
        <f>IF(COUNT(#REF!)=0,"",AVERAGE(#REF!))</f>
        <v/>
      </c>
      <c r="AK41" s="55">
        <f t="shared" si="8"/>
        <v>2</v>
      </c>
      <c r="AL41" s="55">
        <f t="shared" si="6"/>
        <v>1</v>
      </c>
      <c r="AM41" s="56">
        <f t="shared" si="7"/>
        <v>0</v>
      </c>
      <c r="AN41" s="168"/>
      <c r="AO41" s="168"/>
      <c r="AP41" s="168"/>
      <c r="AQ41" s="168"/>
      <c r="AR41" s="168"/>
      <c r="AS41" s="168"/>
      <c r="AT41" s="168"/>
      <c r="AU41" s="168"/>
      <c r="AV41" s="334">
        <f t="shared" si="2"/>
        <v>149</v>
      </c>
      <c r="AW41" s="232"/>
      <c r="AX41" s="213"/>
      <c r="AY41" s="134"/>
      <c r="AZ41" s="182"/>
      <c r="BA41" s="213"/>
      <c r="BB41" s="134"/>
      <c r="BC41" s="232"/>
      <c r="BD41" s="182"/>
      <c r="BE41" s="134"/>
      <c r="BF41" s="182"/>
      <c r="BG41" s="213"/>
      <c r="BH41" s="134"/>
      <c r="BI41" s="236">
        <f t="shared" si="11"/>
        <v>152</v>
      </c>
      <c r="BJ41" s="213">
        <v>40330</v>
      </c>
      <c r="BK41" s="134">
        <v>50.9</v>
      </c>
      <c r="BL41" s="232">
        <v>146</v>
      </c>
      <c r="BM41" s="213">
        <v>40689</v>
      </c>
      <c r="BN41" s="134">
        <v>63.6</v>
      </c>
      <c r="BO41" s="168"/>
    </row>
    <row r="42" spans="1:67">
      <c r="A42" s="16" t="s">
        <v>31</v>
      </c>
      <c r="B42" s="65">
        <v>41061</v>
      </c>
      <c r="C42" s="24" t="s">
        <v>72</v>
      </c>
      <c r="D42" s="237">
        <v>49</v>
      </c>
      <c r="E42" s="237">
        <v>103</v>
      </c>
      <c r="F42" s="237">
        <v>88</v>
      </c>
      <c r="G42" s="237">
        <v>57</v>
      </c>
      <c r="H42" s="237">
        <v>84</v>
      </c>
      <c r="I42" s="237">
        <v>79</v>
      </c>
      <c r="J42" s="237">
        <v>51</v>
      </c>
      <c r="K42" s="237">
        <v>45</v>
      </c>
      <c r="L42" s="237">
        <v>66</v>
      </c>
      <c r="M42" s="237">
        <v>91</v>
      </c>
      <c r="N42" s="23">
        <v>2</v>
      </c>
      <c r="O42" s="24">
        <v>2</v>
      </c>
      <c r="P42" s="24">
        <v>2</v>
      </c>
      <c r="Q42" s="24">
        <v>2</v>
      </c>
      <c r="R42" s="24">
        <v>2</v>
      </c>
      <c r="S42" s="24">
        <v>2</v>
      </c>
      <c r="T42" s="24">
        <v>2</v>
      </c>
      <c r="U42" s="26">
        <v>2</v>
      </c>
      <c r="V42" s="26">
        <v>2</v>
      </c>
      <c r="W42" s="27">
        <v>2</v>
      </c>
      <c r="X42" s="23">
        <v>1</v>
      </c>
      <c r="Y42" s="24">
        <v>1</v>
      </c>
      <c r="Z42" s="24">
        <v>1</v>
      </c>
      <c r="AA42" s="24">
        <v>1</v>
      </c>
      <c r="AB42" s="25">
        <v>2</v>
      </c>
      <c r="AC42" s="22">
        <v>0</v>
      </c>
      <c r="AD42" s="23">
        <v>0</v>
      </c>
      <c r="AE42" s="24">
        <v>0</v>
      </c>
      <c r="AF42" s="24">
        <v>0</v>
      </c>
      <c r="AG42" s="24">
        <v>0</v>
      </c>
      <c r="AH42" s="25">
        <v>0</v>
      </c>
      <c r="AI42" s="25">
        <v>0</v>
      </c>
      <c r="AJ42" s="54"/>
      <c r="AK42" s="55">
        <f t="shared" si="8"/>
        <v>2</v>
      </c>
      <c r="AL42" s="55">
        <f t="shared" si="6"/>
        <v>1.2</v>
      </c>
      <c r="AM42" s="56">
        <f t="shared" si="7"/>
        <v>0</v>
      </c>
      <c r="AN42" s="168"/>
      <c r="AO42" s="168"/>
      <c r="AP42" s="168"/>
      <c r="AQ42" s="168"/>
      <c r="AR42" s="168"/>
      <c r="AS42" s="168"/>
      <c r="AT42" s="168"/>
      <c r="AU42" s="168"/>
      <c r="AV42" s="334">
        <f t="shared" si="2"/>
        <v>153</v>
      </c>
      <c r="AW42" s="232"/>
      <c r="AX42" s="213"/>
      <c r="AY42" s="134"/>
      <c r="AZ42" s="182"/>
      <c r="BA42" s="213"/>
      <c r="BB42" s="134"/>
      <c r="BC42" s="232"/>
      <c r="BD42" s="182"/>
      <c r="BE42" s="134"/>
      <c r="BF42" s="182"/>
      <c r="BG42" s="213"/>
      <c r="BH42" s="134"/>
      <c r="BI42" s="236">
        <f t="shared" si="11"/>
        <v>158</v>
      </c>
      <c r="BJ42" s="213">
        <v>40336</v>
      </c>
      <c r="BK42" s="134"/>
      <c r="BL42" s="232">
        <v>150</v>
      </c>
      <c r="BM42" s="213">
        <v>40693</v>
      </c>
      <c r="BN42" s="134"/>
      <c r="BO42" s="168"/>
    </row>
    <row r="43" spans="1:67">
      <c r="A43" s="16" t="s">
        <v>31</v>
      </c>
      <c r="B43" s="65">
        <v>41067</v>
      </c>
      <c r="C43" s="24" t="s">
        <v>72</v>
      </c>
      <c r="D43" s="23">
        <v>59</v>
      </c>
      <c r="E43" s="24">
        <v>125</v>
      </c>
      <c r="F43" s="24">
        <v>107</v>
      </c>
      <c r="G43" s="24">
        <v>69</v>
      </c>
      <c r="H43" s="24">
        <v>103</v>
      </c>
      <c r="I43" s="24">
        <v>93</v>
      </c>
      <c r="J43" s="24">
        <v>61</v>
      </c>
      <c r="K43" s="26">
        <v>55</v>
      </c>
      <c r="L43" s="26">
        <v>85</v>
      </c>
      <c r="M43" s="27">
        <v>116</v>
      </c>
      <c r="N43" s="23">
        <v>2</v>
      </c>
      <c r="O43" s="24">
        <v>2</v>
      </c>
      <c r="P43" s="24">
        <v>2</v>
      </c>
      <c r="Q43" s="24">
        <v>2</v>
      </c>
      <c r="R43" s="24">
        <v>2</v>
      </c>
      <c r="S43" s="24">
        <v>2</v>
      </c>
      <c r="T43" s="24">
        <v>2</v>
      </c>
      <c r="U43" s="26">
        <v>2</v>
      </c>
      <c r="V43" s="26">
        <v>2</v>
      </c>
      <c r="W43" s="27">
        <v>2</v>
      </c>
      <c r="X43" s="23">
        <v>3</v>
      </c>
      <c r="Y43" s="24">
        <v>3</v>
      </c>
      <c r="Z43" s="24">
        <v>3</v>
      </c>
      <c r="AA43" s="24">
        <v>3</v>
      </c>
      <c r="AB43" s="25">
        <v>3</v>
      </c>
      <c r="AC43" s="22">
        <v>3</v>
      </c>
      <c r="AD43" s="23">
        <v>0</v>
      </c>
      <c r="AE43" s="24">
        <v>0</v>
      </c>
      <c r="AF43" s="24">
        <v>0</v>
      </c>
      <c r="AG43" s="24">
        <v>0</v>
      </c>
      <c r="AH43" s="25">
        <v>0</v>
      </c>
      <c r="AI43" s="25">
        <v>0</v>
      </c>
      <c r="AJ43" s="54">
        <f t="shared" ref="AJ43:AJ69" si="12">IF(COUNT(D43:M43)=0,"",AVERAGE(D43:M43))</f>
        <v>87.3</v>
      </c>
      <c r="AK43" s="55">
        <f t="shared" si="8"/>
        <v>2</v>
      </c>
      <c r="AL43" s="55">
        <f t="shared" si="6"/>
        <v>3</v>
      </c>
      <c r="AM43" s="56">
        <f t="shared" si="7"/>
        <v>0</v>
      </c>
      <c r="AN43" s="168"/>
      <c r="AO43" s="168"/>
      <c r="AP43" s="168"/>
      <c r="AQ43" s="168"/>
      <c r="AR43" s="168"/>
      <c r="AS43" s="168"/>
      <c r="AT43" s="168"/>
      <c r="AU43" s="168"/>
      <c r="AV43" s="334">
        <f t="shared" si="2"/>
        <v>159</v>
      </c>
      <c r="AW43" s="232"/>
      <c r="AX43" s="213"/>
      <c r="AY43" s="134"/>
      <c r="AZ43" s="182"/>
      <c r="BA43" s="213"/>
      <c r="BB43" s="134"/>
      <c r="BC43" s="232"/>
      <c r="BD43" s="182"/>
      <c r="BE43" s="134"/>
      <c r="BF43" s="182"/>
      <c r="BG43" s="213"/>
      <c r="BH43" s="134"/>
      <c r="BI43" s="236">
        <f t="shared" si="11"/>
        <v>161</v>
      </c>
      <c r="BJ43" s="213">
        <v>40339</v>
      </c>
      <c r="BK43" s="134">
        <v>108.7</v>
      </c>
      <c r="BL43" s="232">
        <v>154</v>
      </c>
      <c r="BM43" s="213">
        <v>40697</v>
      </c>
      <c r="BN43" s="134">
        <v>119.8</v>
      </c>
      <c r="BO43" s="168"/>
    </row>
    <row r="44" spans="1:67">
      <c r="A44" s="16" t="s">
        <v>31</v>
      </c>
      <c r="B44" s="65">
        <v>41071</v>
      </c>
      <c r="C44" s="24" t="s">
        <v>72</v>
      </c>
      <c r="D44" s="23"/>
      <c r="E44" s="24"/>
      <c r="F44" s="24"/>
      <c r="G44" s="24"/>
      <c r="H44" s="24"/>
      <c r="I44" s="24"/>
      <c r="J44" s="24"/>
      <c r="K44" s="26"/>
      <c r="L44" s="26"/>
      <c r="M44" s="27"/>
      <c r="N44" s="23">
        <v>2</v>
      </c>
      <c r="O44" s="24">
        <v>2</v>
      </c>
      <c r="P44" s="24">
        <v>2</v>
      </c>
      <c r="Q44" s="24">
        <v>2</v>
      </c>
      <c r="R44" s="24">
        <v>2</v>
      </c>
      <c r="S44" s="24">
        <v>2</v>
      </c>
      <c r="T44" s="24">
        <v>2</v>
      </c>
      <c r="U44" s="26">
        <v>2</v>
      </c>
      <c r="V44" s="26">
        <v>2</v>
      </c>
      <c r="W44" s="27">
        <v>2</v>
      </c>
      <c r="X44" s="23">
        <v>3</v>
      </c>
      <c r="Y44" s="24">
        <v>3</v>
      </c>
      <c r="Z44" s="24">
        <v>3</v>
      </c>
      <c r="AA44" s="24">
        <v>3</v>
      </c>
      <c r="AB44" s="25">
        <v>3</v>
      </c>
      <c r="AC44" s="22">
        <v>3</v>
      </c>
      <c r="AD44" s="23">
        <v>1</v>
      </c>
      <c r="AE44" s="24">
        <v>1</v>
      </c>
      <c r="AF44" s="24">
        <v>1</v>
      </c>
      <c r="AG44" s="24">
        <v>1</v>
      </c>
      <c r="AH44" s="25">
        <v>1</v>
      </c>
      <c r="AI44" s="25">
        <v>3</v>
      </c>
      <c r="AJ44" s="54" t="str">
        <f t="shared" si="12"/>
        <v/>
      </c>
      <c r="AK44" s="55">
        <f t="shared" si="8"/>
        <v>2</v>
      </c>
      <c r="AL44" s="55">
        <f t="shared" si="6"/>
        <v>3</v>
      </c>
      <c r="AM44" s="56">
        <f t="shared" si="7"/>
        <v>1</v>
      </c>
      <c r="AN44" s="168"/>
      <c r="AO44" s="168"/>
      <c r="AP44" s="168"/>
      <c r="AQ44" s="168"/>
      <c r="AR44" s="168"/>
      <c r="AS44" s="168"/>
      <c r="AT44" s="168"/>
      <c r="AU44" s="168"/>
      <c r="AV44" s="334">
        <f t="shared" si="2"/>
        <v>163</v>
      </c>
      <c r="AW44" s="232"/>
      <c r="AX44" s="213"/>
      <c r="AY44" s="134"/>
      <c r="AZ44" s="182"/>
      <c r="BA44" s="213"/>
      <c r="BB44" s="134"/>
      <c r="BC44" s="232"/>
      <c r="BD44" s="182"/>
      <c r="BE44" s="134"/>
      <c r="BF44" s="182"/>
      <c r="BG44" s="213"/>
      <c r="BH44" s="134"/>
      <c r="BI44" s="236">
        <f t="shared" si="11"/>
        <v>168</v>
      </c>
      <c r="BJ44" s="213">
        <v>40346</v>
      </c>
      <c r="BK44" s="134">
        <v>157</v>
      </c>
      <c r="BL44" s="232">
        <v>168</v>
      </c>
      <c r="BM44" s="213">
        <v>40711</v>
      </c>
      <c r="BN44" s="134">
        <v>227.8</v>
      </c>
      <c r="BO44" s="168"/>
    </row>
    <row r="45" spans="1:67">
      <c r="A45" s="16" t="s">
        <v>31</v>
      </c>
      <c r="B45" s="65">
        <v>41075</v>
      </c>
      <c r="C45" s="24" t="s">
        <v>72</v>
      </c>
      <c r="D45" s="23">
        <v>100</v>
      </c>
      <c r="E45" s="24">
        <v>186</v>
      </c>
      <c r="F45" s="24">
        <v>175</v>
      </c>
      <c r="G45" s="24">
        <v>125</v>
      </c>
      <c r="H45" s="24">
        <v>178</v>
      </c>
      <c r="I45" s="24">
        <v>150</v>
      </c>
      <c r="J45" s="24">
        <v>113</v>
      </c>
      <c r="K45" s="26">
        <v>100</v>
      </c>
      <c r="L45" s="26">
        <v>151</v>
      </c>
      <c r="M45" s="27">
        <v>185</v>
      </c>
      <c r="N45" s="23">
        <v>2</v>
      </c>
      <c r="O45" s="24">
        <v>2</v>
      </c>
      <c r="P45" s="24">
        <v>2</v>
      </c>
      <c r="Q45" s="24">
        <v>2</v>
      </c>
      <c r="R45" s="24">
        <v>2</v>
      </c>
      <c r="S45" s="24">
        <v>2</v>
      </c>
      <c r="T45" s="24">
        <v>2</v>
      </c>
      <c r="U45" s="26">
        <v>2</v>
      </c>
      <c r="V45" s="26">
        <v>2</v>
      </c>
      <c r="W45" s="27">
        <v>2</v>
      </c>
      <c r="X45" s="23">
        <v>3</v>
      </c>
      <c r="Y45" s="24">
        <v>3</v>
      </c>
      <c r="Z45" s="24">
        <v>3</v>
      </c>
      <c r="AA45" s="24">
        <v>3</v>
      </c>
      <c r="AB45" s="25">
        <v>3</v>
      </c>
      <c r="AC45" s="22">
        <v>3</v>
      </c>
      <c r="AD45" s="23">
        <v>1</v>
      </c>
      <c r="AE45" s="24">
        <v>1</v>
      </c>
      <c r="AF45" s="24">
        <v>1</v>
      </c>
      <c r="AG45" s="24">
        <v>1</v>
      </c>
      <c r="AH45" s="25">
        <v>1</v>
      </c>
      <c r="AI45" s="25">
        <v>3</v>
      </c>
      <c r="AJ45" s="54">
        <f t="shared" si="12"/>
        <v>146.30000000000001</v>
      </c>
      <c r="AK45" s="55">
        <f t="shared" si="8"/>
        <v>2</v>
      </c>
      <c r="AL45" s="55">
        <f t="shared" si="6"/>
        <v>3</v>
      </c>
      <c r="AM45" s="56">
        <f t="shared" si="7"/>
        <v>1</v>
      </c>
      <c r="AN45" s="168"/>
      <c r="AO45" s="168"/>
      <c r="AP45" s="168"/>
      <c r="AQ45" s="168"/>
      <c r="AR45" s="168"/>
      <c r="AS45" s="168"/>
      <c r="AT45" s="168"/>
      <c r="AU45" s="168"/>
      <c r="AV45" s="334">
        <f t="shared" si="2"/>
        <v>167</v>
      </c>
      <c r="AW45" s="232"/>
      <c r="AX45" s="213"/>
      <c r="AY45" s="134"/>
      <c r="AZ45" s="182"/>
      <c r="BA45" s="213"/>
      <c r="BB45" s="134"/>
      <c r="BC45" s="232"/>
      <c r="BD45" s="182"/>
      <c r="BE45" s="134"/>
      <c r="BF45" s="182"/>
      <c r="BG45" s="213"/>
      <c r="BH45" s="134"/>
      <c r="BI45" s="236">
        <f t="shared" si="11"/>
        <v>175</v>
      </c>
      <c r="BJ45" s="213">
        <v>40353</v>
      </c>
      <c r="BK45" s="134">
        <v>202.4</v>
      </c>
      <c r="BL45" s="232">
        <v>174</v>
      </c>
      <c r="BM45" s="213">
        <v>40717</v>
      </c>
      <c r="BN45" s="134">
        <v>235.4</v>
      </c>
      <c r="BO45" s="168"/>
    </row>
    <row r="46" spans="1:67">
      <c r="A46" s="16" t="s">
        <v>31</v>
      </c>
      <c r="B46" s="65">
        <v>41081</v>
      </c>
      <c r="C46" s="24" t="s">
        <v>72</v>
      </c>
      <c r="D46" s="23">
        <v>166</v>
      </c>
      <c r="E46" s="24">
        <v>210</v>
      </c>
      <c r="F46" s="24">
        <v>211</v>
      </c>
      <c r="G46" s="24">
        <v>164</v>
      </c>
      <c r="H46" s="24">
        <v>210</v>
      </c>
      <c r="I46" s="24">
        <v>179</v>
      </c>
      <c r="J46" s="24">
        <v>144</v>
      </c>
      <c r="K46" s="26">
        <v>122</v>
      </c>
      <c r="L46" s="26">
        <v>182</v>
      </c>
      <c r="M46" s="27">
        <v>222</v>
      </c>
      <c r="N46" s="23">
        <v>2</v>
      </c>
      <c r="O46" s="24">
        <v>2</v>
      </c>
      <c r="P46" s="24">
        <v>2</v>
      </c>
      <c r="Q46" s="24">
        <v>2</v>
      </c>
      <c r="R46" s="24">
        <v>2</v>
      </c>
      <c r="S46" s="24">
        <v>2</v>
      </c>
      <c r="T46" s="24">
        <v>2</v>
      </c>
      <c r="U46" s="26">
        <v>2</v>
      </c>
      <c r="V46" s="26">
        <v>2</v>
      </c>
      <c r="W46" s="27">
        <v>2</v>
      </c>
      <c r="X46" s="23">
        <v>3</v>
      </c>
      <c r="Y46" s="24">
        <v>3</v>
      </c>
      <c r="Z46" s="24">
        <v>3</v>
      </c>
      <c r="AA46" s="24">
        <v>3</v>
      </c>
      <c r="AB46" s="25">
        <v>3</v>
      </c>
      <c r="AC46" s="22">
        <v>3</v>
      </c>
      <c r="AD46" s="23">
        <v>1</v>
      </c>
      <c r="AE46" s="24">
        <v>1</v>
      </c>
      <c r="AF46" s="24">
        <v>1</v>
      </c>
      <c r="AG46" s="24">
        <v>1</v>
      </c>
      <c r="AH46" s="25">
        <v>1</v>
      </c>
      <c r="AI46" s="25">
        <v>3</v>
      </c>
      <c r="AJ46" s="54">
        <f t="shared" si="12"/>
        <v>181</v>
      </c>
      <c r="AK46" s="55">
        <f t="shared" si="8"/>
        <v>2</v>
      </c>
      <c r="AL46" s="55">
        <f t="shared" si="6"/>
        <v>3</v>
      </c>
      <c r="AM46" s="56">
        <f t="shared" si="7"/>
        <v>1</v>
      </c>
      <c r="AN46" s="168"/>
      <c r="AO46" s="168"/>
      <c r="AP46" s="168"/>
      <c r="AQ46" s="168"/>
      <c r="AR46" s="168"/>
      <c r="AS46" s="168"/>
      <c r="AT46" s="168"/>
      <c r="AU46" s="168"/>
      <c r="AV46" s="334">
        <f t="shared" si="2"/>
        <v>173</v>
      </c>
      <c r="AW46" s="232"/>
      <c r="AX46" s="213"/>
      <c r="AY46" s="134"/>
      <c r="AZ46" s="182"/>
      <c r="BA46" s="213"/>
      <c r="BB46" s="134"/>
      <c r="BC46" s="232"/>
      <c r="BD46" s="182"/>
      <c r="BE46" s="134"/>
      <c r="BF46" s="182"/>
      <c r="BG46" s="213"/>
      <c r="BH46" s="134"/>
      <c r="BI46" s="236">
        <f t="shared" si="11"/>
        <v>183</v>
      </c>
      <c r="BJ46" s="213">
        <v>40361</v>
      </c>
      <c r="BK46" s="134">
        <v>242.8</v>
      </c>
      <c r="BL46" s="232">
        <v>182</v>
      </c>
      <c r="BM46" s="213">
        <v>40725</v>
      </c>
      <c r="BN46" s="134">
        <v>237.7</v>
      </c>
      <c r="BO46" s="168"/>
    </row>
    <row r="47" spans="1:67">
      <c r="A47" s="16" t="s">
        <v>31</v>
      </c>
      <c r="B47" s="65">
        <v>41089</v>
      </c>
      <c r="C47" s="24" t="s">
        <v>80</v>
      </c>
      <c r="D47" s="23">
        <v>159</v>
      </c>
      <c r="E47" s="24">
        <v>227</v>
      </c>
      <c r="F47" s="24">
        <v>245</v>
      </c>
      <c r="G47" s="24">
        <v>210</v>
      </c>
      <c r="H47" s="24">
        <v>242</v>
      </c>
      <c r="I47" s="24">
        <v>207</v>
      </c>
      <c r="J47" s="24">
        <v>181</v>
      </c>
      <c r="K47" s="26">
        <v>144</v>
      </c>
      <c r="L47" s="26">
        <v>219</v>
      </c>
      <c r="M47" s="27">
        <v>270</v>
      </c>
      <c r="N47" s="23">
        <v>2</v>
      </c>
      <c r="O47" s="24">
        <v>2</v>
      </c>
      <c r="P47" s="24">
        <v>2</v>
      </c>
      <c r="Q47" s="24">
        <v>2</v>
      </c>
      <c r="R47" s="24">
        <v>2</v>
      </c>
      <c r="S47" s="24">
        <v>2</v>
      </c>
      <c r="T47" s="24">
        <v>2</v>
      </c>
      <c r="U47" s="26">
        <v>2</v>
      </c>
      <c r="V47" s="26">
        <v>2</v>
      </c>
      <c r="W47" s="27">
        <v>2</v>
      </c>
      <c r="X47" s="23">
        <v>3</v>
      </c>
      <c r="Y47" s="24">
        <v>3</v>
      </c>
      <c r="Z47" s="24">
        <v>3</v>
      </c>
      <c r="AA47" s="24">
        <v>3</v>
      </c>
      <c r="AB47" s="25">
        <v>3</v>
      </c>
      <c r="AC47" s="22">
        <v>3</v>
      </c>
      <c r="AD47" s="23">
        <v>1</v>
      </c>
      <c r="AE47" s="24">
        <v>1</v>
      </c>
      <c r="AF47" s="24">
        <v>1</v>
      </c>
      <c r="AG47" s="24">
        <v>1</v>
      </c>
      <c r="AH47" s="25">
        <v>1</v>
      </c>
      <c r="AI47" s="25">
        <v>3</v>
      </c>
      <c r="AJ47" s="54">
        <f t="shared" si="12"/>
        <v>210.4</v>
      </c>
      <c r="AK47" s="55">
        <f t="shared" si="8"/>
        <v>2</v>
      </c>
      <c r="AL47" s="55">
        <f t="shared" si="6"/>
        <v>3</v>
      </c>
      <c r="AM47" s="56">
        <f t="shared" si="7"/>
        <v>1</v>
      </c>
      <c r="AN47" s="168"/>
      <c r="AO47" s="168"/>
      <c r="AP47" s="168"/>
      <c r="AQ47" s="168"/>
      <c r="AR47" s="168"/>
      <c r="AS47" s="168"/>
      <c r="AT47" s="168"/>
      <c r="AU47" s="168"/>
      <c r="AV47" s="334">
        <f t="shared" si="2"/>
        <v>181</v>
      </c>
      <c r="AW47" s="232"/>
      <c r="AX47" s="213"/>
      <c r="AY47" s="134"/>
      <c r="AZ47" s="182"/>
      <c r="BA47" s="213"/>
      <c r="BB47" s="134"/>
      <c r="BC47" s="232"/>
      <c r="BD47" s="182"/>
      <c r="BE47" s="134"/>
      <c r="BF47" s="182"/>
      <c r="BG47" s="213"/>
      <c r="BH47" s="134"/>
      <c r="BI47" s="236">
        <f t="shared" si="11"/>
        <v>193</v>
      </c>
      <c r="BJ47" s="213">
        <v>40371</v>
      </c>
      <c r="BK47" s="134">
        <v>252.6</v>
      </c>
      <c r="BL47" s="232">
        <v>187</v>
      </c>
      <c r="BM47" s="213">
        <v>40730</v>
      </c>
      <c r="BN47" s="134">
        <v>237.4</v>
      </c>
      <c r="BO47" s="168"/>
    </row>
    <row r="48" spans="1:67">
      <c r="A48" s="16" t="s">
        <v>31</v>
      </c>
      <c r="B48" s="65">
        <v>41098</v>
      </c>
      <c r="C48" s="24" t="s">
        <v>72</v>
      </c>
      <c r="D48" s="23">
        <v>169</v>
      </c>
      <c r="E48" s="24">
        <v>226</v>
      </c>
      <c r="F48" s="24">
        <v>254</v>
      </c>
      <c r="G48" s="24">
        <v>239</v>
      </c>
      <c r="H48" s="24">
        <v>253</v>
      </c>
      <c r="I48" s="24">
        <v>202</v>
      </c>
      <c r="J48" s="24">
        <v>195</v>
      </c>
      <c r="K48" s="26">
        <v>144</v>
      </c>
      <c r="L48" s="26">
        <v>235</v>
      </c>
      <c r="M48" s="27">
        <v>341</v>
      </c>
      <c r="N48" s="23">
        <v>2</v>
      </c>
      <c r="O48" s="24">
        <v>3</v>
      </c>
      <c r="P48" s="24">
        <v>2</v>
      </c>
      <c r="Q48" s="24">
        <v>2</v>
      </c>
      <c r="R48" s="24">
        <v>2</v>
      </c>
      <c r="S48" s="24">
        <v>3</v>
      </c>
      <c r="T48" s="24">
        <v>2</v>
      </c>
      <c r="U48" s="26">
        <v>3</v>
      </c>
      <c r="V48" s="26">
        <v>2</v>
      </c>
      <c r="W48" s="27">
        <v>2</v>
      </c>
      <c r="X48" s="23">
        <v>3</v>
      </c>
      <c r="Y48" s="24">
        <v>3</v>
      </c>
      <c r="Z48" s="24">
        <v>3</v>
      </c>
      <c r="AA48" s="24">
        <v>3</v>
      </c>
      <c r="AB48" s="25">
        <v>3</v>
      </c>
      <c r="AC48" s="22">
        <v>3</v>
      </c>
      <c r="AD48" s="23">
        <v>1</v>
      </c>
      <c r="AE48" s="24">
        <v>1</v>
      </c>
      <c r="AF48" s="24">
        <v>1</v>
      </c>
      <c r="AG48" s="24">
        <v>1</v>
      </c>
      <c r="AH48" s="25">
        <v>1</v>
      </c>
      <c r="AI48" s="25">
        <v>3</v>
      </c>
      <c r="AJ48" s="54">
        <f t="shared" si="12"/>
        <v>225.8</v>
      </c>
      <c r="AK48" s="55">
        <f t="shared" si="8"/>
        <v>2.2999999999999998</v>
      </c>
      <c r="AL48" s="55">
        <f t="shared" si="6"/>
        <v>3</v>
      </c>
      <c r="AM48" s="56">
        <f t="shared" si="7"/>
        <v>1</v>
      </c>
      <c r="AN48" s="168"/>
      <c r="AO48" s="168"/>
      <c r="AP48" s="168"/>
      <c r="AQ48" s="168"/>
      <c r="AR48" s="168"/>
      <c r="AS48" s="168"/>
      <c r="AT48" s="168"/>
      <c r="AU48" s="168"/>
      <c r="AV48" s="334">
        <f t="shared" si="2"/>
        <v>190</v>
      </c>
      <c r="AW48" s="232"/>
      <c r="AX48" s="213"/>
      <c r="AY48" s="134"/>
      <c r="AZ48" s="182"/>
      <c r="BA48" s="213"/>
      <c r="BB48" s="134"/>
      <c r="BC48" s="232"/>
      <c r="BD48" s="182"/>
      <c r="BE48" s="134"/>
      <c r="BF48" s="182"/>
      <c r="BG48" s="213"/>
      <c r="BH48" s="134"/>
      <c r="BI48" s="236"/>
      <c r="BJ48" s="213"/>
      <c r="BK48" s="134" t="s">
        <v>59</v>
      </c>
      <c r="BL48" s="232">
        <v>187</v>
      </c>
      <c r="BM48" s="213"/>
      <c r="BN48" s="134" t="s">
        <v>59</v>
      </c>
      <c r="BO48" s="168"/>
    </row>
    <row r="49" spans="1:67">
      <c r="A49" s="16" t="s">
        <v>31</v>
      </c>
      <c r="B49" s="65">
        <v>41105</v>
      </c>
      <c r="C49" s="24" t="s">
        <v>72</v>
      </c>
      <c r="D49" s="23">
        <v>167</v>
      </c>
      <c r="E49" s="24">
        <v>234</v>
      </c>
      <c r="F49" s="24">
        <v>255</v>
      </c>
      <c r="G49" s="24">
        <v>237</v>
      </c>
      <c r="H49" s="24">
        <v>252</v>
      </c>
      <c r="I49" s="24">
        <v>205</v>
      </c>
      <c r="J49" s="24">
        <v>194</v>
      </c>
      <c r="K49" s="26">
        <v>145</v>
      </c>
      <c r="L49" s="26">
        <v>235</v>
      </c>
      <c r="M49" s="27">
        <v>354</v>
      </c>
      <c r="N49" s="23">
        <v>3</v>
      </c>
      <c r="O49" s="24">
        <v>3</v>
      </c>
      <c r="P49" s="24">
        <v>3</v>
      </c>
      <c r="Q49" s="24">
        <v>3</v>
      </c>
      <c r="R49" s="24">
        <v>3</v>
      </c>
      <c r="S49" s="24">
        <v>3</v>
      </c>
      <c r="T49" s="24">
        <v>3</v>
      </c>
      <c r="U49" s="26">
        <v>3</v>
      </c>
      <c r="V49" s="26">
        <v>3</v>
      </c>
      <c r="W49" s="27">
        <v>3</v>
      </c>
      <c r="X49" s="23">
        <v>3</v>
      </c>
      <c r="Y49" s="24">
        <v>3</v>
      </c>
      <c r="Z49" s="24">
        <v>3</v>
      </c>
      <c r="AA49" s="24">
        <v>3</v>
      </c>
      <c r="AB49" s="25">
        <v>3</v>
      </c>
      <c r="AC49" s="22">
        <v>3</v>
      </c>
      <c r="AD49" s="23">
        <v>1</v>
      </c>
      <c r="AE49" s="24">
        <v>1</v>
      </c>
      <c r="AF49" s="24">
        <v>1</v>
      </c>
      <c r="AG49" s="24">
        <v>1</v>
      </c>
      <c r="AH49" s="25">
        <v>1</v>
      </c>
      <c r="AI49" s="25">
        <v>3</v>
      </c>
      <c r="AJ49" s="54">
        <f t="shared" si="12"/>
        <v>227.8</v>
      </c>
      <c r="AK49" s="55">
        <f t="shared" si="8"/>
        <v>3</v>
      </c>
      <c r="AL49" s="55">
        <f t="shared" si="6"/>
        <v>3</v>
      </c>
      <c r="AM49" s="56">
        <f t="shared" si="7"/>
        <v>1</v>
      </c>
      <c r="AN49" s="168"/>
      <c r="AO49" s="168"/>
      <c r="AP49" s="168"/>
      <c r="AQ49" s="168"/>
      <c r="AR49" s="168"/>
      <c r="AS49" s="168"/>
      <c r="AT49" s="168"/>
      <c r="AU49" s="168"/>
      <c r="AV49" s="334">
        <f t="shared" si="2"/>
        <v>197</v>
      </c>
      <c r="AW49" s="232"/>
      <c r="AX49" s="213"/>
      <c r="AY49" s="134"/>
      <c r="AZ49" s="182"/>
      <c r="BA49" s="213"/>
      <c r="BB49" s="134"/>
      <c r="BC49" s="232"/>
      <c r="BD49" s="182"/>
      <c r="BE49" s="134"/>
      <c r="BF49" s="182"/>
      <c r="BG49" s="213"/>
      <c r="BH49" s="134"/>
      <c r="BI49" s="236"/>
      <c r="BJ49" s="213"/>
      <c r="BK49" s="134" t="s">
        <v>59</v>
      </c>
      <c r="BL49" s="232">
        <v>187</v>
      </c>
      <c r="BM49" s="213"/>
      <c r="BN49" s="134" t="s">
        <v>59</v>
      </c>
      <c r="BO49" s="168"/>
    </row>
    <row r="50" spans="1:67">
      <c r="A50" s="16" t="s">
        <v>31</v>
      </c>
      <c r="B50" s="65"/>
      <c r="C50" s="24"/>
      <c r="D50" s="23"/>
      <c r="E50" s="24"/>
      <c r="F50" s="24"/>
      <c r="G50" s="24"/>
      <c r="H50" s="24"/>
      <c r="I50" s="24"/>
      <c r="J50" s="24"/>
      <c r="K50" s="26"/>
      <c r="L50" s="26"/>
      <c r="M50" s="27"/>
      <c r="N50" s="23"/>
      <c r="O50" s="24"/>
      <c r="P50" s="24"/>
      <c r="Q50" s="24"/>
      <c r="R50" s="24"/>
      <c r="S50" s="24"/>
      <c r="T50" s="24"/>
      <c r="U50" s="26"/>
      <c r="V50" s="26"/>
      <c r="W50" s="27"/>
      <c r="X50" s="23"/>
      <c r="Y50" s="24"/>
      <c r="Z50" s="24"/>
      <c r="AA50" s="24"/>
      <c r="AB50" s="25"/>
      <c r="AC50" s="22"/>
      <c r="AD50" s="23"/>
      <c r="AE50" s="24"/>
      <c r="AF50" s="24"/>
      <c r="AG50" s="24"/>
      <c r="AH50" s="25"/>
      <c r="AI50" s="25"/>
      <c r="AJ50" s="54" t="str">
        <f t="shared" si="12"/>
        <v/>
      </c>
      <c r="AK50" s="55" t="str">
        <f t="shared" si="8"/>
        <v/>
      </c>
      <c r="AL50" s="55" t="str">
        <f t="shared" si="6"/>
        <v/>
      </c>
      <c r="AM50" s="56" t="str">
        <f t="shared" si="7"/>
        <v/>
      </c>
      <c r="AN50" s="168"/>
      <c r="AO50" s="168"/>
      <c r="AP50" s="168"/>
      <c r="AQ50" s="168"/>
      <c r="AR50" s="168"/>
      <c r="AS50" s="168"/>
      <c r="AT50" s="168"/>
      <c r="AU50" s="168"/>
      <c r="AV50" s="334">
        <f t="shared" si="2"/>
        <v>197</v>
      </c>
      <c r="AW50" s="232"/>
      <c r="AX50" s="213"/>
      <c r="AY50" s="134"/>
      <c r="AZ50" s="182"/>
      <c r="BA50" s="213"/>
      <c r="BB50" s="134"/>
      <c r="BC50" s="232"/>
      <c r="BD50" s="182"/>
      <c r="BE50" s="134"/>
      <c r="BF50" s="182"/>
      <c r="BG50" s="213"/>
      <c r="BH50" s="134"/>
      <c r="BI50" s="236"/>
      <c r="BJ50" s="213"/>
      <c r="BK50" s="134" t="s">
        <v>59</v>
      </c>
      <c r="BL50" s="232">
        <v>187</v>
      </c>
      <c r="BM50" s="213"/>
      <c r="BN50" s="134" t="s">
        <v>59</v>
      </c>
      <c r="BO50" s="168"/>
    </row>
    <row r="51" spans="1:67">
      <c r="A51" s="16" t="s">
        <v>31</v>
      </c>
      <c r="B51" s="65"/>
      <c r="C51" s="24"/>
      <c r="D51" s="23"/>
      <c r="E51" s="24"/>
      <c r="F51" s="24"/>
      <c r="G51" s="24"/>
      <c r="H51" s="24"/>
      <c r="I51" s="24"/>
      <c r="J51" s="24"/>
      <c r="K51" s="26"/>
      <c r="L51" s="26"/>
      <c r="M51" s="27"/>
      <c r="N51" s="23"/>
      <c r="O51" s="24"/>
      <c r="P51" s="24"/>
      <c r="Q51" s="24"/>
      <c r="R51" s="24"/>
      <c r="S51" s="24"/>
      <c r="T51" s="24"/>
      <c r="U51" s="26"/>
      <c r="V51" s="26"/>
      <c r="W51" s="27"/>
      <c r="X51" s="23"/>
      <c r="Y51" s="24"/>
      <c r="Z51" s="24"/>
      <c r="AA51" s="24"/>
      <c r="AB51" s="25"/>
      <c r="AC51" s="22"/>
      <c r="AD51" s="23"/>
      <c r="AE51" s="24"/>
      <c r="AF51" s="24"/>
      <c r="AG51" s="24"/>
      <c r="AH51" s="25"/>
      <c r="AI51" s="25"/>
      <c r="AJ51" s="54" t="str">
        <f t="shared" si="12"/>
        <v/>
      </c>
      <c r="AK51" s="55" t="str">
        <f t="shared" si="8"/>
        <v/>
      </c>
      <c r="AL51" s="55" t="str">
        <f t="shared" si="6"/>
        <v/>
      </c>
      <c r="AM51" s="56" t="str">
        <f t="shared" si="7"/>
        <v/>
      </c>
      <c r="AN51" s="168"/>
      <c r="AO51" s="168"/>
      <c r="AP51" s="168"/>
      <c r="AQ51" s="168"/>
      <c r="AR51" s="168"/>
      <c r="AS51" s="168"/>
      <c r="AT51" s="168"/>
      <c r="AU51" s="168"/>
      <c r="AV51" s="334">
        <f t="shared" si="2"/>
        <v>197</v>
      </c>
      <c r="AW51" s="232"/>
      <c r="AX51" s="213"/>
      <c r="AY51" s="134"/>
      <c r="AZ51" s="182"/>
      <c r="BA51" s="213"/>
      <c r="BB51" s="134"/>
      <c r="BC51" s="232"/>
      <c r="BD51" s="182"/>
      <c r="BE51" s="134"/>
      <c r="BF51" s="182"/>
      <c r="BG51" s="213"/>
      <c r="BH51" s="134"/>
      <c r="BI51" s="236"/>
      <c r="BJ51" s="213"/>
      <c r="BK51" s="134" t="s">
        <v>59</v>
      </c>
      <c r="BL51" s="232">
        <v>187</v>
      </c>
      <c r="BM51" s="213"/>
      <c r="BN51" s="134" t="s">
        <v>59</v>
      </c>
      <c r="BO51" s="168"/>
    </row>
    <row r="52" spans="1:67">
      <c r="A52" s="16" t="s">
        <v>31</v>
      </c>
      <c r="B52" s="65"/>
      <c r="C52" s="24"/>
      <c r="D52" s="23"/>
      <c r="E52" s="24"/>
      <c r="F52" s="24"/>
      <c r="G52" s="24"/>
      <c r="H52" s="24"/>
      <c r="I52" s="24"/>
      <c r="J52" s="24"/>
      <c r="K52" s="26"/>
      <c r="L52" s="26"/>
      <c r="M52" s="27"/>
      <c r="N52" s="23"/>
      <c r="O52" s="24"/>
      <c r="P52" s="24"/>
      <c r="Q52" s="24"/>
      <c r="R52" s="24"/>
      <c r="S52" s="24"/>
      <c r="T52" s="24"/>
      <c r="U52" s="26"/>
      <c r="V52" s="26"/>
      <c r="W52" s="27"/>
      <c r="X52" s="23"/>
      <c r="Y52" s="24"/>
      <c r="Z52" s="24"/>
      <c r="AA52" s="24"/>
      <c r="AB52" s="25"/>
      <c r="AC52" s="22"/>
      <c r="AD52" s="23"/>
      <c r="AE52" s="24"/>
      <c r="AF52" s="24"/>
      <c r="AG52" s="24"/>
      <c r="AH52" s="25"/>
      <c r="AI52" s="25"/>
      <c r="AJ52" s="54" t="str">
        <f t="shared" si="12"/>
        <v/>
      </c>
      <c r="AK52" s="55" t="str">
        <f t="shared" si="8"/>
        <v/>
      </c>
      <c r="AL52" s="55" t="str">
        <f t="shared" si="6"/>
        <v/>
      </c>
      <c r="AM52" s="56" t="str">
        <f t="shared" si="7"/>
        <v/>
      </c>
      <c r="AN52" s="168"/>
      <c r="AO52" s="168"/>
      <c r="AP52" s="168"/>
      <c r="AQ52" s="168"/>
      <c r="AR52" s="168"/>
      <c r="AS52" s="168"/>
      <c r="AT52" s="168"/>
      <c r="AU52" s="168"/>
      <c r="AV52" s="334">
        <f t="shared" si="2"/>
        <v>197</v>
      </c>
      <c r="AW52" s="232"/>
      <c r="AX52" s="213"/>
      <c r="AY52" s="134"/>
      <c r="AZ52" s="182"/>
      <c r="BA52" s="213"/>
      <c r="BB52" s="134"/>
      <c r="BC52" s="232"/>
      <c r="BD52" s="182"/>
      <c r="BE52" s="134"/>
      <c r="BF52" s="182"/>
      <c r="BG52" s="213"/>
      <c r="BH52" s="134"/>
      <c r="BI52" s="236"/>
      <c r="BJ52" s="213"/>
      <c r="BK52" s="134" t="s">
        <v>59</v>
      </c>
      <c r="BL52" s="232">
        <v>187</v>
      </c>
      <c r="BM52" s="213"/>
      <c r="BN52" s="134" t="s">
        <v>59</v>
      </c>
      <c r="BO52" s="168"/>
    </row>
    <row r="53" spans="1:67">
      <c r="A53" s="16" t="s">
        <v>31</v>
      </c>
      <c r="B53" s="65"/>
      <c r="C53" s="24"/>
      <c r="D53" s="23"/>
      <c r="E53" s="24"/>
      <c r="F53" s="24"/>
      <c r="G53" s="24"/>
      <c r="H53" s="24"/>
      <c r="I53" s="24"/>
      <c r="J53" s="24"/>
      <c r="K53" s="26"/>
      <c r="L53" s="26"/>
      <c r="M53" s="27"/>
      <c r="N53" s="23"/>
      <c r="O53" s="24"/>
      <c r="P53" s="24"/>
      <c r="Q53" s="24"/>
      <c r="R53" s="24"/>
      <c r="S53" s="24"/>
      <c r="T53" s="24"/>
      <c r="U53" s="26"/>
      <c r="V53" s="26"/>
      <c r="W53" s="27"/>
      <c r="X53" s="23"/>
      <c r="Y53" s="24"/>
      <c r="Z53" s="24"/>
      <c r="AA53" s="24"/>
      <c r="AB53" s="25"/>
      <c r="AC53" s="22"/>
      <c r="AD53" s="23"/>
      <c r="AE53" s="24"/>
      <c r="AF53" s="24"/>
      <c r="AG53" s="24"/>
      <c r="AH53" s="25"/>
      <c r="AI53" s="25"/>
      <c r="AJ53" s="54" t="str">
        <f t="shared" si="12"/>
        <v/>
      </c>
      <c r="AK53" s="55" t="str">
        <f t="shared" si="8"/>
        <v/>
      </c>
      <c r="AL53" s="55" t="str">
        <f t="shared" si="6"/>
        <v/>
      </c>
      <c r="AM53" s="56" t="str">
        <f t="shared" si="7"/>
        <v/>
      </c>
      <c r="AN53" s="168"/>
      <c r="AO53" s="168"/>
      <c r="AP53" s="168"/>
      <c r="AQ53" s="168"/>
      <c r="AR53" s="168"/>
      <c r="AS53" s="168"/>
      <c r="AT53" s="168"/>
      <c r="AU53" s="168"/>
      <c r="AV53" s="334">
        <f t="shared" si="2"/>
        <v>197</v>
      </c>
      <c r="AW53" s="232"/>
      <c r="AX53" s="213"/>
      <c r="AY53" s="134"/>
      <c r="AZ53" s="182"/>
      <c r="BA53" s="213"/>
      <c r="BB53" s="134"/>
      <c r="BC53" s="232"/>
      <c r="BD53" s="182"/>
      <c r="BE53" s="134"/>
      <c r="BF53" s="182"/>
      <c r="BG53" s="213"/>
      <c r="BH53" s="134"/>
      <c r="BI53" s="236"/>
      <c r="BJ53" s="213"/>
      <c r="BK53" s="134" t="s">
        <v>59</v>
      </c>
      <c r="BL53" s="232">
        <v>187</v>
      </c>
      <c r="BM53" s="213"/>
      <c r="BN53" s="134" t="s">
        <v>59</v>
      </c>
      <c r="BO53" s="168"/>
    </row>
    <row r="54" spans="1:67">
      <c r="A54" s="16" t="s">
        <v>31</v>
      </c>
      <c r="B54" s="65"/>
      <c r="C54" s="24"/>
      <c r="D54" s="23"/>
      <c r="E54" s="24"/>
      <c r="F54" s="24"/>
      <c r="G54" s="24"/>
      <c r="H54" s="24"/>
      <c r="I54" s="24"/>
      <c r="J54" s="24"/>
      <c r="K54" s="26"/>
      <c r="L54" s="26"/>
      <c r="M54" s="27"/>
      <c r="N54" s="23"/>
      <c r="O54" s="24"/>
      <c r="P54" s="24"/>
      <c r="Q54" s="24"/>
      <c r="R54" s="24"/>
      <c r="S54" s="24"/>
      <c r="T54" s="24"/>
      <c r="U54" s="26"/>
      <c r="V54" s="26"/>
      <c r="W54" s="27"/>
      <c r="X54" s="23"/>
      <c r="Y54" s="24"/>
      <c r="Z54" s="24"/>
      <c r="AA54" s="24"/>
      <c r="AB54" s="25"/>
      <c r="AC54" s="22"/>
      <c r="AD54" s="23"/>
      <c r="AE54" s="24"/>
      <c r="AF54" s="24"/>
      <c r="AG54" s="24"/>
      <c r="AH54" s="25"/>
      <c r="AI54" s="25"/>
      <c r="AJ54" s="54" t="str">
        <f t="shared" si="12"/>
        <v/>
      </c>
      <c r="AK54" s="55" t="str">
        <f t="shared" si="8"/>
        <v/>
      </c>
      <c r="AL54" s="55"/>
      <c r="AM54" s="56"/>
      <c r="AN54" s="168"/>
      <c r="AO54" s="168"/>
      <c r="AP54" s="168"/>
      <c r="AQ54" s="168"/>
      <c r="AR54" s="168"/>
      <c r="AS54" s="168"/>
      <c r="AT54" s="168"/>
      <c r="AU54" s="168"/>
      <c r="AV54" s="334">
        <f t="shared" si="2"/>
        <v>197</v>
      </c>
      <c r="AW54" s="232"/>
      <c r="AX54" s="213"/>
      <c r="AY54" s="134"/>
      <c r="AZ54" s="182"/>
      <c r="BA54" s="213"/>
      <c r="BB54" s="134"/>
      <c r="BC54" s="232"/>
      <c r="BD54" s="182"/>
      <c r="BE54" s="134"/>
      <c r="BF54" s="182"/>
      <c r="BG54" s="213"/>
      <c r="BH54" s="134"/>
      <c r="BI54" s="236"/>
      <c r="BJ54" s="213"/>
      <c r="BK54" s="134" t="s">
        <v>59</v>
      </c>
      <c r="BL54" s="232">
        <v>187</v>
      </c>
      <c r="BM54" s="213"/>
      <c r="BN54" s="134" t="s">
        <v>59</v>
      </c>
      <c r="BO54" s="168"/>
    </row>
    <row r="55" spans="1:67">
      <c r="A55" s="16" t="s">
        <v>31</v>
      </c>
      <c r="B55" s="65"/>
      <c r="C55" s="24"/>
      <c r="D55" s="23"/>
      <c r="E55" s="24"/>
      <c r="F55" s="24"/>
      <c r="G55" s="24"/>
      <c r="H55" s="24"/>
      <c r="I55" s="24"/>
      <c r="J55" s="24"/>
      <c r="K55" s="26"/>
      <c r="L55" s="26"/>
      <c r="M55" s="27"/>
      <c r="N55" s="23"/>
      <c r="O55" s="24"/>
      <c r="P55" s="24"/>
      <c r="Q55" s="24"/>
      <c r="R55" s="24"/>
      <c r="S55" s="24"/>
      <c r="T55" s="24"/>
      <c r="U55" s="26"/>
      <c r="V55" s="26"/>
      <c r="W55" s="27"/>
      <c r="X55" s="23"/>
      <c r="Y55" s="24"/>
      <c r="Z55" s="24"/>
      <c r="AA55" s="24"/>
      <c r="AB55" s="25"/>
      <c r="AC55" s="22"/>
      <c r="AD55" s="23"/>
      <c r="AE55" s="24"/>
      <c r="AF55" s="24"/>
      <c r="AG55" s="24"/>
      <c r="AH55" s="25"/>
      <c r="AI55" s="25"/>
      <c r="AJ55" s="54" t="str">
        <f t="shared" si="12"/>
        <v/>
      </c>
      <c r="AK55" s="55" t="str">
        <f t="shared" si="8"/>
        <v/>
      </c>
      <c r="AL55" s="55"/>
      <c r="AM55" s="56"/>
      <c r="AN55" s="168"/>
      <c r="AO55" s="168"/>
      <c r="AP55" s="168"/>
      <c r="AQ55" s="168"/>
      <c r="AR55" s="168"/>
      <c r="AS55" s="168"/>
      <c r="AT55" s="168"/>
      <c r="AU55" s="168"/>
      <c r="AV55" s="334">
        <f t="shared" si="2"/>
        <v>197</v>
      </c>
      <c r="AW55" s="232"/>
      <c r="AX55" s="213"/>
      <c r="AY55" s="134"/>
      <c r="AZ55" s="182"/>
      <c r="BA55" s="213"/>
      <c r="BB55" s="134"/>
      <c r="BC55" s="232"/>
      <c r="BD55" s="182"/>
      <c r="BE55" s="134"/>
      <c r="BF55" s="182"/>
      <c r="BG55" s="213"/>
      <c r="BH55" s="134"/>
      <c r="BI55" s="236"/>
      <c r="BJ55" s="213"/>
      <c r="BK55" s="134" t="s">
        <v>59</v>
      </c>
      <c r="BL55" s="232">
        <v>187</v>
      </c>
      <c r="BM55" s="213"/>
      <c r="BN55" s="134" t="s">
        <v>59</v>
      </c>
      <c r="BO55" s="168"/>
    </row>
    <row r="56" spans="1:67">
      <c r="A56" s="16" t="s">
        <v>31</v>
      </c>
      <c r="B56" s="65"/>
      <c r="C56" s="24"/>
      <c r="D56" s="23"/>
      <c r="E56" s="24"/>
      <c r="F56" s="24"/>
      <c r="G56" s="24"/>
      <c r="H56" s="24"/>
      <c r="I56" s="24"/>
      <c r="J56" s="24"/>
      <c r="K56" s="26"/>
      <c r="L56" s="26"/>
      <c r="M56" s="27"/>
      <c r="N56" s="23"/>
      <c r="O56" s="24"/>
      <c r="P56" s="24"/>
      <c r="Q56" s="24"/>
      <c r="R56" s="24"/>
      <c r="S56" s="24"/>
      <c r="T56" s="24"/>
      <c r="U56" s="26"/>
      <c r="V56" s="26"/>
      <c r="W56" s="27"/>
      <c r="X56" s="23"/>
      <c r="Y56" s="24"/>
      <c r="Z56" s="24"/>
      <c r="AA56" s="24"/>
      <c r="AB56" s="25"/>
      <c r="AC56" s="22"/>
      <c r="AD56" s="23"/>
      <c r="AE56" s="24"/>
      <c r="AF56" s="24"/>
      <c r="AG56" s="24"/>
      <c r="AH56" s="25"/>
      <c r="AI56" s="25"/>
      <c r="AJ56" s="54" t="str">
        <f t="shared" si="12"/>
        <v/>
      </c>
      <c r="AK56" s="55" t="str">
        <f t="shared" si="8"/>
        <v/>
      </c>
      <c r="AL56" s="55"/>
      <c r="AM56" s="56"/>
      <c r="AN56" s="168"/>
      <c r="AO56" s="168"/>
      <c r="AP56" s="168"/>
      <c r="AQ56" s="168"/>
      <c r="AR56" s="168"/>
      <c r="AS56" s="168"/>
      <c r="AT56" s="168"/>
      <c r="AU56" s="168"/>
      <c r="AV56" s="334">
        <f t="shared" si="2"/>
        <v>197</v>
      </c>
      <c r="AW56" s="232"/>
      <c r="AX56" s="213"/>
      <c r="AY56" s="134"/>
      <c r="AZ56" s="182"/>
      <c r="BA56" s="213"/>
      <c r="BB56" s="134"/>
      <c r="BC56" s="232"/>
      <c r="BD56" s="182"/>
      <c r="BE56" s="134"/>
      <c r="BF56" s="182"/>
      <c r="BG56" s="213"/>
      <c r="BH56" s="134"/>
      <c r="BI56" s="236"/>
      <c r="BJ56" s="213"/>
      <c r="BK56" s="134" t="s">
        <v>59</v>
      </c>
      <c r="BL56" s="232">
        <v>187</v>
      </c>
      <c r="BM56" s="213"/>
      <c r="BN56" s="134" t="s">
        <v>59</v>
      </c>
      <c r="BO56" s="168"/>
    </row>
    <row r="57" spans="1:67">
      <c r="A57" s="16" t="s">
        <v>31</v>
      </c>
      <c r="B57" s="65"/>
      <c r="C57" s="24"/>
      <c r="D57" s="23"/>
      <c r="E57" s="24"/>
      <c r="F57" s="24"/>
      <c r="G57" s="24"/>
      <c r="H57" s="24"/>
      <c r="I57" s="24"/>
      <c r="J57" s="24"/>
      <c r="K57" s="26"/>
      <c r="L57" s="26"/>
      <c r="M57" s="27"/>
      <c r="N57" s="23"/>
      <c r="O57" s="24"/>
      <c r="P57" s="24"/>
      <c r="Q57" s="24"/>
      <c r="R57" s="24"/>
      <c r="S57" s="24"/>
      <c r="T57" s="24"/>
      <c r="U57" s="26"/>
      <c r="V57" s="26"/>
      <c r="W57" s="27"/>
      <c r="X57" s="23"/>
      <c r="Y57" s="24"/>
      <c r="Z57" s="24"/>
      <c r="AA57" s="24"/>
      <c r="AB57" s="25"/>
      <c r="AC57" s="22"/>
      <c r="AD57" s="23"/>
      <c r="AE57" s="24"/>
      <c r="AF57" s="24"/>
      <c r="AG57" s="24"/>
      <c r="AH57" s="25"/>
      <c r="AI57" s="25"/>
      <c r="AJ57" s="54" t="str">
        <f t="shared" si="12"/>
        <v/>
      </c>
      <c r="AK57" s="55" t="str">
        <f t="shared" si="8"/>
        <v/>
      </c>
      <c r="AL57" s="55"/>
      <c r="AM57" s="56"/>
      <c r="AN57" s="168"/>
      <c r="AO57" s="168"/>
      <c r="AP57" s="168"/>
      <c r="AQ57" s="168"/>
      <c r="AR57" s="168"/>
      <c r="AS57" s="168"/>
      <c r="AT57" s="168"/>
      <c r="AU57" s="168"/>
      <c r="AV57" s="334">
        <f t="shared" si="2"/>
        <v>197</v>
      </c>
      <c r="AW57" s="232"/>
      <c r="AX57" s="213"/>
      <c r="AY57" s="134"/>
      <c r="AZ57" s="182"/>
      <c r="BA57" s="213"/>
      <c r="BB57" s="134"/>
      <c r="BC57" s="232"/>
      <c r="BD57" s="182"/>
      <c r="BE57" s="134"/>
      <c r="BF57" s="182"/>
      <c r="BG57" s="213"/>
      <c r="BH57" s="134"/>
      <c r="BI57" s="236"/>
      <c r="BJ57" s="213"/>
      <c r="BK57" s="134" t="s">
        <v>59</v>
      </c>
      <c r="BL57" s="232">
        <v>187</v>
      </c>
      <c r="BM57" s="213"/>
      <c r="BN57" s="134" t="s">
        <v>59</v>
      </c>
      <c r="BO57" s="168"/>
    </row>
    <row r="58" spans="1:67">
      <c r="A58" s="16" t="s">
        <v>31</v>
      </c>
      <c r="B58" s="65"/>
      <c r="C58" s="24"/>
      <c r="D58" s="23"/>
      <c r="E58" s="24"/>
      <c r="F58" s="24"/>
      <c r="G58" s="24"/>
      <c r="H58" s="24"/>
      <c r="I58" s="24"/>
      <c r="J58" s="24"/>
      <c r="K58" s="26"/>
      <c r="L58" s="26"/>
      <c r="M58" s="27"/>
      <c r="N58" s="23"/>
      <c r="O58" s="24"/>
      <c r="P58" s="24"/>
      <c r="Q58" s="24"/>
      <c r="R58" s="24"/>
      <c r="S58" s="24"/>
      <c r="T58" s="24"/>
      <c r="U58" s="26"/>
      <c r="V58" s="26"/>
      <c r="W58" s="27"/>
      <c r="X58" s="23"/>
      <c r="Y58" s="24"/>
      <c r="Z58" s="24"/>
      <c r="AA58" s="24"/>
      <c r="AB58" s="25"/>
      <c r="AC58" s="22"/>
      <c r="AD58" s="23"/>
      <c r="AE58" s="24"/>
      <c r="AF58" s="24"/>
      <c r="AG58" s="24"/>
      <c r="AH58" s="25"/>
      <c r="AI58" s="25"/>
      <c r="AJ58" s="54" t="str">
        <f t="shared" si="12"/>
        <v/>
      </c>
      <c r="AK58" s="55" t="str">
        <f t="shared" si="8"/>
        <v/>
      </c>
      <c r="AL58" s="55"/>
      <c r="AM58" s="56"/>
      <c r="AN58" s="168"/>
      <c r="AO58" s="168"/>
      <c r="AP58" s="168"/>
      <c r="AQ58" s="168"/>
      <c r="AR58" s="168"/>
      <c r="AS58" s="168"/>
      <c r="AT58" s="168"/>
      <c r="AU58" s="168"/>
      <c r="AV58" s="334">
        <f t="shared" si="2"/>
        <v>197</v>
      </c>
      <c r="AW58" s="232"/>
      <c r="AX58" s="213"/>
      <c r="AY58" s="134"/>
      <c r="AZ58" s="182"/>
      <c r="BA58" s="213"/>
      <c r="BB58" s="134"/>
      <c r="BC58" s="232"/>
      <c r="BD58" s="182"/>
      <c r="BE58" s="134"/>
      <c r="BF58" s="182"/>
      <c r="BG58" s="213"/>
      <c r="BH58" s="134"/>
      <c r="BI58" s="236"/>
      <c r="BJ58" s="213"/>
      <c r="BK58" s="134" t="s">
        <v>59</v>
      </c>
      <c r="BL58" s="232">
        <v>187</v>
      </c>
      <c r="BM58" s="213"/>
      <c r="BN58" s="134" t="s">
        <v>59</v>
      </c>
      <c r="BO58" s="168"/>
    </row>
    <row r="59" spans="1:67">
      <c r="A59" s="16" t="s">
        <v>31</v>
      </c>
      <c r="B59" s="65"/>
      <c r="C59" s="24"/>
      <c r="D59" s="23"/>
      <c r="E59" s="24"/>
      <c r="F59" s="24"/>
      <c r="G59" s="24"/>
      <c r="H59" s="24"/>
      <c r="I59" s="24"/>
      <c r="J59" s="24"/>
      <c r="K59" s="26"/>
      <c r="L59" s="26"/>
      <c r="M59" s="27"/>
      <c r="N59" s="23"/>
      <c r="O59" s="24"/>
      <c r="P59" s="24"/>
      <c r="Q59" s="24"/>
      <c r="R59" s="24"/>
      <c r="S59" s="24"/>
      <c r="T59" s="24"/>
      <c r="U59" s="26"/>
      <c r="V59" s="26"/>
      <c r="W59" s="27"/>
      <c r="X59" s="23"/>
      <c r="Y59" s="24"/>
      <c r="Z59" s="24"/>
      <c r="AA59" s="24"/>
      <c r="AB59" s="25"/>
      <c r="AC59" s="22"/>
      <c r="AD59" s="23"/>
      <c r="AE59" s="24"/>
      <c r="AF59" s="24"/>
      <c r="AG59" s="24"/>
      <c r="AH59" s="25"/>
      <c r="AI59" s="25"/>
      <c r="AJ59" s="54" t="str">
        <f t="shared" si="12"/>
        <v/>
      </c>
      <c r="AK59" s="55" t="str">
        <f t="shared" si="8"/>
        <v/>
      </c>
      <c r="AL59" s="55"/>
      <c r="AM59" s="56"/>
      <c r="AN59" s="168"/>
      <c r="AO59" s="168"/>
      <c r="AP59" s="168"/>
      <c r="AQ59" s="168"/>
      <c r="AR59" s="168"/>
      <c r="AS59" s="168"/>
      <c r="AT59" s="168"/>
      <c r="AU59" s="168"/>
      <c r="AV59" s="334">
        <f t="shared" si="2"/>
        <v>197</v>
      </c>
      <c r="AW59" s="232"/>
      <c r="AX59" s="213"/>
      <c r="AY59" s="134"/>
      <c r="AZ59" s="182"/>
      <c r="BA59" s="213"/>
      <c r="BB59" s="134"/>
      <c r="BC59" s="232"/>
      <c r="BD59" s="182"/>
      <c r="BE59" s="134"/>
      <c r="BF59" s="182"/>
      <c r="BG59" s="213"/>
      <c r="BH59" s="134"/>
      <c r="BI59" s="236"/>
      <c r="BJ59" s="213"/>
      <c r="BK59" s="134" t="s">
        <v>59</v>
      </c>
      <c r="BL59" s="232">
        <v>187</v>
      </c>
      <c r="BM59" s="213"/>
      <c r="BN59" s="134" t="s">
        <v>59</v>
      </c>
      <c r="BO59" s="168"/>
    </row>
    <row r="60" spans="1:67">
      <c r="A60" s="16" t="s">
        <v>31</v>
      </c>
      <c r="B60" s="65"/>
      <c r="C60" s="24"/>
      <c r="D60" s="23"/>
      <c r="E60" s="24"/>
      <c r="F60" s="24"/>
      <c r="G60" s="24"/>
      <c r="H60" s="24"/>
      <c r="I60" s="24"/>
      <c r="J60" s="24"/>
      <c r="K60" s="26"/>
      <c r="L60" s="26"/>
      <c r="M60" s="27"/>
      <c r="N60" s="23"/>
      <c r="O60" s="24"/>
      <c r="P60" s="24"/>
      <c r="Q60" s="24"/>
      <c r="R60" s="24"/>
      <c r="S60" s="24"/>
      <c r="T60" s="24"/>
      <c r="U60" s="26"/>
      <c r="V60" s="26"/>
      <c r="W60" s="27"/>
      <c r="X60" s="23"/>
      <c r="Y60" s="24"/>
      <c r="Z60" s="24"/>
      <c r="AA60" s="24"/>
      <c r="AB60" s="25"/>
      <c r="AC60" s="22"/>
      <c r="AD60" s="23"/>
      <c r="AE60" s="24"/>
      <c r="AF60" s="24"/>
      <c r="AG60" s="24"/>
      <c r="AH60" s="25"/>
      <c r="AI60" s="25"/>
      <c r="AJ60" s="54" t="str">
        <f t="shared" si="12"/>
        <v/>
      </c>
      <c r="AK60" s="55" t="str">
        <f t="shared" si="8"/>
        <v/>
      </c>
      <c r="AL60" s="55"/>
      <c r="AM60" s="56"/>
      <c r="AN60" s="168"/>
      <c r="AO60" s="168"/>
      <c r="AP60" s="168"/>
      <c r="AQ60" s="168"/>
      <c r="AR60" s="168"/>
      <c r="AS60" s="168"/>
      <c r="AT60" s="168"/>
      <c r="AU60" s="168"/>
      <c r="AV60" s="334">
        <f t="shared" si="2"/>
        <v>197</v>
      </c>
      <c r="AW60" s="232"/>
      <c r="AX60" s="213"/>
      <c r="AY60" s="134"/>
      <c r="AZ60" s="182"/>
      <c r="BA60" s="213"/>
      <c r="BB60" s="134"/>
      <c r="BC60" s="232"/>
      <c r="BD60" s="182"/>
      <c r="BE60" s="134"/>
      <c r="BF60" s="182"/>
      <c r="BG60" s="213"/>
      <c r="BH60" s="134"/>
      <c r="BI60" s="236"/>
      <c r="BJ60" s="213"/>
      <c r="BK60" s="134" t="s">
        <v>59</v>
      </c>
      <c r="BL60" s="232">
        <v>187</v>
      </c>
      <c r="BM60" s="213"/>
      <c r="BN60" s="134" t="s">
        <v>59</v>
      </c>
      <c r="BO60" s="168"/>
    </row>
    <row r="61" spans="1:67">
      <c r="A61" s="16" t="s">
        <v>31</v>
      </c>
      <c r="B61" s="65"/>
      <c r="C61" s="24"/>
      <c r="D61" s="23"/>
      <c r="E61" s="24"/>
      <c r="F61" s="24"/>
      <c r="G61" s="24"/>
      <c r="H61" s="24"/>
      <c r="I61" s="24"/>
      <c r="J61" s="24"/>
      <c r="K61" s="26"/>
      <c r="L61" s="26"/>
      <c r="M61" s="27"/>
      <c r="N61" s="23"/>
      <c r="O61" s="24"/>
      <c r="P61" s="24"/>
      <c r="Q61" s="24"/>
      <c r="R61" s="24"/>
      <c r="S61" s="24"/>
      <c r="T61" s="24"/>
      <c r="U61" s="26"/>
      <c r="V61" s="26"/>
      <c r="W61" s="27"/>
      <c r="X61" s="23"/>
      <c r="Y61" s="24"/>
      <c r="Z61" s="24"/>
      <c r="AA61" s="24"/>
      <c r="AB61" s="25"/>
      <c r="AC61" s="22"/>
      <c r="AD61" s="23"/>
      <c r="AE61" s="24"/>
      <c r="AF61" s="24"/>
      <c r="AG61" s="24"/>
      <c r="AH61" s="25"/>
      <c r="AI61" s="25"/>
      <c r="AJ61" s="54" t="str">
        <f t="shared" si="12"/>
        <v/>
      </c>
      <c r="AK61" s="55" t="str">
        <f t="shared" si="8"/>
        <v/>
      </c>
      <c r="AL61" s="55"/>
      <c r="AM61" s="56"/>
      <c r="AN61" s="168"/>
      <c r="AO61" s="168"/>
      <c r="AP61" s="168"/>
      <c r="AQ61" s="168"/>
      <c r="AR61" s="168"/>
      <c r="AS61" s="168"/>
      <c r="AT61" s="168"/>
      <c r="AU61" s="168"/>
      <c r="AV61" s="334">
        <f t="shared" si="2"/>
        <v>197</v>
      </c>
      <c r="AW61" s="232"/>
      <c r="AX61" s="213"/>
      <c r="AY61" s="134"/>
      <c r="AZ61" s="182"/>
      <c r="BA61" s="213"/>
      <c r="BB61" s="134"/>
      <c r="BC61" s="232"/>
      <c r="BD61" s="182"/>
      <c r="BE61" s="134"/>
      <c r="BF61" s="182"/>
      <c r="BG61" s="213"/>
      <c r="BH61" s="134"/>
      <c r="BI61" s="236"/>
      <c r="BJ61" s="213"/>
      <c r="BK61" s="134" t="s">
        <v>59</v>
      </c>
      <c r="BL61" s="232">
        <v>187</v>
      </c>
      <c r="BM61" s="213"/>
      <c r="BN61" s="134" t="s">
        <v>59</v>
      </c>
      <c r="BO61" s="168"/>
    </row>
    <row r="62" spans="1:67">
      <c r="A62" s="16" t="s">
        <v>31</v>
      </c>
      <c r="B62" s="65"/>
      <c r="C62" s="24"/>
      <c r="D62" s="23"/>
      <c r="E62" s="24"/>
      <c r="F62" s="24"/>
      <c r="G62" s="24"/>
      <c r="H62" s="24"/>
      <c r="I62" s="24"/>
      <c r="J62" s="24"/>
      <c r="K62" s="26"/>
      <c r="L62" s="26"/>
      <c r="M62" s="27"/>
      <c r="N62" s="23"/>
      <c r="O62" s="24"/>
      <c r="P62" s="24"/>
      <c r="Q62" s="24"/>
      <c r="R62" s="24"/>
      <c r="S62" s="24"/>
      <c r="T62" s="24"/>
      <c r="U62" s="26"/>
      <c r="V62" s="26"/>
      <c r="W62" s="27"/>
      <c r="X62" s="23"/>
      <c r="Y62" s="24"/>
      <c r="Z62" s="24"/>
      <c r="AA62" s="24"/>
      <c r="AB62" s="25"/>
      <c r="AC62" s="22"/>
      <c r="AD62" s="23"/>
      <c r="AE62" s="24"/>
      <c r="AF62" s="24"/>
      <c r="AG62" s="24"/>
      <c r="AH62" s="25"/>
      <c r="AI62" s="25"/>
      <c r="AJ62" s="54" t="str">
        <f t="shared" si="12"/>
        <v/>
      </c>
      <c r="AK62" s="55" t="str">
        <f t="shared" si="8"/>
        <v/>
      </c>
      <c r="AL62" s="55"/>
      <c r="AM62" s="56"/>
      <c r="AN62" s="168"/>
      <c r="AO62" s="168"/>
      <c r="AP62" s="168"/>
      <c r="AQ62" s="168"/>
      <c r="AR62" s="168"/>
      <c r="AS62" s="168"/>
      <c r="AT62" s="168"/>
      <c r="AU62" s="168"/>
      <c r="AV62" s="334">
        <f t="shared" si="2"/>
        <v>197</v>
      </c>
      <c r="AW62" s="232"/>
      <c r="AX62" s="213"/>
      <c r="AY62" s="134"/>
      <c r="AZ62" s="182"/>
      <c r="BA62" s="213"/>
      <c r="BB62" s="134"/>
      <c r="BC62" s="232"/>
      <c r="BD62" s="182"/>
      <c r="BE62" s="134"/>
      <c r="BF62" s="182"/>
      <c r="BG62" s="213"/>
      <c r="BH62" s="134"/>
      <c r="BI62" s="236"/>
      <c r="BJ62" s="213"/>
      <c r="BK62" s="134" t="s">
        <v>59</v>
      </c>
      <c r="BL62" s="232">
        <v>187</v>
      </c>
      <c r="BM62" s="213"/>
      <c r="BN62" s="134" t="s">
        <v>59</v>
      </c>
      <c r="BO62" s="168"/>
    </row>
    <row r="63" spans="1:67">
      <c r="A63" s="16" t="s">
        <v>31</v>
      </c>
      <c r="B63" s="65"/>
      <c r="C63" s="24"/>
      <c r="D63" s="23"/>
      <c r="E63" s="24"/>
      <c r="F63" s="24"/>
      <c r="G63" s="24"/>
      <c r="H63" s="24"/>
      <c r="I63" s="24"/>
      <c r="J63" s="24"/>
      <c r="K63" s="26"/>
      <c r="L63" s="26"/>
      <c r="M63" s="27"/>
      <c r="N63" s="23"/>
      <c r="O63" s="24"/>
      <c r="P63" s="24"/>
      <c r="Q63" s="24"/>
      <c r="R63" s="24"/>
      <c r="S63" s="24"/>
      <c r="T63" s="24"/>
      <c r="U63" s="26"/>
      <c r="V63" s="26"/>
      <c r="W63" s="27"/>
      <c r="X63" s="23"/>
      <c r="Y63" s="24"/>
      <c r="Z63" s="24"/>
      <c r="AA63" s="24"/>
      <c r="AB63" s="25"/>
      <c r="AC63" s="22"/>
      <c r="AD63" s="23"/>
      <c r="AE63" s="24"/>
      <c r="AF63" s="24"/>
      <c r="AG63" s="24"/>
      <c r="AH63" s="25"/>
      <c r="AI63" s="25"/>
      <c r="AJ63" s="54" t="str">
        <f t="shared" si="12"/>
        <v/>
      </c>
      <c r="AK63" s="55" t="str">
        <f t="shared" si="8"/>
        <v/>
      </c>
      <c r="AL63" s="55"/>
      <c r="AM63" s="56"/>
      <c r="AN63" s="168"/>
      <c r="AO63" s="168"/>
      <c r="AP63" s="168"/>
      <c r="AQ63" s="168"/>
      <c r="AR63" s="168"/>
      <c r="AS63" s="168"/>
      <c r="AT63" s="168"/>
      <c r="AU63" s="168"/>
      <c r="AV63" s="334">
        <f t="shared" si="2"/>
        <v>197</v>
      </c>
      <c r="AW63" s="232"/>
      <c r="AX63" s="213"/>
      <c r="AY63" s="134"/>
      <c r="AZ63" s="182"/>
      <c r="BA63" s="213"/>
      <c r="BB63" s="134"/>
      <c r="BC63" s="232"/>
      <c r="BD63" s="182"/>
      <c r="BE63" s="134"/>
      <c r="BF63" s="182"/>
      <c r="BG63" s="213"/>
      <c r="BH63" s="134"/>
      <c r="BI63" s="236"/>
      <c r="BJ63" s="213"/>
      <c r="BK63" s="134" t="s">
        <v>59</v>
      </c>
      <c r="BL63" s="232">
        <v>187</v>
      </c>
      <c r="BM63" s="213"/>
      <c r="BN63" s="134" t="s">
        <v>59</v>
      </c>
      <c r="BO63" s="168"/>
    </row>
    <row r="64" spans="1:67" ht="13" thickBot="1">
      <c r="A64" s="17" t="s">
        <v>31</v>
      </c>
      <c r="B64" s="66"/>
      <c r="C64" s="32"/>
      <c r="D64" s="31"/>
      <c r="E64" s="32"/>
      <c r="F64" s="32"/>
      <c r="G64" s="32"/>
      <c r="H64" s="32"/>
      <c r="I64" s="32"/>
      <c r="J64" s="32"/>
      <c r="K64" s="34"/>
      <c r="L64" s="34"/>
      <c r="M64" s="35"/>
      <c r="N64" s="31"/>
      <c r="O64" s="32"/>
      <c r="P64" s="32"/>
      <c r="Q64" s="32"/>
      <c r="R64" s="32"/>
      <c r="S64" s="32"/>
      <c r="T64" s="32"/>
      <c r="U64" s="34"/>
      <c r="V64" s="34"/>
      <c r="W64" s="35"/>
      <c r="X64" s="31"/>
      <c r="Y64" s="32"/>
      <c r="Z64" s="32"/>
      <c r="AA64" s="32"/>
      <c r="AB64" s="33"/>
      <c r="AC64" s="30"/>
      <c r="AD64" s="31"/>
      <c r="AE64" s="32"/>
      <c r="AF64" s="32"/>
      <c r="AG64" s="32"/>
      <c r="AH64" s="33"/>
      <c r="AI64" s="33"/>
      <c r="AJ64" s="57" t="str">
        <f t="shared" si="12"/>
        <v/>
      </c>
      <c r="AK64" s="58" t="str">
        <f t="shared" si="8"/>
        <v/>
      </c>
      <c r="AL64" s="58"/>
      <c r="AM64" s="59"/>
      <c r="AN64" s="168"/>
      <c r="AO64" s="168"/>
      <c r="AP64" s="168"/>
      <c r="AQ64" s="168"/>
      <c r="AR64" s="168"/>
      <c r="AS64" s="168"/>
      <c r="AT64" s="168"/>
      <c r="AU64" s="168"/>
      <c r="AV64" s="334">
        <f t="shared" si="2"/>
        <v>197</v>
      </c>
      <c r="AW64" s="232"/>
      <c r="AX64" s="213"/>
      <c r="AY64" s="134"/>
      <c r="AZ64" s="182"/>
      <c r="BA64" s="213"/>
      <c r="BB64" s="134"/>
      <c r="BC64" s="232"/>
      <c r="BD64" s="182"/>
      <c r="BE64" s="134"/>
      <c r="BF64" s="182"/>
      <c r="BG64" s="213"/>
      <c r="BH64" s="134"/>
      <c r="BI64" s="236"/>
      <c r="BJ64" s="213"/>
      <c r="BK64" s="134" t="s">
        <v>59</v>
      </c>
      <c r="BL64" s="232">
        <v>187</v>
      </c>
      <c r="BM64" s="213"/>
      <c r="BN64" s="134" t="s">
        <v>59</v>
      </c>
      <c r="BO64" s="168"/>
    </row>
    <row r="65" spans="1:67">
      <c r="A65" s="367" t="s">
        <v>32</v>
      </c>
      <c r="B65" s="67">
        <v>41022</v>
      </c>
      <c r="C65" s="40" t="s">
        <v>83</v>
      </c>
      <c r="D65" s="39">
        <v>13</v>
      </c>
      <c r="E65" s="40">
        <v>10</v>
      </c>
      <c r="F65" s="40">
        <v>11</v>
      </c>
      <c r="G65" s="40">
        <v>11</v>
      </c>
      <c r="H65" s="40">
        <v>10</v>
      </c>
      <c r="I65" s="40">
        <v>8</v>
      </c>
      <c r="J65" s="40">
        <v>13</v>
      </c>
      <c r="K65" s="42"/>
      <c r="L65" s="42"/>
      <c r="M65" s="43"/>
      <c r="N65" s="39">
        <v>0</v>
      </c>
      <c r="O65" s="40">
        <v>0</v>
      </c>
      <c r="P65" s="40">
        <v>0</v>
      </c>
      <c r="Q65" s="40">
        <v>0</v>
      </c>
      <c r="R65" s="40">
        <v>0</v>
      </c>
      <c r="S65" s="40">
        <v>0</v>
      </c>
      <c r="T65" s="40">
        <v>0</v>
      </c>
      <c r="U65" s="42"/>
      <c r="V65" s="42"/>
      <c r="W65" s="43"/>
      <c r="X65" s="39">
        <v>0</v>
      </c>
      <c r="Y65" s="40">
        <v>0</v>
      </c>
      <c r="Z65" s="40">
        <v>0</v>
      </c>
      <c r="AA65" s="40">
        <v>0</v>
      </c>
      <c r="AB65" s="41">
        <v>0</v>
      </c>
      <c r="AC65" s="38"/>
      <c r="AD65" s="39">
        <v>0</v>
      </c>
      <c r="AE65" s="40">
        <v>0</v>
      </c>
      <c r="AF65" s="40">
        <v>0</v>
      </c>
      <c r="AG65" s="40">
        <v>0</v>
      </c>
      <c r="AH65" s="41">
        <v>0</v>
      </c>
      <c r="AI65" s="41"/>
      <c r="AJ65" s="61">
        <f t="shared" si="12"/>
        <v>10.857142857142858</v>
      </c>
      <c r="AK65" s="62">
        <f t="shared" si="8"/>
        <v>0</v>
      </c>
      <c r="AL65" s="62">
        <f t="shared" si="6"/>
        <v>0</v>
      </c>
      <c r="AM65" s="63">
        <f>IF(COUNT(AD65:AH65)=0,"",AVERAGE(AD65:AH65))</f>
        <v>0</v>
      </c>
      <c r="AN65" s="168"/>
      <c r="AO65" s="168"/>
      <c r="AP65" s="168"/>
      <c r="AQ65" s="168"/>
      <c r="AR65" s="168"/>
      <c r="AS65" s="168"/>
      <c r="AT65" s="168"/>
      <c r="AU65" s="168"/>
      <c r="AV65" s="334">
        <f t="shared" si="2"/>
        <v>114</v>
      </c>
      <c r="AW65" s="232"/>
      <c r="AX65" s="213"/>
      <c r="AY65" s="134"/>
      <c r="AZ65" s="182"/>
      <c r="BA65" s="213"/>
      <c r="BB65" s="134"/>
      <c r="BC65" s="232"/>
      <c r="BD65" s="182"/>
      <c r="BE65" s="134"/>
      <c r="BF65" s="182"/>
      <c r="BG65" s="213"/>
      <c r="BH65" s="134"/>
      <c r="BI65" s="236">
        <f t="shared" si="11"/>
        <v>113</v>
      </c>
      <c r="BJ65" s="213">
        <v>40291</v>
      </c>
      <c r="BK65" s="134">
        <v>12.285714285714286</v>
      </c>
      <c r="BL65" s="232">
        <v>109</v>
      </c>
      <c r="BM65" s="213">
        <v>40652</v>
      </c>
      <c r="BN65" s="134">
        <v>9.1428571428571423</v>
      </c>
      <c r="BO65" s="168"/>
    </row>
    <row r="66" spans="1:67">
      <c r="A66" s="16" t="s">
        <v>32</v>
      </c>
      <c r="B66" s="65">
        <v>41026</v>
      </c>
      <c r="C66" s="40" t="s">
        <v>82</v>
      </c>
      <c r="D66" s="23">
        <v>14</v>
      </c>
      <c r="E66" s="24">
        <v>11</v>
      </c>
      <c r="F66" s="24">
        <v>13</v>
      </c>
      <c r="G66" s="24">
        <v>11</v>
      </c>
      <c r="H66" s="24">
        <v>10</v>
      </c>
      <c r="I66" s="24">
        <v>9</v>
      </c>
      <c r="J66" s="24">
        <v>13</v>
      </c>
      <c r="K66" s="26"/>
      <c r="L66" s="26"/>
      <c r="M66" s="27"/>
      <c r="N66" s="23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6"/>
      <c r="V66" s="26"/>
      <c r="W66" s="27"/>
      <c r="X66" s="39">
        <v>0</v>
      </c>
      <c r="Y66" s="40">
        <v>0</v>
      </c>
      <c r="Z66" s="40">
        <v>0</v>
      </c>
      <c r="AA66" s="40">
        <v>0</v>
      </c>
      <c r="AB66" s="41">
        <v>0</v>
      </c>
      <c r="AC66" s="38"/>
      <c r="AD66" s="39">
        <v>0</v>
      </c>
      <c r="AE66" s="40">
        <v>0</v>
      </c>
      <c r="AF66" s="40">
        <v>0</v>
      </c>
      <c r="AG66" s="40">
        <v>0</v>
      </c>
      <c r="AH66" s="41">
        <v>0</v>
      </c>
      <c r="AI66" s="41"/>
      <c r="AJ66" s="54">
        <f t="shared" si="12"/>
        <v>11.571428571428571</v>
      </c>
      <c r="AK66" s="55">
        <f t="shared" si="8"/>
        <v>0</v>
      </c>
      <c r="AL66" s="55">
        <f t="shared" si="6"/>
        <v>0</v>
      </c>
      <c r="AM66" s="56">
        <f t="shared" si="7"/>
        <v>0</v>
      </c>
      <c r="AN66" s="168"/>
      <c r="AO66" s="168"/>
      <c r="AP66" s="168"/>
      <c r="AQ66" s="168"/>
      <c r="AR66" s="168"/>
      <c r="AS66" s="168"/>
      <c r="AT66" s="168"/>
      <c r="AU66" s="168"/>
      <c r="AV66" s="334">
        <f t="shared" si="2"/>
        <v>118</v>
      </c>
      <c r="AW66" s="232"/>
      <c r="AX66" s="213"/>
      <c r="AY66" s="134"/>
      <c r="AZ66" s="182"/>
      <c r="BA66" s="213"/>
      <c r="BB66" s="134"/>
      <c r="BC66" s="232"/>
      <c r="BD66" s="182"/>
      <c r="BE66" s="134"/>
      <c r="BF66" s="182"/>
      <c r="BG66" s="213"/>
      <c r="BH66" s="134"/>
      <c r="BI66" s="236">
        <f t="shared" si="11"/>
        <v>119</v>
      </c>
      <c r="BJ66" s="213">
        <v>40297</v>
      </c>
      <c r="BK66" s="134">
        <v>13.857142857142858</v>
      </c>
      <c r="BL66" s="232">
        <v>113</v>
      </c>
      <c r="BM66" s="213">
        <v>40656</v>
      </c>
      <c r="BN66" s="134">
        <v>12.857142857142858</v>
      </c>
      <c r="BO66" s="168"/>
    </row>
    <row r="67" spans="1:67">
      <c r="A67" s="16" t="s">
        <v>32</v>
      </c>
      <c r="B67" s="65">
        <v>41031</v>
      </c>
      <c r="C67" s="40" t="s">
        <v>82</v>
      </c>
      <c r="D67" s="23">
        <v>18</v>
      </c>
      <c r="E67" s="24">
        <v>14</v>
      </c>
      <c r="F67" s="24">
        <v>17</v>
      </c>
      <c r="G67" s="24">
        <v>18</v>
      </c>
      <c r="H67" s="24">
        <v>16</v>
      </c>
      <c r="I67" s="24">
        <v>12</v>
      </c>
      <c r="J67" s="24">
        <v>20</v>
      </c>
      <c r="K67" s="26"/>
      <c r="L67" s="26"/>
      <c r="M67" s="27"/>
      <c r="N67" s="23">
        <v>1</v>
      </c>
      <c r="O67" s="24">
        <v>1</v>
      </c>
      <c r="P67" s="24">
        <v>1</v>
      </c>
      <c r="Q67" s="24">
        <v>1</v>
      </c>
      <c r="R67" s="24">
        <v>1</v>
      </c>
      <c r="S67" s="24">
        <v>1</v>
      </c>
      <c r="T67" s="24">
        <v>1</v>
      </c>
      <c r="U67" s="26"/>
      <c r="V67" s="26"/>
      <c r="W67" s="27"/>
      <c r="X67" s="39">
        <v>0</v>
      </c>
      <c r="Y67" s="40">
        <v>0</v>
      </c>
      <c r="Z67" s="40">
        <v>0</v>
      </c>
      <c r="AA67" s="40">
        <v>0</v>
      </c>
      <c r="AB67" s="41">
        <v>0</v>
      </c>
      <c r="AC67" s="38"/>
      <c r="AD67" s="39">
        <v>0</v>
      </c>
      <c r="AE67" s="40">
        <v>0</v>
      </c>
      <c r="AF67" s="40">
        <v>0</v>
      </c>
      <c r="AG67" s="40">
        <v>0</v>
      </c>
      <c r="AH67" s="41">
        <v>0</v>
      </c>
      <c r="AI67" s="41"/>
      <c r="AJ67" s="54">
        <f t="shared" si="12"/>
        <v>16.428571428571427</v>
      </c>
      <c r="AK67" s="55">
        <f t="shared" si="8"/>
        <v>1</v>
      </c>
      <c r="AL67" s="55">
        <f t="shared" si="6"/>
        <v>0</v>
      </c>
      <c r="AM67" s="56">
        <f t="shared" si="7"/>
        <v>0</v>
      </c>
      <c r="AN67" s="168"/>
      <c r="AO67" s="168"/>
      <c r="AP67" s="168"/>
      <c r="AQ67" s="168"/>
      <c r="AR67" s="168"/>
      <c r="AS67" s="168"/>
      <c r="AT67" s="168"/>
      <c r="AU67" s="168"/>
      <c r="AV67" s="334">
        <f t="shared" si="2"/>
        <v>123</v>
      </c>
      <c r="AW67" s="232"/>
      <c r="AX67" s="213"/>
      <c r="AY67" s="134"/>
      <c r="AZ67" s="182"/>
      <c r="BA67" s="213"/>
      <c r="BB67" s="134"/>
      <c r="BC67" s="232"/>
      <c r="BD67" s="182"/>
      <c r="BE67" s="134"/>
      <c r="BF67" s="182"/>
      <c r="BG67" s="213"/>
      <c r="BH67" s="134"/>
      <c r="BI67" s="236">
        <f t="shared" si="11"/>
        <v>124</v>
      </c>
      <c r="BJ67" s="213">
        <v>40302</v>
      </c>
      <c r="BK67" s="134">
        <v>15.428571428571429</v>
      </c>
      <c r="BL67" s="232">
        <v>118</v>
      </c>
      <c r="BM67" s="213">
        <v>40661</v>
      </c>
      <c r="BN67" s="134">
        <v>17.142857142857142</v>
      </c>
      <c r="BO67" s="168"/>
    </row>
    <row r="68" spans="1:67">
      <c r="A68" s="16" t="s">
        <v>32</v>
      </c>
      <c r="B68" s="65">
        <v>41036</v>
      </c>
      <c r="C68" s="40" t="s">
        <v>83</v>
      </c>
      <c r="D68" s="23">
        <v>28</v>
      </c>
      <c r="E68" s="24">
        <v>21</v>
      </c>
      <c r="F68" s="24">
        <v>24</v>
      </c>
      <c r="G68" s="24">
        <v>23</v>
      </c>
      <c r="H68" s="24">
        <v>20</v>
      </c>
      <c r="I68" s="24">
        <v>14</v>
      </c>
      <c r="J68" s="24">
        <v>20</v>
      </c>
      <c r="K68" s="26"/>
      <c r="L68" s="26"/>
      <c r="M68" s="27"/>
      <c r="N68" s="23">
        <v>2</v>
      </c>
      <c r="O68" s="24">
        <v>2</v>
      </c>
      <c r="P68" s="24">
        <v>2</v>
      </c>
      <c r="Q68" s="24">
        <v>2</v>
      </c>
      <c r="R68" s="24">
        <v>2</v>
      </c>
      <c r="S68" s="24">
        <v>1</v>
      </c>
      <c r="T68" s="24">
        <v>2</v>
      </c>
      <c r="U68" s="26"/>
      <c r="V68" s="26"/>
      <c r="W68" s="27"/>
      <c r="X68" s="39">
        <v>0</v>
      </c>
      <c r="Y68" s="40">
        <v>0</v>
      </c>
      <c r="Z68" s="40">
        <v>0</v>
      </c>
      <c r="AA68" s="40">
        <v>0</v>
      </c>
      <c r="AB68" s="41">
        <v>0</v>
      </c>
      <c r="AC68" s="38"/>
      <c r="AD68" s="39">
        <v>0</v>
      </c>
      <c r="AE68" s="40">
        <v>0</v>
      </c>
      <c r="AF68" s="40">
        <v>0</v>
      </c>
      <c r="AG68" s="40">
        <v>0</v>
      </c>
      <c r="AH68" s="41">
        <v>0</v>
      </c>
      <c r="AI68" s="41"/>
      <c r="AJ68" s="54">
        <f t="shared" si="12"/>
        <v>21.428571428571427</v>
      </c>
      <c r="AK68" s="55">
        <f t="shared" si="8"/>
        <v>1.8571428571428572</v>
      </c>
      <c r="AL68" s="55">
        <f t="shared" si="6"/>
        <v>0</v>
      </c>
      <c r="AM68" s="56">
        <f t="shared" si="7"/>
        <v>0</v>
      </c>
      <c r="AN68" s="168"/>
      <c r="AO68" s="168"/>
      <c r="AP68" s="168"/>
      <c r="AQ68" s="168"/>
      <c r="AR68" s="168"/>
      <c r="AS68" s="168"/>
      <c r="AT68" s="168"/>
      <c r="AU68" s="168"/>
      <c r="AV68" s="334">
        <f t="shared" si="2"/>
        <v>128</v>
      </c>
      <c r="AW68" s="232"/>
      <c r="AX68" s="213"/>
      <c r="AY68" s="134"/>
      <c r="AZ68" s="182"/>
      <c r="BA68" s="213"/>
      <c r="BB68" s="134"/>
      <c r="BC68" s="232"/>
      <c r="BD68" s="182"/>
      <c r="BE68" s="134"/>
      <c r="BF68" s="182"/>
      <c r="BG68" s="213"/>
      <c r="BH68" s="134"/>
      <c r="BI68" s="236">
        <f t="shared" si="11"/>
        <v>129</v>
      </c>
      <c r="BJ68" s="213">
        <v>40307</v>
      </c>
      <c r="BK68" s="134">
        <v>18.285714285714285</v>
      </c>
      <c r="BL68" s="232">
        <v>122</v>
      </c>
      <c r="BM68" s="213">
        <v>40665</v>
      </c>
      <c r="BN68" s="134">
        <v>25.571428571428573</v>
      </c>
      <c r="BO68" s="168"/>
    </row>
    <row r="69" spans="1:67">
      <c r="A69" s="16" t="s">
        <v>32</v>
      </c>
      <c r="B69" s="65">
        <v>41039</v>
      </c>
      <c r="C69" s="40" t="s">
        <v>83</v>
      </c>
      <c r="D69" s="23">
        <v>33</v>
      </c>
      <c r="E69" s="24">
        <v>25</v>
      </c>
      <c r="F69" s="24">
        <v>29</v>
      </c>
      <c r="G69" s="24">
        <v>27</v>
      </c>
      <c r="H69" s="24">
        <v>23</v>
      </c>
      <c r="I69" s="24">
        <v>16</v>
      </c>
      <c r="J69" s="24">
        <v>20</v>
      </c>
      <c r="K69" s="26"/>
      <c r="L69" s="26"/>
      <c r="M69" s="27"/>
      <c r="N69" s="23">
        <v>2</v>
      </c>
      <c r="O69" s="24">
        <v>2</v>
      </c>
      <c r="P69" s="24">
        <v>2</v>
      </c>
      <c r="Q69" s="24">
        <v>2</v>
      </c>
      <c r="R69" s="24">
        <v>2</v>
      </c>
      <c r="S69" s="24">
        <v>1</v>
      </c>
      <c r="T69" s="24">
        <v>2</v>
      </c>
      <c r="U69" s="26"/>
      <c r="V69" s="26"/>
      <c r="W69" s="27"/>
      <c r="X69" s="39">
        <v>0</v>
      </c>
      <c r="Y69" s="40">
        <v>0</v>
      </c>
      <c r="Z69" s="40">
        <v>0</v>
      </c>
      <c r="AA69" s="40">
        <v>0</v>
      </c>
      <c r="AB69" s="41">
        <v>0</v>
      </c>
      <c r="AC69" s="38"/>
      <c r="AD69" s="39">
        <v>0</v>
      </c>
      <c r="AE69" s="40">
        <v>0</v>
      </c>
      <c r="AF69" s="40">
        <v>0</v>
      </c>
      <c r="AG69" s="40">
        <v>0</v>
      </c>
      <c r="AH69" s="41">
        <v>0</v>
      </c>
      <c r="AI69" s="41"/>
      <c r="AJ69" s="54">
        <f t="shared" si="12"/>
        <v>24.714285714285715</v>
      </c>
      <c r="AK69" s="55">
        <f t="shared" si="8"/>
        <v>1.8571428571428572</v>
      </c>
      <c r="AL69" s="55">
        <f t="shared" si="6"/>
        <v>0</v>
      </c>
      <c r="AM69" s="56">
        <f t="shared" si="7"/>
        <v>0</v>
      </c>
      <c r="AN69" s="168"/>
      <c r="AO69" s="168"/>
      <c r="AP69" s="168"/>
      <c r="AQ69" s="168"/>
      <c r="AR69" s="168"/>
      <c r="AS69" s="168"/>
      <c r="AT69" s="168"/>
      <c r="AU69" s="168"/>
      <c r="AV69" s="334">
        <f t="shared" si="2"/>
        <v>131</v>
      </c>
      <c r="AW69" s="232"/>
      <c r="AX69" s="213"/>
      <c r="AY69" s="134"/>
      <c r="AZ69" s="182"/>
      <c r="BA69" s="213"/>
      <c r="BB69" s="134"/>
      <c r="BC69" s="232"/>
      <c r="BD69" s="182"/>
      <c r="BE69" s="134"/>
      <c r="BF69" s="182"/>
      <c r="BG69" s="213"/>
      <c r="BH69" s="134"/>
      <c r="BI69" s="236">
        <f t="shared" si="11"/>
        <v>137</v>
      </c>
      <c r="BJ69" s="213">
        <v>40315</v>
      </c>
      <c r="BK69" s="134">
        <v>24.857142857142858</v>
      </c>
      <c r="BL69" s="232">
        <v>127</v>
      </c>
      <c r="BM69" s="213">
        <v>40670</v>
      </c>
      <c r="BN69" s="134">
        <v>31.857142857142858</v>
      </c>
      <c r="BO69" s="168"/>
    </row>
    <row r="70" spans="1:67">
      <c r="A70" s="16" t="s">
        <v>32</v>
      </c>
      <c r="B70" s="65">
        <v>41044</v>
      </c>
      <c r="C70" s="40" t="s">
        <v>83</v>
      </c>
      <c r="D70" s="23">
        <v>45</v>
      </c>
      <c r="E70" s="24">
        <v>32</v>
      </c>
      <c r="F70" s="24">
        <v>41</v>
      </c>
      <c r="G70" s="24">
        <v>37</v>
      </c>
      <c r="H70" s="24">
        <v>33</v>
      </c>
      <c r="I70" s="24">
        <v>20</v>
      </c>
      <c r="J70" s="24">
        <v>20</v>
      </c>
      <c r="K70" s="26"/>
      <c r="L70" s="26"/>
      <c r="M70" s="27"/>
      <c r="N70" s="23">
        <v>2</v>
      </c>
      <c r="O70" s="24">
        <v>2</v>
      </c>
      <c r="P70" s="24">
        <v>2</v>
      </c>
      <c r="Q70" s="24">
        <v>2</v>
      </c>
      <c r="R70" s="24">
        <v>2</v>
      </c>
      <c r="S70" s="24">
        <v>2</v>
      </c>
      <c r="T70" s="24">
        <v>2</v>
      </c>
      <c r="U70" s="26"/>
      <c r="V70" s="26"/>
      <c r="W70" s="27"/>
      <c r="X70" s="39">
        <v>0</v>
      </c>
      <c r="Y70" s="40">
        <v>0</v>
      </c>
      <c r="Z70" s="40">
        <v>0</v>
      </c>
      <c r="AA70" s="40">
        <v>0</v>
      </c>
      <c r="AB70" s="41">
        <v>0</v>
      </c>
      <c r="AC70" s="38"/>
      <c r="AD70" s="39">
        <v>0</v>
      </c>
      <c r="AE70" s="40">
        <v>0</v>
      </c>
      <c r="AF70" s="40">
        <v>0</v>
      </c>
      <c r="AG70" s="40">
        <v>0</v>
      </c>
      <c r="AH70" s="41">
        <v>0</v>
      </c>
      <c r="AI70" s="41"/>
      <c r="AJ70" s="54">
        <f t="shared" ref="AJ70:AJ133" si="13">IF(COUNT(D70:M70)=0,"",AVERAGE(D70:M70))</f>
        <v>32.571428571428569</v>
      </c>
      <c r="AK70" s="55">
        <f t="shared" ref="AK70:AK133" si="14">IF(COUNT(N70:W70)=0,"",AVERAGE(N70:W70))</f>
        <v>2</v>
      </c>
      <c r="AL70" s="55">
        <f t="shared" si="6"/>
        <v>0</v>
      </c>
      <c r="AM70" s="56">
        <f t="shared" ref="AM70:AM75" si="15">IF(COUNT(AD70:AH70)=0,"",AVERAGE(AD70:AH70))</f>
        <v>0</v>
      </c>
      <c r="AN70" s="168"/>
      <c r="AO70" s="168"/>
      <c r="AP70" s="168"/>
      <c r="AQ70" s="168"/>
      <c r="AR70" s="168"/>
      <c r="AS70" s="168"/>
      <c r="AT70" s="168"/>
      <c r="AU70" s="168"/>
      <c r="AV70" s="334">
        <f t="shared" ref="AV70:AV133" si="16">IF(B70=0,AV69,B70-DATE(YEAR(B70)-1,12,31))</f>
        <v>136</v>
      </c>
      <c r="AW70" s="232"/>
      <c r="AX70" s="213"/>
      <c r="AY70" s="134"/>
      <c r="AZ70" s="182"/>
      <c r="BA70" s="213"/>
      <c r="BB70" s="134"/>
      <c r="BC70" s="232"/>
      <c r="BD70" s="182"/>
      <c r="BE70" s="134"/>
      <c r="BF70" s="182"/>
      <c r="BG70" s="213"/>
      <c r="BH70" s="134"/>
      <c r="BI70" s="236">
        <f t="shared" si="11"/>
        <v>142</v>
      </c>
      <c r="BJ70" s="213">
        <v>40320</v>
      </c>
      <c r="BK70" s="134">
        <v>46.714285714285715</v>
      </c>
      <c r="BL70" s="232">
        <v>132</v>
      </c>
      <c r="BM70" s="213">
        <v>40675</v>
      </c>
      <c r="BN70" s="134">
        <v>44.714285714285715</v>
      </c>
      <c r="BO70" s="168"/>
    </row>
    <row r="71" spans="1:67">
      <c r="A71" s="16" t="s">
        <v>32</v>
      </c>
      <c r="B71" s="65">
        <v>41053</v>
      </c>
      <c r="C71" s="40" t="s">
        <v>83</v>
      </c>
      <c r="D71" s="23">
        <v>119</v>
      </c>
      <c r="E71" s="24">
        <v>80</v>
      </c>
      <c r="F71" s="24">
        <v>123</v>
      </c>
      <c r="G71" s="24">
        <v>101</v>
      </c>
      <c r="H71" s="24">
        <v>68</v>
      </c>
      <c r="I71" s="24">
        <v>44</v>
      </c>
      <c r="J71" s="24"/>
      <c r="K71" s="26"/>
      <c r="L71" s="26"/>
      <c r="M71" s="27"/>
      <c r="N71" s="23">
        <v>2</v>
      </c>
      <c r="O71" s="24">
        <v>2</v>
      </c>
      <c r="P71" s="24">
        <v>2</v>
      </c>
      <c r="Q71" s="24">
        <v>2</v>
      </c>
      <c r="R71" s="24">
        <v>2</v>
      </c>
      <c r="S71" s="24">
        <v>2</v>
      </c>
      <c r="T71" s="24"/>
      <c r="U71" s="26"/>
      <c r="V71" s="26"/>
      <c r="W71" s="27"/>
      <c r="X71" s="39">
        <v>1</v>
      </c>
      <c r="Y71" s="40">
        <v>2</v>
      </c>
      <c r="Z71" s="40">
        <v>2</v>
      </c>
      <c r="AA71" s="40">
        <v>2</v>
      </c>
      <c r="AB71" s="41">
        <v>2</v>
      </c>
      <c r="AC71" s="38"/>
      <c r="AD71" s="39">
        <v>0</v>
      </c>
      <c r="AE71" s="40">
        <v>1</v>
      </c>
      <c r="AF71" s="40">
        <v>0</v>
      </c>
      <c r="AG71" s="40">
        <v>1</v>
      </c>
      <c r="AH71" s="41">
        <v>0</v>
      </c>
      <c r="AI71" s="41"/>
      <c r="AJ71" s="54">
        <f t="shared" si="13"/>
        <v>89.166666666666671</v>
      </c>
      <c r="AK71" s="55">
        <f t="shared" si="14"/>
        <v>2</v>
      </c>
      <c r="AL71" s="55">
        <f>IF(COUNT(X71:AB71)=0,"",AVERAGE(X71:AB71))</f>
        <v>1.8</v>
      </c>
      <c r="AM71" s="56">
        <f t="shared" si="15"/>
        <v>0.4</v>
      </c>
      <c r="AN71" s="168"/>
      <c r="AO71" s="168"/>
      <c r="AP71" s="168"/>
      <c r="AQ71" s="168"/>
      <c r="AR71" s="168"/>
      <c r="AS71" s="168"/>
      <c r="AT71" s="168"/>
      <c r="AU71" s="168"/>
      <c r="AV71" s="334">
        <f t="shared" si="16"/>
        <v>145</v>
      </c>
      <c r="AW71" s="232"/>
      <c r="AX71" s="213"/>
      <c r="AY71" s="134"/>
      <c r="AZ71" s="182"/>
      <c r="BA71" s="213"/>
      <c r="BB71" s="134"/>
      <c r="BC71" s="232"/>
      <c r="BD71" s="182"/>
      <c r="BE71" s="134"/>
      <c r="BF71" s="182"/>
      <c r="BG71" s="213"/>
      <c r="BH71" s="134"/>
      <c r="BI71" s="236">
        <f t="shared" si="11"/>
        <v>149</v>
      </c>
      <c r="BJ71" s="213">
        <v>40327</v>
      </c>
      <c r="BK71" s="134">
        <v>76.857142857142861</v>
      </c>
      <c r="BL71" s="232">
        <v>140</v>
      </c>
      <c r="BM71" s="213">
        <v>40683</v>
      </c>
      <c r="BN71" s="134">
        <v>72.857142857142861</v>
      </c>
      <c r="BO71" s="168"/>
    </row>
    <row r="72" spans="1:67">
      <c r="A72" s="16" t="s">
        <v>32</v>
      </c>
      <c r="B72" s="65">
        <v>41059</v>
      </c>
      <c r="C72" s="40" t="s">
        <v>83</v>
      </c>
      <c r="D72" s="23">
        <v>169</v>
      </c>
      <c r="E72" s="24">
        <v>138</v>
      </c>
      <c r="F72" s="24">
        <v>198</v>
      </c>
      <c r="G72" s="24">
        <v>163</v>
      </c>
      <c r="H72" s="24">
        <v>77</v>
      </c>
      <c r="I72" s="24">
        <v>78</v>
      </c>
      <c r="J72" s="24"/>
      <c r="K72" s="26"/>
      <c r="L72" s="26"/>
      <c r="M72" s="27"/>
      <c r="N72" s="23">
        <v>2</v>
      </c>
      <c r="O72" s="24">
        <v>2</v>
      </c>
      <c r="P72" s="24">
        <v>2</v>
      </c>
      <c r="Q72" s="24">
        <v>2</v>
      </c>
      <c r="R72" s="24">
        <v>2</v>
      </c>
      <c r="S72" s="24">
        <v>2</v>
      </c>
      <c r="T72" s="24"/>
      <c r="U72" s="26"/>
      <c r="V72" s="26"/>
      <c r="W72" s="27"/>
      <c r="X72" s="39">
        <v>3</v>
      </c>
      <c r="Y72" s="40">
        <v>3</v>
      </c>
      <c r="Z72" s="40">
        <v>3</v>
      </c>
      <c r="AA72" s="40">
        <v>3</v>
      </c>
      <c r="AB72" s="41">
        <v>3</v>
      </c>
      <c r="AC72" s="38"/>
      <c r="AD72" s="39">
        <v>1</v>
      </c>
      <c r="AE72" s="40">
        <v>1</v>
      </c>
      <c r="AF72" s="40">
        <v>1</v>
      </c>
      <c r="AG72" s="40">
        <v>1</v>
      </c>
      <c r="AH72" s="41">
        <v>1</v>
      </c>
      <c r="AI72" s="41"/>
      <c r="AJ72" s="54">
        <f t="shared" si="13"/>
        <v>137.16666666666666</v>
      </c>
      <c r="AK72" s="55">
        <f t="shared" si="14"/>
        <v>2</v>
      </c>
      <c r="AL72" s="55">
        <f>IF(COUNT(X72:AB72)=0,"",AVERAGE(X72:AB72))</f>
        <v>3</v>
      </c>
      <c r="AM72" s="56">
        <f t="shared" si="15"/>
        <v>1</v>
      </c>
      <c r="AN72" s="168"/>
      <c r="AO72" s="168"/>
      <c r="AP72" s="168"/>
      <c r="AQ72" s="168"/>
      <c r="AR72" s="168"/>
      <c r="AS72" s="168"/>
      <c r="AT72" s="168"/>
      <c r="AU72" s="168"/>
      <c r="AV72" s="334">
        <f t="shared" si="16"/>
        <v>151</v>
      </c>
      <c r="AW72" s="232"/>
      <c r="AX72" s="213"/>
      <c r="AY72" s="134"/>
      <c r="AZ72" s="182"/>
      <c r="BA72" s="213"/>
      <c r="BB72" s="134"/>
      <c r="BC72" s="232"/>
      <c r="BD72" s="182"/>
      <c r="BE72" s="134"/>
      <c r="BF72" s="182"/>
      <c r="BG72" s="213"/>
      <c r="BH72" s="134"/>
      <c r="BI72" s="236">
        <f t="shared" si="11"/>
        <v>156</v>
      </c>
      <c r="BJ72" s="213">
        <v>40334</v>
      </c>
      <c r="BK72" s="134">
        <v>124.42857142857143</v>
      </c>
      <c r="BL72" s="232">
        <v>158</v>
      </c>
      <c r="BM72" s="213">
        <v>40701</v>
      </c>
      <c r="BN72" s="134">
        <v>153.57142857142858</v>
      </c>
      <c r="BO72" s="168"/>
    </row>
    <row r="73" spans="1:67">
      <c r="A73" s="16" t="s">
        <v>32</v>
      </c>
      <c r="B73" s="65">
        <v>41073</v>
      </c>
      <c r="C73" s="40" t="s">
        <v>83</v>
      </c>
      <c r="D73" s="23">
        <v>198</v>
      </c>
      <c r="E73" s="24">
        <v>180</v>
      </c>
      <c r="F73" s="24">
        <v>265</v>
      </c>
      <c r="G73" s="24">
        <v>212</v>
      </c>
      <c r="H73" s="24">
        <v>95</v>
      </c>
      <c r="I73" s="24">
        <v>112</v>
      </c>
      <c r="J73" s="24"/>
      <c r="K73" s="26"/>
      <c r="L73" s="26"/>
      <c r="M73" s="27"/>
      <c r="N73" s="23">
        <v>3</v>
      </c>
      <c r="O73" s="24">
        <v>2</v>
      </c>
      <c r="P73" s="24">
        <v>2</v>
      </c>
      <c r="Q73" s="24">
        <v>2</v>
      </c>
      <c r="R73" s="24">
        <v>2</v>
      </c>
      <c r="S73" s="24">
        <v>3</v>
      </c>
      <c r="T73" s="24"/>
      <c r="U73" s="26"/>
      <c r="V73" s="26"/>
      <c r="W73" s="27"/>
      <c r="X73" s="23"/>
      <c r="Y73" s="24"/>
      <c r="Z73" s="24"/>
      <c r="AA73" s="24"/>
      <c r="AB73" s="25"/>
      <c r="AC73" s="22"/>
      <c r="AD73" s="39"/>
      <c r="AE73" s="40"/>
      <c r="AF73" s="40"/>
      <c r="AG73" s="40"/>
      <c r="AH73" s="41"/>
      <c r="AI73" s="41"/>
      <c r="AJ73" s="54">
        <f t="shared" si="13"/>
        <v>177</v>
      </c>
      <c r="AK73" s="55">
        <f t="shared" si="14"/>
        <v>2.3333333333333335</v>
      </c>
      <c r="AL73" s="55" t="str">
        <f>IF(COUNT(X73:AB73)=0,"",AVERAGE(X73:AB73))</f>
        <v/>
      </c>
      <c r="AM73" s="56" t="str">
        <f t="shared" si="15"/>
        <v/>
      </c>
      <c r="AN73" s="168"/>
      <c r="AO73" s="168"/>
      <c r="AP73" s="168"/>
      <c r="AQ73" s="168"/>
      <c r="AR73" s="168"/>
      <c r="AS73" s="168"/>
      <c r="AT73" s="168"/>
      <c r="AU73" s="168"/>
      <c r="AV73" s="334">
        <f t="shared" si="16"/>
        <v>165</v>
      </c>
      <c r="AW73" s="232"/>
      <c r="AX73" s="213"/>
      <c r="AY73" s="134"/>
      <c r="AZ73" s="182"/>
      <c r="BA73" s="213"/>
      <c r="BB73" s="134"/>
      <c r="BC73" s="232"/>
      <c r="BD73" s="182"/>
      <c r="BE73" s="134"/>
      <c r="BF73" s="182"/>
      <c r="BG73" s="213"/>
      <c r="BH73" s="134"/>
      <c r="BI73" s="236">
        <f t="shared" si="11"/>
        <v>164</v>
      </c>
      <c r="BJ73" s="213">
        <v>40342</v>
      </c>
      <c r="BK73" s="134">
        <v>178.57142857142858</v>
      </c>
      <c r="BL73" s="232">
        <v>164</v>
      </c>
      <c r="BM73" s="213">
        <v>40707</v>
      </c>
      <c r="BN73" s="134">
        <v>157</v>
      </c>
      <c r="BO73" s="168"/>
    </row>
    <row r="74" spans="1:67">
      <c r="A74" s="16" t="s">
        <v>32</v>
      </c>
      <c r="B74" s="65">
        <v>41092</v>
      </c>
      <c r="C74" s="40" t="s">
        <v>82</v>
      </c>
      <c r="D74" s="23">
        <v>198</v>
      </c>
      <c r="E74" s="24">
        <v>210</v>
      </c>
      <c r="F74" s="24">
        <v>325</v>
      </c>
      <c r="G74" s="24">
        <v>225</v>
      </c>
      <c r="H74" s="24">
        <v>130</v>
      </c>
      <c r="I74" s="24">
        <v>115</v>
      </c>
      <c r="J74" s="24"/>
      <c r="K74" s="26"/>
      <c r="L74" s="26"/>
      <c r="M74" s="27"/>
      <c r="N74" s="23">
        <v>3</v>
      </c>
      <c r="O74" s="24">
        <v>3</v>
      </c>
      <c r="P74" s="24">
        <v>3</v>
      </c>
      <c r="Q74" s="24">
        <v>3</v>
      </c>
      <c r="R74" s="24">
        <v>2</v>
      </c>
      <c r="S74" s="24">
        <v>3</v>
      </c>
      <c r="T74" s="24"/>
      <c r="U74" s="26"/>
      <c r="V74" s="26"/>
      <c r="W74" s="27"/>
      <c r="X74" s="23"/>
      <c r="Y74" s="24"/>
      <c r="Z74" s="24"/>
      <c r="AA74" s="24"/>
      <c r="AB74" s="25"/>
      <c r="AC74" s="22"/>
      <c r="AD74" s="23"/>
      <c r="AE74" s="24"/>
      <c r="AF74" s="24"/>
      <c r="AG74" s="24"/>
      <c r="AH74" s="25"/>
      <c r="AI74" s="25"/>
      <c r="AJ74" s="54">
        <f t="shared" si="13"/>
        <v>200.5</v>
      </c>
      <c r="AK74" s="55">
        <f t="shared" si="14"/>
        <v>2.8333333333333335</v>
      </c>
      <c r="AL74" s="55" t="str">
        <f>IF(COUNT(X74:AB74)=0,"",AVERAGE(X74:AB74))</f>
        <v/>
      </c>
      <c r="AM74" s="56" t="str">
        <f t="shared" si="15"/>
        <v/>
      </c>
      <c r="AN74" s="168"/>
      <c r="AO74" s="168"/>
      <c r="AP74" s="168"/>
      <c r="AQ74" s="168"/>
      <c r="AR74" s="168"/>
      <c r="AS74" s="168"/>
      <c r="AT74" s="168"/>
      <c r="AU74" s="168"/>
      <c r="AV74" s="334">
        <f t="shared" si="16"/>
        <v>184</v>
      </c>
      <c r="AW74" s="232"/>
      <c r="AX74" s="213"/>
      <c r="AY74" s="134"/>
      <c r="AZ74" s="182"/>
      <c r="BA74" s="213"/>
      <c r="BB74" s="134"/>
      <c r="BC74" s="232"/>
      <c r="BD74" s="182"/>
      <c r="BE74" s="134"/>
      <c r="BF74" s="182"/>
      <c r="BG74" s="213"/>
      <c r="BH74" s="134"/>
      <c r="BI74" s="236">
        <f t="shared" si="11"/>
        <v>172</v>
      </c>
      <c r="BJ74" s="213">
        <v>40350</v>
      </c>
      <c r="BK74" s="134">
        <v>198.14285714285714</v>
      </c>
      <c r="BL74" s="232">
        <v>164</v>
      </c>
      <c r="BM74" s="213"/>
      <c r="BN74" s="134" t="s">
        <v>59</v>
      </c>
      <c r="BO74" s="168"/>
    </row>
    <row r="75" spans="1:67">
      <c r="A75" s="16" t="s">
        <v>32</v>
      </c>
      <c r="B75" s="65"/>
      <c r="C75" s="40"/>
      <c r="D75" s="23"/>
      <c r="E75" s="24"/>
      <c r="F75" s="24"/>
      <c r="G75" s="24"/>
      <c r="H75" s="24"/>
      <c r="I75" s="24"/>
      <c r="J75" s="24"/>
      <c r="K75" s="26"/>
      <c r="L75" s="26"/>
      <c r="M75" s="27"/>
      <c r="N75" s="23"/>
      <c r="O75" s="24"/>
      <c r="P75" s="24"/>
      <c r="Q75" s="24"/>
      <c r="R75" s="24"/>
      <c r="S75" s="24"/>
      <c r="T75" s="24"/>
      <c r="U75" s="26"/>
      <c r="V75" s="26"/>
      <c r="W75" s="27"/>
      <c r="X75" s="23"/>
      <c r="Y75" s="24"/>
      <c r="Z75" s="24"/>
      <c r="AA75" s="24"/>
      <c r="AB75" s="25"/>
      <c r="AC75" s="22"/>
      <c r="AD75" s="23"/>
      <c r="AE75" s="24"/>
      <c r="AF75" s="24"/>
      <c r="AG75" s="24"/>
      <c r="AH75" s="25"/>
      <c r="AI75" s="25"/>
      <c r="AJ75" s="54"/>
      <c r="AK75" s="55" t="str">
        <f t="shared" si="14"/>
        <v/>
      </c>
      <c r="AL75" s="55" t="str">
        <f>IF(COUNT(X75:AB75)=0,"",AVERAGE(X75:AB75))</f>
        <v/>
      </c>
      <c r="AM75" s="56" t="str">
        <f t="shared" si="15"/>
        <v/>
      </c>
      <c r="AN75" s="168"/>
      <c r="AO75" s="168"/>
      <c r="AP75" s="168"/>
      <c r="AQ75" s="168"/>
      <c r="AR75" s="168"/>
      <c r="AS75" s="168"/>
      <c r="AT75" s="168"/>
      <c r="AU75" s="168"/>
      <c r="AV75" s="334">
        <f t="shared" si="16"/>
        <v>184</v>
      </c>
      <c r="AW75" s="232"/>
      <c r="AX75" s="213"/>
      <c r="AY75" s="134"/>
      <c r="AZ75" s="182"/>
      <c r="BA75" s="213"/>
      <c r="BB75" s="134"/>
      <c r="BC75" s="232"/>
      <c r="BD75" s="182"/>
      <c r="BE75" s="134"/>
      <c r="BF75" s="182"/>
      <c r="BG75" s="213"/>
      <c r="BH75" s="134"/>
      <c r="BI75" s="236">
        <f t="shared" si="11"/>
        <v>178</v>
      </c>
      <c r="BJ75" s="213">
        <v>40356</v>
      </c>
      <c r="BK75" s="134"/>
      <c r="BL75" s="232">
        <v>164</v>
      </c>
      <c r="BM75" s="213"/>
      <c r="BN75" s="134"/>
      <c r="BO75" s="168"/>
    </row>
    <row r="76" spans="1:67">
      <c r="A76" s="16" t="s">
        <v>32</v>
      </c>
      <c r="B76" s="65"/>
      <c r="C76" s="24"/>
      <c r="D76" s="23"/>
      <c r="E76" s="24"/>
      <c r="F76" s="24"/>
      <c r="G76" s="24"/>
      <c r="H76" s="24"/>
      <c r="I76" s="24"/>
      <c r="J76" s="24"/>
      <c r="K76" s="26"/>
      <c r="L76" s="26"/>
      <c r="M76" s="27"/>
      <c r="N76" s="23"/>
      <c r="O76" s="24"/>
      <c r="P76" s="24"/>
      <c r="Q76" s="24"/>
      <c r="R76" s="24"/>
      <c r="S76" s="24"/>
      <c r="T76" s="24"/>
      <c r="U76" s="26"/>
      <c r="V76" s="26"/>
      <c r="W76" s="27"/>
      <c r="X76" s="23"/>
      <c r="Y76" s="24"/>
      <c r="Z76" s="24"/>
      <c r="AA76" s="24"/>
      <c r="AB76" s="25"/>
      <c r="AC76" s="22"/>
      <c r="AD76" s="23"/>
      <c r="AE76" s="24"/>
      <c r="AF76" s="24"/>
      <c r="AG76" s="24"/>
      <c r="AH76" s="25"/>
      <c r="AI76" s="25"/>
      <c r="AJ76" s="54" t="str">
        <f t="shared" si="13"/>
        <v/>
      </c>
      <c r="AK76" s="55" t="str">
        <f t="shared" si="14"/>
        <v/>
      </c>
      <c r="AL76" s="55"/>
      <c r="AM76" s="56"/>
      <c r="AN76" s="168"/>
      <c r="AO76" s="168"/>
      <c r="AP76" s="168"/>
      <c r="AQ76" s="168"/>
      <c r="AR76" s="168"/>
      <c r="AS76" s="168"/>
      <c r="AT76" s="168"/>
      <c r="AU76" s="168"/>
      <c r="AV76" s="334">
        <f t="shared" si="16"/>
        <v>184</v>
      </c>
      <c r="AW76" s="232"/>
      <c r="AX76" s="213"/>
      <c r="AY76" s="134"/>
      <c r="AZ76" s="182"/>
      <c r="BA76" s="213"/>
      <c r="BB76" s="134"/>
      <c r="BC76" s="232"/>
      <c r="BD76" s="182"/>
      <c r="BE76" s="134"/>
      <c r="BF76" s="182"/>
      <c r="BG76" s="213"/>
      <c r="BH76" s="134"/>
      <c r="BI76" s="236"/>
      <c r="BJ76" s="213"/>
      <c r="BK76" s="134" t="s">
        <v>59</v>
      </c>
      <c r="BL76" s="232">
        <v>164</v>
      </c>
      <c r="BM76" s="213"/>
      <c r="BN76" s="134" t="s">
        <v>59</v>
      </c>
      <c r="BO76" s="168"/>
    </row>
    <row r="77" spans="1:67">
      <c r="A77" s="16" t="s">
        <v>32</v>
      </c>
      <c r="B77" s="65"/>
      <c r="C77" s="24"/>
      <c r="D77" s="23"/>
      <c r="E77" s="24"/>
      <c r="F77" s="24"/>
      <c r="G77" s="24"/>
      <c r="H77" s="24"/>
      <c r="I77" s="24"/>
      <c r="J77" s="24"/>
      <c r="K77" s="26"/>
      <c r="L77" s="26"/>
      <c r="M77" s="27"/>
      <c r="N77" s="23"/>
      <c r="O77" s="24"/>
      <c r="P77" s="24"/>
      <c r="Q77" s="24"/>
      <c r="R77" s="24"/>
      <c r="S77" s="24"/>
      <c r="T77" s="24"/>
      <c r="U77" s="26"/>
      <c r="V77" s="26"/>
      <c r="W77" s="27"/>
      <c r="X77" s="23"/>
      <c r="Y77" s="24"/>
      <c r="Z77" s="24"/>
      <c r="AA77" s="24"/>
      <c r="AB77" s="25"/>
      <c r="AC77" s="22"/>
      <c r="AD77" s="23"/>
      <c r="AE77" s="24"/>
      <c r="AF77" s="24"/>
      <c r="AG77" s="24"/>
      <c r="AH77" s="25"/>
      <c r="AI77" s="25"/>
      <c r="AJ77" s="54" t="str">
        <f t="shared" si="13"/>
        <v/>
      </c>
      <c r="AK77" s="55" t="str">
        <f t="shared" si="14"/>
        <v/>
      </c>
      <c r="AL77" s="55"/>
      <c r="AM77" s="56"/>
      <c r="AN77" s="168"/>
      <c r="AO77" s="168"/>
      <c r="AP77" s="168"/>
      <c r="AQ77" s="168"/>
      <c r="AR77" s="168"/>
      <c r="AS77" s="168"/>
      <c r="AT77" s="168"/>
      <c r="AU77" s="168"/>
      <c r="AV77" s="334">
        <f t="shared" si="16"/>
        <v>184</v>
      </c>
      <c r="AW77" s="232"/>
      <c r="AX77" s="213"/>
      <c r="AY77" s="134"/>
      <c r="AZ77" s="182"/>
      <c r="BA77" s="213"/>
      <c r="BB77" s="134"/>
      <c r="BC77" s="232"/>
      <c r="BD77" s="182"/>
      <c r="BE77" s="134"/>
      <c r="BF77" s="182"/>
      <c r="BG77" s="213"/>
      <c r="BH77" s="134"/>
      <c r="BI77" s="236"/>
      <c r="BJ77" s="213"/>
      <c r="BK77" s="134" t="s">
        <v>59</v>
      </c>
      <c r="BL77" s="232">
        <v>164</v>
      </c>
      <c r="BM77" s="213"/>
      <c r="BN77" s="134" t="s">
        <v>59</v>
      </c>
      <c r="BO77" s="168"/>
    </row>
    <row r="78" spans="1:67">
      <c r="A78" s="16" t="s">
        <v>32</v>
      </c>
      <c r="B78" s="65"/>
      <c r="C78" s="24"/>
      <c r="D78" s="23"/>
      <c r="E78" s="24"/>
      <c r="F78" s="24"/>
      <c r="G78" s="24"/>
      <c r="H78" s="24"/>
      <c r="I78" s="24"/>
      <c r="J78" s="24"/>
      <c r="K78" s="26"/>
      <c r="L78" s="26"/>
      <c r="M78" s="27"/>
      <c r="N78" s="23"/>
      <c r="O78" s="24"/>
      <c r="P78" s="24"/>
      <c r="Q78" s="24"/>
      <c r="R78" s="24"/>
      <c r="S78" s="24"/>
      <c r="T78" s="24"/>
      <c r="U78" s="26"/>
      <c r="V78" s="26"/>
      <c r="W78" s="27"/>
      <c r="X78" s="23"/>
      <c r="Y78" s="24"/>
      <c r="Z78" s="24"/>
      <c r="AA78" s="24"/>
      <c r="AB78" s="25"/>
      <c r="AC78" s="22"/>
      <c r="AD78" s="23"/>
      <c r="AE78" s="24"/>
      <c r="AF78" s="24"/>
      <c r="AG78" s="24"/>
      <c r="AH78" s="25"/>
      <c r="AI78" s="25"/>
      <c r="AJ78" s="54" t="str">
        <f t="shared" si="13"/>
        <v/>
      </c>
      <c r="AK78" s="55" t="str">
        <f t="shared" si="14"/>
        <v/>
      </c>
      <c r="AL78" s="55"/>
      <c r="AM78" s="56"/>
      <c r="AN78" s="168"/>
      <c r="AO78" s="168"/>
      <c r="AP78" s="168"/>
      <c r="AQ78" s="168"/>
      <c r="AR78" s="168"/>
      <c r="AS78" s="168"/>
      <c r="AT78" s="168"/>
      <c r="AU78" s="168"/>
      <c r="AV78" s="334">
        <f t="shared" si="16"/>
        <v>184</v>
      </c>
      <c r="AW78" s="232"/>
      <c r="AX78" s="213"/>
      <c r="AY78" s="134"/>
      <c r="AZ78" s="182"/>
      <c r="BA78" s="213"/>
      <c r="BB78" s="134"/>
      <c r="BC78" s="232"/>
      <c r="BD78" s="182"/>
      <c r="BE78" s="134"/>
      <c r="BF78" s="182"/>
      <c r="BG78" s="213"/>
      <c r="BH78" s="134"/>
      <c r="BI78" s="236"/>
      <c r="BJ78" s="213"/>
      <c r="BK78" s="134" t="s">
        <v>59</v>
      </c>
      <c r="BL78" s="232">
        <v>164</v>
      </c>
      <c r="BM78" s="213"/>
      <c r="BN78" s="134" t="s">
        <v>59</v>
      </c>
      <c r="BO78" s="168"/>
    </row>
    <row r="79" spans="1:67">
      <c r="A79" s="16" t="s">
        <v>32</v>
      </c>
      <c r="B79" s="65"/>
      <c r="C79" s="24"/>
      <c r="D79" s="23"/>
      <c r="E79" s="24"/>
      <c r="F79" s="24"/>
      <c r="G79" s="24"/>
      <c r="H79" s="24"/>
      <c r="I79" s="24"/>
      <c r="J79" s="24"/>
      <c r="K79" s="26"/>
      <c r="L79" s="26"/>
      <c r="M79" s="27"/>
      <c r="N79" s="23"/>
      <c r="O79" s="24"/>
      <c r="P79" s="24"/>
      <c r="Q79" s="24"/>
      <c r="R79" s="24"/>
      <c r="S79" s="24"/>
      <c r="T79" s="24"/>
      <c r="U79" s="26"/>
      <c r="V79" s="26"/>
      <c r="W79" s="27"/>
      <c r="X79" s="23"/>
      <c r="Y79" s="24"/>
      <c r="Z79" s="24"/>
      <c r="AA79" s="24"/>
      <c r="AB79" s="25"/>
      <c r="AC79" s="22"/>
      <c r="AD79" s="23"/>
      <c r="AE79" s="24"/>
      <c r="AF79" s="24"/>
      <c r="AG79" s="24"/>
      <c r="AH79" s="25"/>
      <c r="AI79" s="25"/>
      <c r="AJ79" s="54" t="str">
        <f t="shared" si="13"/>
        <v/>
      </c>
      <c r="AK79" s="55" t="str">
        <f t="shared" si="14"/>
        <v/>
      </c>
      <c r="AL79" s="55"/>
      <c r="AM79" s="56"/>
      <c r="AN79" s="168"/>
      <c r="AO79" s="168"/>
      <c r="AP79" s="168"/>
      <c r="AQ79" s="168"/>
      <c r="AR79" s="168"/>
      <c r="AS79" s="168"/>
      <c r="AT79" s="168"/>
      <c r="AU79" s="168"/>
      <c r="AV79" s="334">
        <f t="shared" si="16"/>
        <v>184</v>
      </c>
      <c r="AW79" s="232"/>
      <c r="AX79" s="213"/>
      <c r="AY79" s="134"/>
      <c r="AZ79" s="182"/>
      <c r="BA79" s="213"/>
      <c r="BB79" s="134"/>
      <c r="BC79" s="232"/>
      <c r="BD79" s="182"/>
      <c r="BE79" s="134"/>
      <c r="BF79" s="182"/>
      <c r="BG79" s="213"/>
      <c r="BH79" s="134"/>
      <c r="BI79" s="236"/>
      <c r="BJ79" s="213"/>
      <c r="BK79" s="134" t="s">
        <v>59</v>
      </c>
      <c r="BL79" s="232">
        <v>164</v>
      </c>
      <c r="BM79" s="213"/>
      <c r="BN79" s="134" t="s">
        <v>59</v>
      </c>
      <c r="BO79" s="168"/>
    </row>
    <row r="80" spans="1:67">
      <c r="A80" s="16" t="s">
        <v>32</v>
      </c>
      <c r="B80" s="65"/>
      <c r="C80" s="24"/>
      <c r="D80" s="23"/>
      <c r="E80" s="24"/>
      <c r="F80" s="24"/>
      <c r="G80" s="24"/>
      <c r="H80" s="24"/>
      <c r="I80" s="24"/>
      <c r="J80" s="24"/>
      <c r="K80" s="26"/>
      <c r="L80" s="26"/>
      <c r="M80" s="27"/>
      <c r="N80" s="23"/>
      <c r="O80" s="24"/>
      <c r="P80" s="24"/>
      <c r="Q80" s="24"/>
      <c r="R80" s="24"/>
      <c r="S80" s="24"/>
      <c r="T80" s="24"/>
      <c r="U80" s="26"/>
      <c r="V80" s="26"/>
      <c r="W80" s="27"/>
      <c r="X80" s="23"/>
      <c r="Y80" s="24"/>
      <c r="Z80" s="24"/>
      <c r="AA80" s="24"/>
      <c r="AB80" s="25"/>
      <c r="AC80" s="22"/>
      <c r="AD80" s="23"/>
      <c r="AE80" s="24"/>
      <c r="AF80" s="24"/>
      <c r="AG80" s="24"/>
      <c r="AH80" s="25"/>
      <c r="AI80" s="25"/>
      <c r="AJ80" s="54" t="str">
        <f t="shared" si="13"/>
        <v/>
      </c>
      <c r="AK80" s="55" t="str">
        <f t="shared" si="14"/>
        <v/>
      </c>
      <c r="AL80" s="55"/>
      <c r="AM80" s="56"/>
      <c r="AN80" s="168"/>
      <c r="AO80" s="168"/>
      <c r="AP80" s="168"/>
      <c r="AQ80" s="168"/>
      <c r="AR80" s="168"/>
      <c r="AS80" s="168"/>
      <c r="AT80" s="168"/>
      <c r="AU80" s="168"/>
      <c r="AV80" s="334">
        <f t="shared" si="16"/>
        <v>184</v>
      </c>
      <c r="AW80" s="232"/>
      <c r="AX80" s="213"/>
      <c r="AY80" s="134"/>
      <c r="AZ80" s="182"/>
      <c r="BA80" s="213"/>
      <c r="BB80" s="134"/>
      <c r="BC80" s="232"/>
      <c r="BD80" s="182"/>
      <c r="BE80" s="134"/>
      <c r="BF80" s="182"/>
      <c r="BG80" s="213"/>
      <c r="BH80" s="134"/>
      <c r="BI80" s="236"/>
      <c r="BJ80" s="213"/>
      <c r="BK80" s="134" t="s">
        <v>59</v>
      </c>
      <c r="BL80" s="232">
        <v>164</v>
      </c>
      <c r="BM80" s="213"/>
      <c r="BN80" s="134" t="s">
        <v>59</v>
      </c>
      <c r="BO80" s="168"/>
    </row>
    <row r="81" spans="1:67">
      <c r="A81" s="16" t="s">
        <v>32</v>
      </c>
      <c r="B81" s="65"/>
      <c r="C81" s="24"/>
      <c r="D81" s="23"/>
      <c r="E81" s="24"/>
      <c r="F81" s="24"/>
      <c r="G81" s="24"/>
      <c r="H81" s="24"/>
      <c r="I81" s="24"/>
      <c r="J81" s="24"/>
      <c r="K81" s="26"/>
      <c r="L81" s="26"/>
      <c r="M81" s="27"/>
      <c r="N81" s="23"/>
      <c r="O81" s="24"/>
      <c r="P81" s="24"/>
      <c r="Q81" s="24"/>
      <c r="R81" s="24"/>
      <c r="S81" s="24"/>
      <c r="T81" s="24"/>
      <c r="U81" s="26"/>
      <c r="V81" s="26"/>
      <c r="W81" s="27"/>
      <c r="X81" s="23"/>
      <c r="Y81" s="24"/>
      <c r="Z81" s="24"/>
      <c r="AA81" s="24"/>
      <c r="AB81" s="25"/>
      <c r="AC81" s="22"/>
      <c r="AD81" s="23"/>
      <c r="AE81" s="24"/>
      <c r="AF81" s="24"/>
      <c r="AG81" s="24"/>
      <c r="AH81" s="25"/>
      <c r="AI81" s="25"/>
      <c r="AJ81" s="54" t="str">
        <f t="shared" si="13"/>
        <v/>
      </c>
      <c r="AK81" s="55" t="str">
        <f t="shared" si="14"/>
        <v/>
      </c>
      <c r="AL81" s="55"/>
      <c r="AM81" s="56"/>
      <c r="AN81" s="168"/>
      <c r="AO81" s="168"/>
      <c r="AP81" s="168"/>
      <c r="AQ81" s="168"/>
      <c r="AR81" s="168"/>
      <c r="AS81" s="168"/>
      <c r="AT81" s="168"/>
      <c r="AU81" s="168"/>
      <c r="AV81" s="334">
        <f t="shared" si="16"/>
        <v>184</v>
      </c>
      <c r="AW81" s="232"/>
      <c r="AX81" s="213"/>
      <c r="AY81" s="134"/>
      <c r="AZ81" s="182"/>
      <c r="BA81" s="213"/>
      <c r="BB81" s="134"/>
      <c r="BC81" s="232"/>
      <c r="BD81" s="182"/>
      <c r="BE81" s="134"/>
      <c r="BF81" s="182"/>
      <c r="BG81" s="213"/>
      <c r="BH81" s="134"/>
      <c r="BI81" s="236"/>
      <c r="BJ81" s="213"/>
      <c r="BK81" s="134" t="s">
        <v>59</v>
      </c>
      <c r="BL81" s="232">
        <v>164</v>
      </c>
      <c r="BM81" s="213"/>
      <c r="BN81" s="134" t="s">
        <v>59</v>
      </c>
      <c r="BO81" s="168"/>
    </row>
    <row r="82" spans="1:67">
      <c r="A82" s="16" t="s">
        <v>32</v>
      </c>
      <c r="B82" s="65"/>
      <c r="C82" s="24"/>
      <c r="D82" s="23"/>
      <c r="E82" s="24"/>
      <c r="F82" s="24"/>
      <c r="G82" s="24"/>
      <c r="H82" s="24"/>
      <c r="I82" s="24"/>
      <c r="J82" s="24"/>
      <c r="K82" s="26"/>
      <c r="L82" s="26"/>
      <c r="M82" s="27"/>
      <c r="N82" s="23"/>
      <c r="O82" s="24"/>
      <c r="P82" s="24"/>
      <c r="Q82" s="24"/>
      <c r="R82" s="24"/>
      <c r="S82" s="24"/>
      <c r="T82" s="24"/>
      <c r="U82" s="26"/>
      <c r="V82" s="26"/>
      <c r="W82" s="27"/>
      <c r="X82" s="23"/>
      <c r="Y82" s="24"/>
      <c r="Z82" s="24"/>
      <c r="AA82" s="24"/>
      <c r="AB82" s="25"/>
      <c r="AC82" s="22"/>
      <c r="AD82" s="23"/>
      <c r="AE82" s="24"/>
      <c r="AF82" s="24"/>
      <c r="AG82" s="24"/>
      <c r="AH82" s="25"/>
      <c r="AI82" s="25"/>
      <c r="AJ82" s="54" t="str">
        <f t="shared" si="13"/>
        <v/>
      </c>
      <c r="AK82" s="55" t="str">
        <f t="shared" si="14"/>
        <v/>
      </c>
      <c r="AL82" s="55"/>
      <c r="AM82" s="56"/>
      <c r="AN82" s="168"/>
      <c r="AO82" s="168"/>
      <c r="AP82" s="168"/>
      <c r="AQ82" s="168"/>
      <c r="AR82" s="168"/>
      <c r="AS82" s="168"/>
      <c r="AT82" s="168"/>
      <c r="AU82" s="168"/>
      <c r="AV82" s="334">
        <f t="shared" si="16"/>
        <v>184</v>
      </c>
      <c r="AW82" s="232"/>
      <c r="AX82" s="213"/>
      <c r="AY82" s="134"/>
      <c r="AZ82" s="182"/>
      <c r="BA82" s="213"/>
      <c r="BB82" s="134"/>
      <c r="BC82" s="232"/>
      <c r="BD82" s="182"/>
      <c r="BE82" s="134"/>
      <c r="BF82" s="182"/>
      <c r="BG82" s="213"/>
      <c r="BH82" s="134"/>
      <c r="BI82" s="236"/>
      <c r="BJ82" s="213"/>
      <c r="BK82" s="134" t="s">
        <v>59</v>
      </c>
      <c r="BL82" s="232">
        <v>164</v>
      </c>
      <c r="BM82" s="213"/>
      <c r="BN82" s="134" t="s">
        <v>59</v>
      </c>
      <c r="BO82" s="168"/>
    </row>
    <row r="83" spans="1:67">
      <c r="A83" s="16" t="s">
        <v>32</v>
      </c>
      <c r="B83" s="65"/>
      <c r="C83" s="24"/>
      <c r="D83" s="23"/>
      <c r="E83" s="24"/>
      <c r="F83" s="24"/>
      <c r="G83" s="24"/>
      <c r="H83" s="24"/>
      <c r="I83" s="24"/>
      <c r="J83" s="24"/>
      <c r="K83" s="26"/>
      <c r="L83" s="26"/>
      <c r="M83" s="27"/>
      <c r="N83" s="23"/>
      <c r="O83" s="24"/>
      <c r="P83" s="24"/>
      <c r="Q83" s="24"/>
      <c r="R83" s="24"/>
      <c r="S83" s="24"/>
      <c r="T83" s="24"/>
      <c r="U83" s="26"/>
      <c r="V83" s="26"/>
      <c r="W83" s="27"/>
      <c r="X83" s="23"/>
      <c r="Y83" s="24"/>
      <c r="Z83" s="24"/>
      <c r="AA83" s="24"/>
      <c r="AB83" s="25"/>
      <c r="AC83" s="22"/>
      <c r="AD83" s="23"/>
      <c r="AE83" s="24"/>
      <c r="AF83" s="24"/>
      <c r="AG83" s="24"/>
      <c r="AH83" s="25"/>
      <c r="AI83" s="25"/>
      <c r="AJ83" s="54" t="str">
        <f t="shared" si="13"/>
        <v/>
      </c>
      <c r="AK83" s="55" t="str">
        <f t="shared" si="14"/>
        <v/>
      </c>
      <c r="AL83" s="55"/>
      <c r="AM83" s="56"/>
      <c r="AN83" s="168"/>
      <c r="AO83" s="168"/>
      <c r="AP83" s="168"/>
      <c r="AQ83" s="168"/>
      <c r="AR83" s="168"/>
      <c r="AS83" s="168"/>
      <c r="AT83" s="168"/>
      <c r="AU83" s="168"/>
      <c r="AV83" s="334">
        <f t="shared" si="16"/>
        <v>184</v>
      </c>
      <c r="AW83" s="232"/>
      <c r="AX83" s="213"/>
      <c r="AY83" s="134"/>
      <c r="AZ83" s="182"/>
      <c r="BA83" s="213"/>
      <c r="BB83" s="134"/>
      <c r="BC83" s="232"/>
      <c r="BD83" s="182"/>
      <c r="BE83" s="134"/>
      <c r="BF83" s="182"/>
      <c r="BG83" s="213"/>
      <c r="BH83" s="134"/>
      <c r="BI83" s="236"/>
      <c r="BJ83" s="213"/>
      <c r="BK83" s="134" t="s">
        <v>59</v>
      </c>
      <c r="BL83" s="232">
        <v>164</v>
      </c>
      <c r="BM83" s="213"/>
      <c r="BN83" s="134" t="s">
        <v>59</v>
      </c>
      <c r="BO83" s="168"/>
    </row>
    <row r="84" spans="1:67">
      <c r="A84" s="16" t="s">
        <v>32</v>
      </c>
      <c r="B84" s="65"/>
      <c r="C84" s="24"/>
      <c r="D84" s="23"/>
      <c r="E84" s="24"/>
      <c r="F84" s="24"/>
      <c r="G84" s="24"/>
      <c r="H84" s="24"/>
      <c r="I84" s="24"/>
      <c r="J84" s="24"/>
      <c r="K84" s="26"/>
      <c r="L84" s="26"/>
      <c r="M84" s="27"/>
      <c r="N84" s="23"/>
      <c r="O84" s="24"/>
      <c r="P84" s="24"/>
      <c r="Q84" s="24"/>
      <c r="R84" s="24"/>
      <c r="S84" s="24"/>
      <c r="T84" s="24"/>
      <c r="U84" s="26"/>
      <c r="V84" s="26"/>
      <c r="W84" s="27"/>
      <c r="X84" s="23"/>
      <c r="Y84" s="24"/>
      <c r="Z84" s="24"/>
      <c r="AA84" s="24"/>
      <c r="AB84" s="25"/>
      <c r="AC84" s="22"/>
      <c r="AD84" s="23"/>
      <c r="AE84" s="24"/>
      <c r="AF84" s="24"/>
      <c r="AG84" s="24"/>
      <c r="AH84" s="25"/>
      <c r="AI84" s="25"/>
      <c r="AJ84" s="54" t="str">
        <f t="shared" si="13"/>
        <v/>
      </c>
      <c r="AK84" s="55" t="str">
        <f t="shared" si="14"/>
        <v/>
      </c>
      <c r="AL84" s="55"/>
      <c r="AM84" s="56"/>
      <c r="AN84" s="168"/>
      <c r="AO84" s="168"/>
      <c r="AP84" s="168"/>
      <c r="AQ84" s="168"/>
      <c r="AR84" s="168"/>
      <c r="AS84" s="168"/>
      <c r="AT84" s="168"/>
      <c r="AU84" s="168"/>
      <c r="AV84" s="334">
        <f t="shared" si="16"/>
        <v>184</v>
      </c>
      <c r="AW84" s="232"/>
      <c r="AX84" s="213"/>
      <c r="AY84" s="134"/>
      <c r="AZ84" s="182"/>
      <c r="BA84" s="213"/>
      <c r="BB84" s="134"/>
      <c r="BC84" s="232"/>
      <c r="BD84" s="182"/>
      <c r="BE84" s="134"/>
      <c r="BF84" s="182"/>
      <c r="BG84" s="213"/>
      <c r="BH84" s="134"/>
      <c r="BI84" s="236"/>
      <c r="BJ84" s="213"/>
      <c r="BK84" s="134" t="s">
        <v>59</v>
      </c>
      <c r="BL84" s="232">
        <v>164</v>
      </c>
      <c r="BM84" s="213"/>
      <c r="BN84" s="134" t="s">
        <v>59</v>
      </c>
      <c r="BO84" s="168"/>
    </row>
    <row r="85" spans="1:67">
      <c r="A85" s="16" t="s">
        <v>32</v>
      </c>
      <c r="B85" s="65"/>
      <c r="C85" s="24"/>
      <c r="D85" s="23"/>
      <c r="E85" s="24"/>
      <c r="F85" s="24"/>
      <c r="G85" s="24"/>
      <c r="H85" s="24"/>
      <c r="I85" s="24"/>
      <c r="J85" s="24"/>
      <c r="K85" s="26"/>
      <c r="L85" s="26"/>
      <c r="M85" s="27"/>
      <c r="N85" s="23"/>
      <c r="O85" s="24"/>
      <c r="P85" s="24"/>
      <c r="Q85" s="24"/>
      <c r="R85" s="24"/>
      <c r="S85" s="24"/>
      <c r="T85" s="24"/>
      <c r="U85" s="26"/>
      <c r="V85" s="26"/>
      <c r="W85" s="27"/>
      <c r="X85" s="23"/>
      <c r="Y85" s="24"/>
      <c r="Z85" s="24"/>
      <c r="AA85" s="24"/>
      <c r="AB85" s="25"/>
      <c r="AC85" s="22"/>
      <c r="AD85" s="23"/>
      <c r="AE85" s="24"/>
      <c r="AF85" s="24"/>
      <c r="AG85" s="24"/>
      <c r="AH85" s="25"/>
      <c r="AI85" s="25"/>
      <c r="AJ85" s="54" t="str">
        <f t="shared" si="13"/>
        <v/>
      </c>
      <c r="AK85" s="55" t="str">
        <f t="shared" si="14"/>
        <v/>
      </c>
      <c r="AL85" s="55"/>
      <c r="AM85" s="56"/>
      <c r="AN85" s="168"/>
      <c r="AO85" s="168"/>
      <c r="AP85" s="168"/>
      <c r="AQ85" s="168"/>
      <c r="AR85" s="168"/>
      <c r="AS85" s="168"/>
      <c r="AT85" s="168"/>
      <c r="AU85" s="168"/>
      <c r="AV85" s="334">
        <f t="shared" si="16"/>
        <v>184</v>
      </c>
      <c r="AW85" s="232"/>
      <c r="AX85" s="213"/>
      <c r="AY85" s="134"/>
      <c r="AZ85" s="182"/>
      <c r="BA85" s="213"/>
      <c r="BB85" s="134"/>
      <c r="BC85" s="232"/>
      <c r="BD85" s="182"/>
      <c r="BE85" s="134"/>
      <c r="BF85" s="182"/>
      <c r="BG85" s="213"/>
      <c r="BH85" s="134"/>
      <c r="BI85" s="236"/>
      <c r="BJ85" s="213"/>
      <c r="BK85" s="134" t="s">
        <v>59</v>
      </c>
      <c r="BL85" s="232">
        <v>164</v>
      </c>
      <c r="BM85" s="213"/>
      <c r="BN85" s="134" t="s">
        <v>59</v>
      </c>
      <c r="BO85" s="168"/>
    </row>
    <row r="86" spans="1:67">
      <c r="A86" s="16" t="s">
        <v>32</v>
      </c>
      <c r="B86" s="65"/>
      <c r="C86" s="24"/>
      <c r="D86" s="23"/>
      <c r="E86" s="24"/>
      <c r="F86" s="24"/>
      <c r="G86" s="24"/>
      <c r="H86" s="24"/>
      <c r="I86" s="24"/>
      <c r="J86" s="24"/>
      <c r="K86" s="26"/>
      <c r="L86" s="26"/>
      <c r="M86" s="27"/>
      <c r="N86" s="23"/>
      <c r="O86" s="24"/>
      <c r="P86" s="24"/>
      <c r="Q86" s="24"/>
      <c r="R86" s="24"/>
      <c r="S86" s="24"/>
      <c r="T86" s="24"/>
      <c r="U86" s="26"/>
      <c r="V86" s="26"/>
      <c r="W86" s="27"/>
      <c r="X86" s="23"/>
      <c r="Y86" s="24"/>
      <c r="Z86" s="24"/>
      <c r="AA86" s="24"/>
      <c r="AB86" s="25"/>
      <c r="AC86" s="22"/>
      <c r="AD86" s="23"/>
      <c r="AE86" s="24"/>
      <c r="AF86" s="24"/>
      <c r="AG86" s="24"/>
      <c r="AH86" s="25"/>
      <c r="AI86" s="25"/>
      <c r="AJ86" s="54" t="str">
        <f t="shared" si="13"/>
        <v/>
      </c>
      <c r="AK86" s="55" t="str">
        <f t="shared" si="14"/>
        <v/>
      </c>
      <c r="AL86" s="55"/>
      <c r="AM86" s="56"/>
      <c r="AN86" s="168"/>
      <c r="AO86" s="168"/>
      <c r="AP86" s="168"/>
      <c r="AQ86" s="168"/>
      <c r="AR86" s="168"/>
      <c r="AS86" s="168"/>
      <c r="AT86" s="168"/>
      <c r="AU86" s="168"/>
      <c r="AV86" s="334">
        <f t="shared" si="16"/>
        <v>184</v>
      </c>
      <c r="AW86" s="232"/>
      <c r="AX86" s="213"/>
      <c r="AY86" s="134"/>
      <c r="AZ86" s="182"/>
      <c r="BA86" s="213"/>
      <c r="BB86" s="134"/>
      <c r="BC86" s="232"/>
      <c r="BD86" s="182"/>
      <c r="BE86" s="134"/>
      <c r="BF86" s="182"/>
      <c r="BG86" s="213"/>
      <c r="BH86" s="134"/>
      <c r="BI86" s="236"/>
      <c r="BJ86" s="213"/>
      <c r="BK86" s="134" t="s">
        <v>59</v>
      </c>
      <c r="BL86" s="232">
        <v>164</v>
      </c>
      <c r="BM86" s="213"/>
      <c r="BN86" s="134" t="s">
        <v>59</v>
      </c>
      <c r="BO86" s="168"/>
    </row>
    <row r="87" spans="1:67">
      <c r="A87" s="16" t="s">
        <v>32</v>
      </c>
      <c r="B87" s="65"/>
      <c r="C87" s="24"/>
      <c r="D87" s="23"/>
      <c r="E87" s="24"/>
      <c r="F87" s="24"/>
      <c r="G87" s="24"/>
      <c r="H87" s="24"/>
      <c r="I87" s="24"/>
      <c r="J87" s="24"/>
      <c r="K87" s="26"/>
      <c r="L87" s="26"/>
      <c r="M87" s="27"/>
      <c r="N87" s="23"/>
      <c r="O87" s="24"/>
      <c r="P87" s="24"/>
      <c r="Q87" s="24"/>
      <c r="R87" s="24"/>
      <c r="S87" s="24"/>
      <c r="T87" s="24"/>
      <c r="U87" s="26"/>
      <c r="V87" s="26"/>
      <c r="W87" s="27"/>
      <c r="X87" s="23"/>
      <c r="Y87" s="24"/>
      <c r="Z87" s="24"/>
      <c r="AA87" s="24"/>
      <c r="AB87" s="25"/>
      <c r="AC87" s="22"/>
      <c r="AD87" s="23"/>
      <c r="AE87" s="24"/>
      <c r="AF87" s="24"/>
      <c r="AG87" s="24"/>
      <c r="AH87" s="25"/>
      <c r="AI87" s="25"/>
      <c r="AJ87" s="54" t="str">
        <f t="shared" si="13"/>
        <v/>
      </c>
      <c r="AK87" s="55" t="str">
        <f t="shared" si="14"/>
        <v/>
      </c>
      <c r="AL87" s="55"/>
      <c r="AM87" s="56"/>
      <c r="AN87" s="168"/>
      <c r="AO87" s="168"/>
      <c r="AP87" s="168"/>
      <c r="AQ87" s="168"/>
      <c r="AR87" s="168"/>
      <c r="AS87" s="168"/>
      <c r="AT87" s="168"/>
      <c r="AU87" s="168"/>
      <c r="AV87" s="334">
        <f t="shared" si="16"/>
        <v>184</v>
      </c>
      <c r="AW87" s="232"/>
      <c r="AX87" s="213"/>
      <c r="AY87" s="134"/>
      <c r="AZ87" s="182"/>
      <c r="BA87" s="213"/>
      <c r="BB87" s="134"/>
      <c r="BC87" s="232"/>
      <c r="BD87" s="182"/>
      <c r="BE87" s="134"/>
      <c r="BF87" s="182"/>
      <c r="BG87" s="213"/>
      <c r="BH87" s="134"/>
      <c r="BI87" s="236"/>
      <c r="BJ87" s="213"/>
      <c r="BK87" s="134" t="s">
        <v>59</v>
      </c>
      <c r="BL87" s="232">
        <v>164</v>
      </c>
      <c r="BM87" s="213"/>
      <c r="BN87" s="134" t="s">
        <v>59</v>
      </c>
      <c r="BO87" s="168"/>
    </row>
    <row r="88" spans="1:67">
      <c r="A88" s="16" t="s">
        <v>32</v>
      </c>
      <c r="B88" s="65"/>
      <c r="C88" s="24"/>
      <c r="D88" s="23"/>
      <c r="E88" s="24"/>
      <c r="F88" s="24"/>
      <c r="G88" s="24"/>
      <c r="H88" s="24"/>
      <c r="I88" s="24"/>
      <c r="J88" s="24"/>
      <c r="K88" s="26"/>
      <c r="L88" s="26"/>
      <c r="M88" s="27"/>
      <c r="N88" s="23"/>
      <c r="O88" s="24"/>
      <c r="P88" s="24"/>
      <c r="Q88" s="24"/>
      <c r="R88" s="24"/>
      <c r="S88" s="24"/>
      <c r="T88" s="24"/>
      <c r="U88" s="26"/>
      <c r="V88" s="26"/>
      <c r="W88" s="27"/>
      <c r="X88" s="23"/>
      <c r="Y88" s="24"/>
      <c r="Z88" s="24"/>
      <c r="AA88" s="24"/>
      <c r="AB88" s="25"/>
      <c r="AC88" s="22"/>
      <c r="AD88" s="23"/>
      <c r="AE88" s="24"/>
      <c r="AF88" s="24"/>
      <c r="AG88" s="24"/>
      <c r="AH88" s="25"/>
      <c r="AI88" s="25"/>
      <c r="AJ88" s="54" t="str">
        <f t="shared" si="13"/>
        <v/>
      </c>
      <c r="AK88" s="55" t="str">
        <f t="shared" si="14"/>
        <v/>
      </c>
      <c r="AL88" s="55"/>
      <c r="AM88" s="56"/>
      <c r="AN88" s="168"/>
      <c r="AO88" s="168"/>
      <c r="AP88" s="168"/>
      <c r="AQ88" s="168"/>
      <c r="AR88" s="168"/>
      <c r="AS88" s="168"/>
      <c r="AT88" s="168"/>
      <c r="AU88" s="168"/>
      <c r="AV88" s="334">
        <f t="shared" si="16"/>
        <v>184</v>
      </c>
      <c r="AW88" s="232"/>
      <c r="AX88" s="213"/>
      <c r="AY88" s="134"/>
      <c r="AZ88" s="182"/>
      <c r="BA88" s="213"/>
      <c r="BB88" s="134"/>
      <c r="BC88" s="232"/>
      <c r="BD88" s="182"/>
      <c r="BE88" s="134"/>
      <c r="BF88" s="182"/>
      <c r="BG88" s="213"/>
      <c r="BH88" s="134"/>
      <c r="BI88" s="236"/>
      <c r="BJ88" s="213"/>
      <c r="BK88" s="134" t="s">
        <v>59</v>
      </c>
      <c r="BL88" s="232">
        <v>164</v>
      </c>
      <c r="BM88" s="213"/>
      <c r="BN88" s="134" t="s">
        <v>59</v>
      </c>
      <c r="BO88" s="168"/>
    </row>
    <row r="89" spans="1:67">
      <c r="A89" s="16" t="s">
        <v>32</v>
      </c>
      <c r="B89" s="65"/>
      <c r="C89" s="24"/>
      <c r="D89" s="23"/>
      <c r="E89" s="24"/>
      <c r="F89" s="24"/>
      <c r="G89" s="24"/>
      <c r="H89" s="24"/>
      <c r="I89" s="24"/>
      <c r="J89" s="24"/>
      <c r="K89" s="26"/>
      <c r="L89" s="26"/>
      <c r="M89" s="27"/>
      <c r="N89" s="23"/>
      <c r="O89" s="24"/>
      <c r="P89" s="24"/>
      <c r="Q89" s="24"/>
      <c r="R89" s="24"/>
      <c r="S89" s="24"/>
      <c r="T89" s="24"/>
      <c r="U89" s="26"/>
      <c r="V89" s="26"/>
      <c r="W89" s="27"/>
      <c r="X89" s="23"/>
      <c r="Y89" s="24"/>
      <c r="Z89" s="24"/>
      <c r="AA89" s="24"/>
      <c r="AB89" s="25"/>
      <c r="AC89" s="22"/>
      <c r="AD89" s="23"/>
      <c r="AE89" s="24"/>
      <c r="AF89" s="24"/>
      <c r="AG89" s="24"/>
      <c r="AH89" s="25"/>
      <c r="AI89" s="25"/>
      <c r="AJ89" s="54" t="str">
        <f t="shared" si="13"/>
        <v/>
      </c>
      <c r="AK89" s="55" t="str">
        <f t="shared" si="14"/>
        <v/>
      </c>
      <c r="AL89" s="55"/>
      <c r="AM89" s="56"/>
      <c r="AN89" s="168"/>
      <c r="AO89" s="168"/>
      <c r="AP89" s="168"/>
      <c r="AQ89" s="168"/>
      <c r="AR89" s="168"/>
      <c r="AS89" s="168"/>
      <c r="AT89" s="168"/>
      <c r="AU89" s="168"/>
      <c r="AV89" s="334">
        <f t="shared" si="16"/>
        <v>184</v>
      </c>
      <c r="AW89" s="232"/>
      <c r="AX89" s="213"/>
      <c r="AY89" s="134"/>
      <c r="AZ89" s="182"/>
      <c r="BA89" s="213"/>
      <c r="BB89" s="134"/>
      <c r="BC89" s="232"/>
      <c r="BD89" s="182"/>
      <c r="BE89" s="134"/>
      <c r="BF89" s="182"/>
      <c r="BG89" s="213"/>
      <c r="BH89" s="134"/>
      <c r="BI89" s="236"/>
      <c r="BJ89" s="213"/>
      <c r="BK89" s="134" t="s">
        <v>59</v>
      </c>
      <c r="BL89" s="232">
        <v>164</v>
      </c>
      <c r="BM89" s="213"/>
      <c r="BN89" s="134" t="s">
        <v>59</v>
      </c>
      <c r="BO89" s="168"/>
    </row>
    <row r="90" spans="1:67">
      <c r="A90" s="16" t="s">
        <v>32</v>
      </c>
      <c r="B90" s="65"/>
      <c r="C90" s="24"/>
      <c r="D90" s="23"/>
      <c r="E90" s="24"/>
      <c r="F90" s="24"/>
      <c r="G90" s="24"/>
      <c r="H90" s="24"/>
      <c r="I90" s="24"/>
      <c r="J90" s="24"/>
      <c r="K90" s="26"/>
      <c r="L90" s="26"/>
      <c r="M90" s="27"/>
      <c r="N90" s="23"/>
      <c r="O90" s="24"/>
      <c r="P90" s="24"/>
      <c r="Q90" s="24"/>
      <c r="R90" s="24"/>
      <c r="S90" s="24"/>
      <c r="T90" s="24"/>
      <c r="U90" s="26"/>
      <c r="V90" s="26"/>
      <c r="W90" s="27"/>
      <c r="X90" s="23"/>
      <c r="Y90" s="24"/>
      <c r="Z90" s="24"/>
      <c r="AA90" s="24"/>
      <c r="AB90" s="25"/>
      <c r="AC90" s="22"/>
      <c r="AD90" s="23"/>
      <c r="AE90" s="24"/>
      <c r="AF90" s="24"/>
      <c r="AG90" s="24"/>
      <c r="AH90" s="25"/>
      <c r="AI90" s="25"/>
      <c r="AJ90" s="54" t="str">
        <f t="shared" si="13"/>
        <v/>
      </c>
      <c r="AK90" s="55" t="str">
        <f t="shared" si="14"/>
        <v/>
      </c>
      <c r="AL90" s="55"/>
      <c r="AM90" s="56"/>
      <c r="AN90" s="168"/>
      <c r="AO90" s="168"/>
      <c r="AP90" s="168"/>
      <c r="AQ90" s="168"/>
      <c r="AR90" s="168"/>
      <c r="AS90" s="168"/>
      <c r="AT90" s="168"/>
      <c r="AU90" s="168"/>
      <c r="AV90" s="334">
        <f t="shared" si="16"/>
        <v>184</v>
      </c>
      <c r="AW90" s="232"/>
      <c r="AX90" s="213"/>
      <c r="AY90" s="134"/>
      <c r="AZ90" s="182"/>
      <c r="BA90" s="213"/>
      <c r="BB90" s="134"/>
      <c r="BC90" s="232"/>
      <c r="BD90" s="182"/>
      <c r="BE90" s="134"/>
      <c r="BF90" s="182"/>
      <c r="BG90" s="213"/>
      <c r="BH90" s="134"/>
      <c r="BI90" s="236"/>
      <c r="BJ90" s="213"/>
      <c r="BK90" s="134" t="s">
        <v>59</v>
      </c>
      <c r="BL90" s="232">
        <v>164</v>
      </c>
      <c r="BM90" s="213"/>
      <c r="BN90" s="134" t="s">
        <v>59</v>
      </c>
      <c r="BO90" s="168"/>
    </row>
    <row r="91" spans="1:67">
      <c r="A91" s="16" t="s">
        <v>32</v>
      </c>
      <c r="B91" s="65"/>
      <c r="C91" s="24"/>
      <c r="D91" s="23"/>
      <c r="E91" s="24"/>
      <c r="F91" s="24"/>
      <c r="G91" s="24"/>
      <c r="H91" s="24"/>
      <c r="I91" s="24"/>
      <c r="J91" s="24"/>
      <c r="K91" s="26"/>
      <c r="L91" s="26"/>
      <c r="M91" s="27"/>
      <c r="N91" s="23"/>
      <c r="O91" s="24"/>
      <c r="P91" s="24"/>
      <c r="Q91" s="24"/>
      <c r="R91" s="24"/>
      <c r="S91" s="24"/>
      <c r="T91" s="24"/>
      <c r="U91" s="26"/>
      <c r="V91" s="26"/>
      <c r="W91" s="27"/>
      <c r="X91" s="23"/>
      <c r="Y91" s="24"/>
      <c r="Z91" s="24"/>
      <c r="AA91" s="24"/>
      <c r="AB91" s="25"/>
      <c r="AC91" s="22"/>
      <c r="AD91" s="23"/>
      <c r="AE91" s="24"/>
      <c r="AF91" s="24"/>
      <c r="AG91" s="24"/>
      <c r="AH91" s="25"/>
      <c r="AI91" s="25"/>
      <c r="AJ91" s="54" t="str">
        <f t="shared" si="13"/>
        <v/>
      </c>
      <c r="AK91" s="55" t="str">
        <f t="shared" si="14"/>
        <v/>
      </c>
      <c r="AL91" s="55"/>
      <c r="AM91" s="56"/>
      <c r="AN91" s="168"/>
      <c r="AO91" s="168"/>
      <c r="AP91" s="168"/>
      <c r="AQ91" s="168"/>
      <c r="AR91" s="168"/>
      <c r="AS91" s="168"/>
      <c r="AT91" s="168"/>
      <c r="AU91" s="168"/>
      <c r="AV91" s="334">
        <f t="shared" si="16"/>
        <v>184</v>
      </c>
      <c r="AW91" s="232"/>
      <c r="AX91" s="213"/>
      <c r="AY91" s="134"/>
      <c r="AZ91" s="182"/>
      <c r="BA91" s="213"/>
      <c r="BB91" s="134"/>
      <c r="BC91" s="232"/>
      <c r="BD91" s="182"/>
      <c r="BE91" s="134"/>
      <c r="BF91" s="182"/>
      <c r="BG91" s="213"/>
      <c r="BH91" s="134"/>
      <c r="BI91" s="236"/>
      <c r="BJ91" s="213"/>
      <c r="BK91" s="134" t="s">
        <v>59</v>
      </c>
      <c r="BL91" s="232">
        <v>164</v>
      </c>
      <c r="BM91" s="213"/>
      <c r="BN91" s="134" t="s">
        <v>59</v>
      </c>
      <c r="BO91" s="168"/>
    </row>
    <row r="92" spans="1:67">
      <c r="A92" s="16" t="s">
        <v>32</v>
      </c>
      <c r="B92" s="65"/>
      <c r="C92" s="24"/>
      <c r="D92" s="23"/>
      <c r="E92" s="24"/>
      <c r="F92" s="24"/>
      <c r="G92" s="24"/>
      <c r="H92" s="24"/>
      <c r="I92" s="24"/>
      <c r="J92" s="24"/>
      <c r="K92" s="26"/>
      <c r="L92" s="26"/>
      <c r="M92" s="27"/>
      <c r="N92" s="23"/>
      <c r="O92" s="24"/>
      <c r="P92" s="24"/>
      <c r="Q92" s="24"/>
      <c r="R92" s="24"/>
      <c r="S92" s="24"/>
      <c r="T92" s="24"/>
      <c r="U92" s="26"/>
      <c r="V92" s="26"/>
      <c r="W92" s="27"/>
      <c r="X92" s="23"/>
      <c r="Y92" s="24"/>
      <c r="Z92" s="24"/>
      <c r="AA92" s="24"/>
      <c r="AB92" s="25"/>
      <c r="AC92" s="22"/>
      <c r="AD92" s="23"/>
      <c r="AE92" s="24"/>
      <c r="AF92" s="24"/>
      <c r="AG92" s="24"/>
      <c r="AH92" s="25"/>
      <c r="AI92" s="25"/>
      <c r="AJ92" s="54" t="str">
        <f t="shared" si="13"/>
        <v/>
      </c>
      <c r="AK92" s="55" t="str">
        <f t="shared" si="14"/>
        <v/>
      </c>
      <c r="AL92" s="55"/>
      <c r="AM92" s="56"/>
      <c r="AN92" s="168"/>
      <c r="AO92" s="168"/>
      <c r="AP92" s="168"/>
      <c r="AQ92" s="168"/>
      <c r="AR92" s="168"/>
      <c r="AS92" s="168"/>
      <c r="AT92" s="168"/>
      <c r="AU92" s="168"/>
      <c r="AV92" s="334">
        <f t="shared" si="16"/>
        <v>184</v>
      </c>
      <c r="AW92" s="232"/>
      <c r="AX92" s="213"/>
      <c r="AY92" s="134"/>
      <c r="AZ92" s="182"/>
      <c r="BA92" s="213"/>
      <c r="BB92" s="134"/>
      <c r="BC92" s="232"/>
      <c r="BD92" s="182"/>
      <c r="BE92" s="134"/>
      <c r="BF92" s="182"/>
      <c r="BG92" s="213"/>
      <c r="BH92" s="134"/>
      <c r="BI92" s="236"/>
      <c r="BJ92" s="213"/>
      <c r="BK92" s="134" t="s">
        <v>59</v>
      </c>
      <c r="BL92" s="232">
        <v>164</v>
      </c>
      <c r="BM92" s="213"/>
      <c r="BN92" s="134" t="s">
        <v>59</v>
      </c>
      <c r="BO92" s="168"/>
    </row>
    <row r="93" spans="1:67">
      <c r="A93" s="16" t="s">
        <v>32</v>
      </c>
      <c r="B93" s="65"/>
      <c r="C93" s="24"/>
      <c r="D93" s="23"/>
      <c r="E93" s="24"/>
      <c r="F93" s="24"/>
      <c r="G93" s="24"/>
      <c r="H93" s="24"/>
      <c r="I93" s="24"/>
      <c r="J93" s="24"/>
      <c r="K93" s="26"/>
      <c r="L93" s="26"/>
      <c r="M93" s="27"/>
      <c r="N93" s="23"/>
      <c r="O93" s="24"/>
      <c r="P93" s="24"/>
      <c r="Q93" s="24"/>
      <c r="R93" s="24"/>
      <c r="S93" s="24"/>
      <c r="T93" s="24"/>
      <c r="U93" s="26"/>
      <c r="V93" s="26"/>
      <c r="W93" s="27"/>
      <c r="X93" s="23"/>
      <c r="Y93" s="24"/>
      <c r="Z93" s="24"/>
      <c r="AA93" s="24"/>
      <c r="AB93" s="25"/>
      <c r="AC93" s="22"/>
      <c r="AD93" s="23"/>
      <c r="AE93" s="24"/>
      <c r="AF93" s="24"/>
      <c r="AG93" s="24"/>
      <c r="AH93" s="25"/>
      <c r="AI93" s="25"/>
      <c r="AJ93" s="54" t="str">
        <f t="shared" si="13"/>
        <v/>
      </c>
      <c r="AK93" s="55" t="str">
        <f t="shared" si="14"/>
        <v/>
      </c>
      <c r="AL93" s="55"/>
      <c r="AM93" s="56"/>
      <c r="AN93" s="168"/>
      <c r="AO93" s="168"/>
      <c r="AP93" s="168"/>
      <c r="AQ93" s="168"/>
      <c r="AR93" s="168"/>
      <c r="AS93" s="168"/>
      <c r="AT93" s="168"/>
      <c r="AU93" s="168"/>
      <c r="AV93" s="334">
        <f t="shared" si="16"/>
        <v>184</v>
      </c>
      <c r="AW93" s="232"/>
      <c r="AX93" s="213"/>
      <c r="AY93" s="134"/>
      <c r="AZ93" s="182"/>
      <c r="BA93" s="213"/>
      <c r="BB93" s="134"/>
      <c r="BC93" s="232"/>
      <c r="BD93" s="182"/>
      <c r="BE93" s="134"/>
      <c r="BF93" s="182"/>
      <c r="BG93" s="213"/>
      <c r="BH93" s="134"/>
      <c r="BI93" s="236"/>
      <c r="BJ93" s="213"/>
      <c r="BK93" s="134" t="s">
        <v>59</v>
      </c>
      <c r="BL93" s="232">
        <v>164</v>
      </c>
      <c r="BM93" s="213"/>
      <c r="BN93" s="134" t="s">
        <v>59</v>
      </c>
      <c r="BO93" s="168"/>
    </row>
    <row r="94" spans="1:67" ht="13" thickBot="1">
      <c r="A94" s="17" t="s">
        <v>32</v>
      </c>
      <c r="B94" s="66"/>
      <c r="C94" s="32"/>
      <c r="D94" s="31"/>
      <c r="E94" s="32"/>
      <c r="F94" s="32"/>
      <c r="G94" s="32"/>
      <c r="H94" s="32"/>
      <c r="I94" s="32"/>
      <c r="J94" s="32"/>
      <c r="K94" s="34"/>
      <c r="L94" s="34"/>
      <c r="M94" s="35"/>
      <c r="N94" s="31"/>
      <c r="O94" s="32"/>
      <c r="P94" s="32"/>
      <c r="Q94" s="32"/>
      <c r="R94" s="32"/>
      <c r="S94" s="32"/>
      <c r="T94" s="32"/>
      <c r="U94" s="34"/>
      <c r="V94" s="34"/>
      <c r="W94" s="35"/>
      <c r="X94" s="31"/>
      <c r="Y94" s="32"/>
      <c r="Z94" s="32"/>
      <c r="AA94" s="32"/>
      <c r="AB94" s="33"/>
      <c r="AC94" s="30"/>
      <c r="AD94" s="31"/>
      <c r="AE94" s="32"/>
      <c r="AF94" s="32"/>
      <c r="AG94" s="32"/>
      <c r="AH94" s="33"/>
      <c r="AI94" s="33"/>
      <c r="AJ94" s="57" t="str">
        <f t="shared" si="13"/>
        <v/>
      </c>
      <c r="AK94" s="58" t="str">
        <f t="shared" si="14"/>
        <v/>
      </c>
      <c r="AL94" s="58"/>
      <c r="AM94" s="59"/>
      <c r="AN94" s="168"/>
      <c r="AO94" s="168"/>
      <c r="AP94" s="168"/>
      <c r="AQ94" s="168"/>
      <c r="AR94" s="168"/>
      <c r="AS94" s="168"/>
      <c r="AT94" s="168"/>
      <c r="AU94" s="168"/>
      <c r="AV94" s="334">
        <f t="shared" si="16"/>
        <v>184</v>
      </c>
      <c r="AW94" s="232"/>
      <c r="AX94" s="213"/>
      <c r="AY94" s="134"/>
      <c r="AZ94" s="182"/>
      <c r="BA94" s="213"/>
      <c r="BB94" s="134"/>
      <c r="BC94" s="232"/>
      <c r="BD94" s="182"/>
      <c r="BE94" s="134"/>
      <c r="BF94" s="182"/>
      <c r="BG94" s="213"/>
      <c r="BH94" s="134"/>
      <c r="BI94" s="236"/>
      <c r="BJ94" s="213"/>
      <c r="BK94" s="134" t="s">
        <v>59</v>
      </c>
      <c r="BL94" s="232">
        <v>164</v>
      </c>
      <c r="BM94" s="213"/>
      <c r="BN94" s="134" t="s">
        <v>59</v>
      </c>
      <c r="BO94" s="168"/>
    </row>
    <row r="95" spans="1:67">
      <c r="A95" s="367" t="s">
        <v>34</v>
      </c>
      <c r="B95" s="65">
        <v>41057</v>
      </c>
      <c r="C95" s="40" t="s">
        <v>94</v>
      </c>
      <c r="D95" s="23">
        <v>16</v>
      </c>
      <c r="E95" s="24">
        <v>20</v>
      </c>
      <c r="F95" s="24">
        <v>12</v>
      </c>
      <c r="G95" s="24">
        <v>17</v>
      </c>
      <c r="H95" s="24">
        <v>10</v>
      </c>
      <c r="I95" s="24">
        <v>15</v>
      </c>
      <c r="J95" s="237">
        <v>9</v>
      </c>
      <c r="K95" s="26"/>
      <c r="L95" s="26"/>
      <c r="M95" s="27"/>
      <c r="N95" s="23">
        <v>1</v>
      </c>
      <c r="O95" s="24">
        <v>1</v>
      </c>
      <c r="P95" s="24">
        <v>1</v>
      </c>
      <c r="Q95" s="24">
        <v>1</v>
      </c>
      <c r="R95" s="24">
        <v>0</v>
      </c>
      <c r="S95" s="24">
        <v>1</v>
      </c>
      <c r="T95" s="24">
        <v>0</v>
      </c>
      <c r="U95" s="26"/>
      <c r="V95" s="26"/>
      <c r="W95" s="27"/>
      <c r="X95" s="23"/>
      <c r="Y95" s="24"/>
      <c r="Z95" s="24"/>
      <c r="AA95" s="24"/>
      <c r="AB95" s="25"/>
      <c r="AC95" s="22"/>
      <c r="AD95" s="23"/>
      <c r="AE95" s="24"/>
      <c r="AF95" s="24"/>
      <c r="AG95" s="24"/>
      <c r="AH95" s="25"/>
      <c r="AI95" s="25"/>
      <c r="AJ95" s="61">
        <f t="shared" si="13"/>
        <v>14.142857142857142</v>
      </c>
      <c r="AK95" s="62">
        <f t="shared" si="14"/>
        <v>0.7142857142857143</v>
      </c>
      <c r="AL95" s="62"/>
      <c r="AM95" s="63"/>
      <c r="AN95" s="168"/>
      <c r="AO95" s="168"/>
      <c r="AP95" s="168"/>
      <c r="AQ95" s="168"/>
      <c r="AR95" s="168"/>
      <c r="AS95" s="168"/>
      <c r="AT95" s="168"/>
      <c r="AU95" s="168"/>
      <c r="AV95" s="334">
        <f t="shared" si="16"/>
        <v>149</v>
      </c>
      <c r="AW95" s="232"/>
      <c r="AX95" s="213"/>
      <c r="AY95" s="134"/>
      <c r="AZ95" s="182"/>
      <c r="BA95" s="213"/>
      <c r="BB95" s="134"/>
      <c r="BC95" s="232"/>
      <c r="BD95" s="182"/>
      <c r="BE95" s="134"/>
      <c r="BF95" s="182"/>
      <c r="BG95" s="213"/>
      <c r="BH95" s="134"/>
      <c r="BI95" s="236"/>
      <c r="BJ95" s="213">
        <v>40315</v>
      </c>
      <c r="BK95" s="134">
        <v>11.857142857142858</v>
      </c>
      <c r="BL95" s="232">
        <v>140</v>
      </c>
      <c r="BM95" s="213">
        <v>40683</v>
      </c>
      <c r="BN95" s="134">
        <v>13.857142857142858</v>
      </c>
      <c r="BO95" s="168"/>
    </row>
    <row r="96" spans="1:67">
      <c r="A96" s="16" t="s">
        <v>34</v>
      </c>
      <c r="B96" s="65">
        <v>41064</v>
      </c>
      <c r="C96" s="40" t="s">
        <v>94</v>
      </c>
      <c r="D96" s="23">
        <v>20</v>
      </c>
      <c r="E96" s="24">
        <v>22</v>
      </c>
      <c r="F96" s="24">
        <v>14</v>
      </c>
      <c r="G96" s="24">
        <v>18</v>
      </c>
      <c r="H96" s="24">
        <v>12</v>
      </c>
      <c r="I96" s="24">
        <v>18</v>
      </c>
      <c r="J96" s="24">
        <v>12</v>
      </c>
      <c r="K96" s="26"/>
      <c r="L96" s="26"/>
      <c r="M96" s="27"/>
      <c r="N96" s="23">
        <v>1</v>
      </c>
      <c r="O96" s="24">
        <v>2</v>
      </c>
      <c r="P96" s="24">
        <v>1</v>
      </c>
      <c r="Q96" s="24">
        <v>1</v>
      </c>
      <c r="R96" s="24">
        <v>1</v>
      </c>
      <c r="S96" s="24">
        <v>1</v>
      </c>
      <c r="T96" s="24">
        <v>1</v>
      </c>
      <c r="U96" s="26"/>
      <c r="V96" s="26"/>
      <c r="W96" s="27"/>
      <c r="X96" s="23"/>
      <c r="Y96" s="24"/>
      <c r="Z96" s="24"/>
      <c r="AA96" s="24"/>
      <c r="AB96" s="25"/>
      <c r="AC96" s="22"/>
      <c r="AD96" s="23"/>
      <c r="AE96" s="24"/>
      <c r="AF96" s="24"/>
      <c r="AG96" s="24"/>
      <c r="AH96" s="25"/>
      <c r="AI96" s="25"/>
      <c r="AJ96" s="54">
        <f t="shared" si="13"/>
        <v>16.571428571428573</v>
      </c>
      <c r="AK96" s="55">
        <f t="shared" si="14"/>
        <v>1.1428571428571428</v>
      </c>
      <c r="AL96" s="55"/>
      <c r="AM96" s="56"/>
      <c r="AN96" s="168"/>
      <c r="AO96" s="168"/>
      <c r="AP96" s="168"/>
      <c r="AQ96" s="168"/>
      <c r="AR96" s="168"/>
      <c r="AS96" s="168"/>
      <c r="AT96" s="168"/>
      <c r="AU96" s="168"/>
      <c r="AV96" s="334">
        <f t="shared" si="16"/>
        <v>156</v>
      </c>
      <c r="AW96" s="232"/>
      <c r="AX96" s="213"/>
      <c r="AY96" s="134"/>
      <c r="AZ96" s="182"/>
      <c r="BA96" s="213"/>
      <c r="BB96" s="134"/>
      <c r="BC96" s="232"/>
      <c r="BD96" s="182"/>
      <c r="BE96" s="134"/>
      <c r="BF96" s="182"/>
      <c r="BG96" s="213"/>
      <c r="BH96" s="134"/>
      <c r="BI96" s="236"/>
      <c r="BJ96" s="213">
        <v>40322</v>
      </c>
      <c r="BK96" s="134">
        <v>22.428571428571427</v>
      </c>
      <c r="BL96" s="232">
        <v>150</v>
      </c>
      <c r="BM96" s="213">
        <v>40693</v>
      </c>
      <c r="BN96" s="134">
        <v>20.428571428571427</v>
      </c>
      <c r="BO96" s="168"/>
    </row>
    <row r="97" spans="1:67">
      <c r="A97" s="16" t="s">
        <v>34</v>
      </c>
      <c r="B97" s="65">
        <v>41072</v>
      </c>
      <c r="C97" s="40" t="s">
        <v>94</v>
      </c>
      <c r="D97" s="23">
        <v>31</v>
      </c>
      <c r="E97" s="24">
        <v>37</v>
      </c>
      <c r="F97" s="24">
        <v>22</v>
      </c>
      <c r="G97" s="24">
        <v>32</v>
      </c>
      <c r="H97" s="24">
        <v>15</v>
      </c>
      <c r="I97" s="24">
        <v>29</v>
      </c>
      <c r="J97" s="24">
        <v>19</v>
      </c>
      <c r="K97" s="26"/>
      <c r="L97" s="26"/>
      <c r="M97" s="27"/>
      <c r="N97" s="23">
        <v>2</v>
      </c>
      <c r="O97" s="24">
        <v>2</v>
      </c>
      <c r="P97" s="24">
        <v>2</v>
      </c>
      <c r="Q97" s="24">
        <v>2</v>
      </c>
      <c r="R97" s="24">
        <v>1</v>
      </c>
      <c r="S97" s="24">
        <v>2</v>
      </c>
      <c r="T97" s="24">
        <v>2</v>
      </c>
      <c r="U97" s="26"/>
      <c r="V97" s="26"/>
      <c r="W97" s="27"/>
      <c r="X97" s="23"/>
      <c r="Y97" s="24"/>
      <c r="Z97" s="24"/>
      <c r="AA97" s="24"/>
      <c r="AB97" s="25"/>
      <c r="AC97" s="22"/>
      <c r="AD97" s="23"/>
      <c r="AE97" s="24"/>
      <c r="AF97" s="24"/>
      <c r="AG97" s="24"/>
      <c r="AH97" s="25"/>
      <c r="AI97" s="25"/>
      <c r="AJ97" s="54">
        <f t="shared" si="13"/>
        <v>26.428571428571427</v>
      </c>
      <c r="AK97" s="55">
        <f t="shared" si="14"/>
        <v>1.8571428571428572</v>
      </c>
      <c r="AL97" s="55"/>
      <c r="AM97" s="56"/>
      <c r="AN97" s="168"/>
      <c r="AO97" s="168"/>
      <c r="AP97" s="168"/>
      <c r="AQ97" s="168"/>
      <c r="AR97" s="168"/>
      <c r="AS97" s="168"/>
      <c r="AT97" s="168"/>
      <c r="AU97" s="168"/>
      <c r="AV97" s="334">
        <f t="shared" si="16"/>
        <v>164</v>
      </c>
      <c r="AW97" s="232"/>
      <c r="AX97" s="213"/>
      <c r="AY97" s="134"/>
      <c r="AZ97" s="182"/>
      <c r="BA97" s="213"/>
      <c r="BB97" s="134"/>
      <c r="BC97" s="232"/>
      <c r="BD97" s="182"/>
      <c r="BE97" s="134"/>
      <c r="BF97" s="182"/>
      <c r="BG97" s="213"/>
      <c r="BH97" s="134"/>
      <c r="BI97" s="236"/>
      <c r="BJ97" s="213">
        <v>40331</v>
      </c>
      <c r="BK97" s="134">
        <v>36.571428571428569</v>
      </c>
      <c r="BL97" s="232">
        <v>159</v>
      </c>
      <c r="BM97" s="213">
        <v>40702</v>
      </c>
      <c r="BN97" s="134">
        <v>40.571428571428569</v>
      </c>
      <c r="BO97" s="168"/>
    </row>
    <row r="98" spans="1:67">
      <c r="A98" s="16" t="s">
        <v>34</v>
      </c>
      <c r="B98" s="65">
        <v>41078</v>
      </c>
      <c r="C98" s="24" t="s">
        <v>94</v>
      </c>
      <c r="D98" s="23">
        <v>49</v>
      </c>
      <c r="E98" s="24">
        <v>60</v>
      </c>
      <c r="F98" s="24">
        <v>40</v>
      </c>
      <c r="G98" s="24">
        <v>50</v>
      </c>
      <c r="H98" s="24">
        <v>20</v>
      </c>
      <c r="I98" s="24">
        <v>49</v>
      </c>
      <c r="J98" s="24">
        <v>27</v>
      </c>
      <c r="K98" s="26"/>
      <c r="L98" s="26"/>
      <c r="M98" s="27"/>
      <c r="N98" s="23">
        <v>2</v>
      </c>
      <c r="O98" s="24">
        <v>2</v>
      </c>
      <c r="P98" s="24">
        <v>2</v>
      </c>
      <c r="Q98" s="24">
        <v>2</v>
      </c>
      <c r="R98" s="24">
        <v>1</v>
      </c>
      <c r="S98" s="24">
        <v>2</v>
      </c>
      <c r="T98" s="24">
        <v>2</v>
      </c>
      <c r="U98" s="26"/>
      <c r="V98" s="26"/>
      <c r="W98" s="27"/>
      <c r="X98" s="23"/>
      <c r="Y98" s="24"/>
      <c r="Z98" s="24"/>
      <c r="AA98" s="24"/>
      <c r="AB98" s="25"/>
      <c r="AC98" s="22"/>
      <c r="AD98" s="23"/>
      <c r="AE98" s="24"/>
      <c r="AF98" s="24"/>
      <c r="AG98" s="24"/>
      <c r="AH98" s="25"/>
      <c r="AI98" s="25"/>
      <c r="AJ98" s="54">
        <f t="shared" si="13"/>
        <v>42.142857142857146</v>
      </c>
      <c r="AK98" s="55">
        <f t="shared" si="14"/>
        <v>1.8571428571428572</v>
      </c>
      <c r="AL98" s="55"/>
      <c r="AM98" s="56"/>
      <c r="AN98" s="168"/>
      <c r="AO98" s="168"/>
      <c r="AP98" s="168"/>
      <c r="AQ98" s="168"/>
      <c r="AR98" s="168"/>
      <c r="AS98" s="168"/>
      <c r="AT98" s="168"/>
      <c r="AU98" s="168"/>
      <c r="AV98" s="334">
        <f t="shared" si="16"/>
        <v>170</v>
      </c>
      <c r="AW98" s="232"/>
      <c r="AX98" s="213"/>
      <c r="AY98" s="134"/>
      <c r="AZ98" s="182"/>
      <c r="BA98" s="213"/>
      <c r="BB98" s="134"/>
      <c r="BC98" s="232"/>
      <c r="BD98" s="182"/>
      <c r="BE98" s="134"/>
      <c r="BF98" s="182"/>
      <c r="BG98" s="213"/>
      <c r="BH98" s="134"/>
      <c r="BI98" s="236"/>
      <c r="BJ98" s="213">
        <v>40338</v>
      </c>
      <c r="BK98" s="134">
        <v>55.285714285714285</v>
      </c>
      <c r="BL98" s="232">
        <v>167</v>
      </c>
      <c r="BM98" s="213">
        <v>40710</v>
      </c>
      <c r="BN98" s="134">
        <v>56.857142857142854</v>
      </c>
      <c r="BO98" s="168"/>
    </row>
    <row r="99" spans="1:67">
      <c r="A99" s="16" t="s">
        <v>34</v>
      </c>
      <c r="B99" s="65"/>
      <c r="C99" s="24"/>
      <c r="D99" s="23"/>
      <c r="E99" s="24"/>
      <c r="F99" s="24"/>
      <c r="G99" s="24"/>
      <c r="H99" s="24"/>
      <c r="I99" s="24"/>
      <c r="J99" s="24"/>
      <c r="K99" s="26"/>
      <c r="L99" s="26"/>
      <c r="M99" s="27"/>
      <c r="N99" s="23"/>
      <c r="O99" s="24"/>
      <c r="P99" s="24"/>
      <c r="Q99" s="24"/>
      <c r="R99" s="24"/>
      <c r="S99" s="24"/>
      <c r="T99" s="24"/>
      <c r="U99" s="26"/>
      <c r="V99" s="26"/>
      <c r="W99" s="27"/>
      <c r="X99" s="23"/>
      <c r="Y99" s="24"/>
      <c r="Z99" s="24"/>
      <c r="AA99" s="24"/>
      <c r="AB99" s="25"/>
      <c r="AC99" s="22"/>
      <c r="AD99" s="23"/>
      <c r="AE99" s="24"/>
      <c r="AF99" s="24"/>
      <c r="AG99" s="24"/>
      <c r="AH99" s="25"/>
      <c r="AI99" s="25"/>
      <c r="AJ99" s="54" t="str">
        <f t="shared" si="13"/>
        <v/>
      </c>
      <c r="AK99" s="55" t="str">
        <f t="shared" si="14"/>
        <v/>
      </c>
      <c r="AL99" s="55" t="str">
        <f>IF(COUNT(X99:AB99)=0,"",AVERAGE(X99:AB99))</f>
        <v/>
      </c>
      <c r="AM99" s="56" t="str">
        <f>IF(COUNT(AD99:AH99)=0,"",AVERAGE(AD99:AH99))</f>
        <v/>
      </c>
      <c r="AN99" s="168"/>
      <c r="AO99" s="168"/>
      <c r="AP99" s="168"/>
      <c r="AQ99" s="168"/>
      <c r="AR99" s="168"/>
      <c r="AS99" s="168"/>
      <c r="AT99" s="168"/>
      <c r="AU99" s="168"/>
      <c r="AV99" s="334">
        <f t="shared" si="16"/>
        <v>170</v>
      </c>
      <c r="AW99" s="232"/>
      <c r="AX99" s="213"/>
      <c r="AY99" s="134"/>
      <c r="AZ99" s="182"/>
      <c r="BA99" s="213"/>
      <c r="BB99" s="134"/>
      <c r="BC99" s="232"/>
      <c r="BD99" s="182"/>
      <c r="BE99" s="134"/>
      <c r="BF99" s="182"/>
      <c r="BG99" s="213"/>
      <c r="BH99" s="134"/>
      <c r="BI99" s="236"/>
      <c r="BJ99" s="213">
        <v>40352</v>
      </c>
      <c r="BK99" s="134">
        <v>80.285714285714292</v>
      </c>
      <c r="BL99" s="232">
        <v>177</v>
      </c>
      <c r="BM99" s="213">
        <v>40720</v>
      </c>
      <c r="BN99" s="134">
        <v>59.571428571428569</v>
      </c>
      <c r="BO99" s="168"/>
    </row>
    <row r="100" spans="1:67">
      <c r="A100" s="16" t="s">
        <v>34</v>
      </c>
      <c r="B100" s="65"/>
      <c r="C100" s="24"/>
      <c r="D100" s="23"/>
      <c r="E100" s="24"/>
      <c r="F100" s="24"/>
      <c r="G100" s="24"/>
      <c r="H100" s="24"/>
      <c r="I100" s="24"/>
      <c r="J100" s="24"/>
      <c r="K100" s="26"/>
      <c r="L100" s="26"/>
      <c r="M100" s="27"/>
      <c r="N100" s="23"/>
      <c r="O100" s="24"/>
      <c r="P100" s="24"/>
      <c r="Q100" s="24"/>
      <c r="R100" s="24"/>
      <c r="S100" s="24"/>
      <c r="T100" s="24"/>
      <c r="U100" s="26"/>
      <c r="V100" s="26"/>
      <c r="W100" s="27"/>
      <c r="X100" s="23"/>
      <c r="Y100" s="24"/>
      <c r="Z100" s="24"/>
      <c r="AA100" s="24"/>
      <c r="AB100" s="25"/>
      <c r="AC100" s="22"/>
      <c r="AD100" s="23"/>
      <c r="AE100" s="24"/>
      <c r="AF100" s="24"/>
      <c r="AG100" s="24"/>
      <c r="AH100" s="25"/>
      <c r="AI100" s="25"/>
      <c r="AJ100" s="54" t="str">
        <f t="shared" si="13"/>
        <v/>
      </c>
      <c r="AK100" s="55" t="str">
        <f t="shared" si="14"/>
        <v/>
      </c>
      <c r="AL100" s="55" t="str">
        <f>IF(COUNT(X100:AB100)=0,"",AVERAGE(X100:AB100))</f>
        <v/>
      </c>
      <c r="AM100" s="56" t="str">
        <f>IF(COUNT(AD100:AH100)=0,"",AVERAGE(AD100:AH100))</f>
        <v/>
      </c>
      <c r="AN100" s="168"/>
      <c r="AO100" s="168"/>
      <c r="AP100" s="168"/>
      <c r="AQ100" s="168"/>
      <c r="AR100" s="168"/>
      <c r="AS100" s="168"/>
      <c r="AT100" s="168"/>
      <c r="AU100" s="168"/>
      <c r="AV100" s="334">
        <f t="shared" si="16"/>
        <v>170</v>
      </c>
      <c r="AW100" s="232"/>
      <c r="AX100" s="213"/>
      <c r="AY100" s="134"/>
      <c r="AZ100" s="182"/>
      <c r="BA100" s="213"/>
      <c r="BB100" s="134"/>
      <c r="BC100" s="232"/>
      <c r="BD100" s="182"/>
      <c r="BE100" s="134"/>
      <c r="BF100" s="182"/>
      <c r="BG100" s="213"/>
      <c r="BH100" s="134"/>
      <c r="BI100" s="236"/>
      <c r="BJ100" s="213">
        <v>40359</v>
      </c>
      <c r="BK100" s="134">
        <v>83.285714285714292</v>
      </c>
      <c r="BL100" s="232">
        <v>182</v>
      </c>
      <c r="BM100" s="213">
        <v>40725</v>
      </c>
      <c r="BN100" s="134">
        <v>60.428571428571431</v>
      </c>
      <c r="BO100" s="168"/>
    </row>
    <row r="101" spans="1:67">
      <c r="A101" s="16" t="s">
        <v>34</v>
      </c>
      <c r="B101" s="65"/>
      <c r="C101" s="24"/>
      <c r="D101" s="23"/>
      <c r="E101" s="24"/>
      <c r="F101" s="24"/>
      <c r="G101" s="24"/>
      <c r="H101" s="24"/>
      <c r="I101" s="24"/>
      <c r="J101" s="24"/>
      <c r="K101" s="26"/>
      <c r="L101" s="26"/>
      <c r="M101" s="27"/>
      <c r="N101" s="23"/>
      <c r="O101" s="24"/>
      <c r="P101" s="24"/>
      <c r="Q101" s="24"/>
      <c r="R101" s="24"/>
      <c r="S101" s="24"/>
      <c r="T101" s="24"/>
      <c r="U101" s="26"/>
      <c r="V101" s="26"/>
      <c r="W101" s="27"/>
      <c r="X101" s="23"/>
      <c r="Y101" s="24"/>
      <c r="Z101" s="24"/>
      <c r="AA101" s="24"/>
      <c r="AB101" s="25"/>
      <c r="AC101" s="22"/>
      <c r="AD101" s="23"/>
      <c r="AE101" s="24"/>
      <c r="AF101" s="24"/>
      <c r="AG101" s="24"/>
      <c r="AH101" s="25"/>
      <c r="AI101" s="25"/>
      <c r="AJ101" s="54" t="str">
        <f t="shared" si="13"/>
        <v/>
      </c>
      <c r="AK101" s="55" t="str">
        <f t="shared" si="14"/>
        <v/>
      </c>
      <c r="AL101" s="55"/>
      <c r="AM101" s="56"/>
      <c r="AN101" s="168"/>
      <c r="AO101" s="168"/>
      <c r="AP101" s="168"/>
      <c r="AQ101" s="168"/>
      <c r="AR101" s="168"/>
      <c r="AS101" s="168"/>
      <c r="AT101" s="168"/>
      <c r="AU101" s="168"/>
      <c r="AV101" s="334">
        <f t="shared" si="16"/>
        <v>170</v>
      </c>
      <c r="AW101" s="232"/>
      <c r="AX101" s="213"/>
      <c r="AY101" s="134"/>
      <c r="AZ101" s="182"/>
      <c r="BA101" s="213"/>
      <c r="BB101" s="134"/>
      <c r="BC101" s="232"/>
      <c r="BD101" s="182"/>
      <c r="BE101" s="134"/>
      <c r="BF101" s="182"/>
      <c r="BG101" s="213"/>
      <c r="BH101" s="134"/>
      <c r="BI101" s="236"/>
      <c r="BJ101" s="213">
        <v>40366</v>
      </c>
      <c r="BK101" s="134">
        <v>100.14285714285714</v>
      </c>
      <c r="BL101" s="232">
        <v>182</v>
      </c>
      <c r="BM101" s="213"/>
      <c r="BN101" s="134" t="s">
        <v>59</v>
      </c>
      <c r="BO101" s="168"/>
    </row>
    <row r="102" spans="1:67">
      <c r="A102" s="16" t="s">
        <v>34</v>
      </c>
      <c r="B102" s="65"/>
      <c r="C102" s="24"/>
      <c r="D102" s="23"/>
      <c r="E102" s="24"/>
      <c r="F102" s="24"/>
      <c r="G102" s="24"/>
      <c r="H102" s="24"/>
      <c r="I102" s="24"/>
      <c r="J102" s="24"/>
      <c r="K102" s="26"/>
      <c r="L102" s="26"/>
      <c r="M102" s="27"/>
      <c r="N102" s="23"/>
      <c r="O102" s="24"/>
      <c r="P102" s="24"/>
      <c r="Q102" s="24"/>
      <c r="R102" s="24"/>
      <c r="S102" s="24"/>
      <c r="T102" s="24"/>
      <c r="U102" s="26"/>
      <c r="V102" s="26"/>
      <c r="W102" s="27"/>
      <c r="X102" s="23"/>
      <c r="Y102" s="24"/>
      <c r="Z102" s="24"/>
      <c r="AA102" s="24"/>
      <c r="AB102" s="25"/>
      <c r="AC102" s="22"/>
      <c r="AD102" s="23"/>
      <c r="AE102" s="24"/>
      <c r="AF102" s="24"/>
      <c r="AG102" s="24"/>
      <c r="AH102" s="25"/>
      <c r="AI102" s="25"/>
      <c r="AJ102" s="54" t="str">
        <f t="shared" si="13"/>
        <v/>
      </c>
      <c r="AK102" s="55" t="str">
        <f t="shared" si="14"/>
        <v/>
      </c>
      <c r="AL102" s="55"/>
      <c r="AM102" s="56"/>
      <c r="AN102" s="168"/>
      <c r="AO102" s="168"/>
      <c r="AP102" s="168"/>
      <c r="AQ102" s="168"/>
      <c r="AR102" s="168"/>
      <c r="AS102" s="168"/>
      <c r="AT102" s="168"/>
      <c r="AU102" s="168"/>
      <c r="AV102" s="334">
        <f t="shared" si="16"/>
        <v>170</v>
      </c>
      <c r="AW102" s="232"/>
      <c r="AX102" s="213"/>
      <c r="AY102" s="134"/>
      <c r="AZ102" s="182"/>
      <c r="BA102" s="213"/>
      <c r="BB102" s="134"/>
      <c r="BC102" s="232"/>
      <c r="BD102" s="182"/>
      <c r="BE102" s="134"/>
      <c r="BF102" s="182"/>
      <c r="BG102" s="213"/>
      <c r="BH102" s="134"/>
      <c r="BI102" s="236"/>
      <c r="BJ102" s="213"/>
      <c r="BK102" s="134" t="s">
        <v>59</v>
      </c>
      <c r="BL102" s="232">
        <v>182</v>
      </c>
      <c r="BM102" s="213"/>
      <c r="BN102" s="134" t="s">
        <v>59</v>
      </c>
      <c r="BO102" s="168"/>
    </row>
    <row r="103" spans="1:67">
      <c r="A103" s="16" t="s">
        <v>34</v>
      </c>
      <c r="B103" s="65"/>
      <c r="C103" s="24"/>
      <c r="D103" s="23"/>
      <c r="E103" s="24"/>
      <c r="F103" s="24"/>
      <c r="G103" s="24"/>
      <c r="H103" s="24"/>
      <c r="I103" s="24"/>
      <c r="J103" s="24"/>
      <c r="K103" s="26"/>
      <c r="L103" s="26"/>
      <c r="M103" s="27"/>
      <c r="N103" s="23"/>
      <c r="O103" s="24"/>
      <c r="P103" s="24"/>
      <c r="Q103" s="24"/>
      <c r="R103" s="24"/>
      <c r="S103" s="24"/>
      <c r="T103" s="24"/>
      <c r="U103" s="26"/>
      <c r="V103" s="26"/>
      <c r="W103" s="27"/>
      <c r="X103" s="23"/>
      <c r="Y103" s="24"/>
      <c r="Z103" s="24"/>
      <c r="AA103" s="24"/>
      <c r="AB103" s="25"/>
      <c r="AC103" s="22"/>
      <c r="AD103" s="23"/>
      <c r="AE103" s="24"/>
      <c r="AF103" s="24"/>
      <c r="AG103" s="24"/>
      <c r="AH103" s="25"/>
      <c r="AI103" s="25"/>
      <c r="AJ103" s="54" t="str">
        <f t="shared" si="13"/>
        <v/>
      </c>
      <c r="AK103" s="55" t="str">
        <f t="shared" si="14"/>
        <v/>
      </c>
      <c r="AL103" s="55"/>
      <c r="AM103" s="56"/>
      <c r="AN103" s="168"/>
      <c r="AO103" s="168"/>
      <c r="AP103" s="168"/>
      <c r="AQ103" s="168"/>
      <c r="AR103" s="168"/>
      <c r="AS103" s="168"/>
      <c r="AT103" s="168"/>
      <c r="AU103" s="168"/>
      <c r="AV103" s="334">
        <f t="shared" si="16"/>
        <v>170</v>
      </c>
      <c r="AW103" s="232"/>
      <c r="AX103" s="213"/>
      <c r="AY103" s="134"/>
      <c r="AZ103" s="182"/>
      <c r="BA103" s="213"/>
      <c r="BB103" s="134"/>
      <c r="BC103" s="232"/>
      <c r="BD103" s="182"/>
      <c r="BE103" s="134"/>
      <c r="BF103" s="182"/>
      <c r="BG103" s="213"/>
      <c r="BH103" s="134"/>
      <c r="BI103" s="236"/>
      <c r="BJ103" s="213"/>
      <c r="BK103" s="134" t="s">
        <v>59</v>
      </c>
      <c r="BL103" s="232">
        <v>182</v>
      </c>
      <c r="BM103" s="213"/>
      <c r="BN103" s="134" t="s">
        <v>59</v>
      </c>
      <c r="BO103" s="168"/>
    </row>
    <row r="104" spans="1:67">
      <c r="A104" s="16" t="s">
        <v>34</v>
      </c>
      <c r="B104" s="65"/>
      <c r="C104" s="24"/>
      <c r="D104" s="23"/>
      <c r="E104" s="24"/>
      <c r="F104" s="24"/>
      <c r="G104" s="24"/>
      <c r="H104" s="24"/>
      <c r="I104" s="24"/>
      <c r="J104" s="24"/>
      <c r="K104" s="26"/>
      <c r="L104" s="26"/>
      <c r="M104" s="27"/>
      <c r="N104" s="23"/>
      <c r="O104" s="24"/>
      <c r="P104" s="24"/>
      <c r="Q104" s="24"/>
      <c r="R104" s="24"/>
      <c r="S104" s="24"/>
      <c r="T104" s="24"/>
      <c r="U104" s="26"/>
      <c r="V104" s="26"/>
      <c r="W104" s="27"/>
      <c r="X104" s="23"/>
      <c r="Y104" s="24"/>
      <c r="Z104" s="24"/>
      <c r="AA104" s="24"/>
      <c r="AB104" s="25"/>
      <c r="AC104" s="22"/>
      <c r="AD104" s="23"/>
      <c r="AE104" s="24"/>
      <c r="AF104" s="24"/>
      <c r="AG104" s="24"/>
      <c r="AH104" s="25"/>
      <c r="AI104" s="25"/>
      <c r="AJ104" s="54" t="str">
        <f t="shared" si="13"/>
        <v/>
      </c>
      <c r="AK104" s="55" t="str">
        <f t="shared" si="14"/>
        <v/>
      </c>
      <c r="AL104" s="55"/>
      <c r="AM104" s="56"/>
      <c r="AN104" s="168"/>
      <c r="AO104" s="168"/>
      <c r="AP104" s="168"/>
      <c r="AQ104" s="168"/>
      <c r="AR104" s="168"/>
      <c r="AS104" s="168"/>
      <c r="AT104" s="168"/>
      <c r="AU104" s="168"/>
      <c r="AV104" s="334">
        <f t="shared" si="16"/>
        <v>170</v>
      </c>
      <c r="AW104" s="232"/>
      <c r="AX104" s="213"/>
      <c r="AY104" s="134"/>
      <c r="AZ104" s="182"/>
      <c r="BA104" s="213"/>
      <c r="BB104" s="134"/>
      <c r="BC104" s="232"/>
      <c r="BD104" s="182"/>
      <c r="BE104" s="134"/>
      <c r="BF104" s="182"/>
      <c r="BG104" s="213"/>
      <c r="BH104" s="134"/>
      <c r="BI104" s="236"/>
      <c r="BJ104" s="213"/>
      <c r="BK104" s="134" t="s">
        <v>59</v>
      </c>
      <c r="BL104" s="232">
        <v>182</v>
      </c>
      <c r="BM104" s="213"/>
      <c r="BN104" s="134" t="s">
        <v>59</v>
      </c>
      <c r="BO104" s="168"/>
    </row>
    <row r="105" spans="1:67">
      <c r="A105" s="16" t="s">
        <v>34</v>
      </c>
      <c r="B105" s="65"/>
      <c r="C105" s="24"/>
      <c r="D105" s="23"/>
      <c r="E105" s="24"/>
      <c r="F105" s="24"/>
      <c r="G105" s="24"/>
      <c r="H105" s="24"/>
      <c r="I105" s="24"/>
      <c r="J105" s="24"/>
      <c r="K105" s="26"/>
      <c r="L105" s="26"/>
      <c r="M105" s="27"/>
      <c r="N105" s="23"/>
      <c r="O105" s="24"/>
      <c r="P105" s="24"/>
      <c r="Q105" s="24"/>
      <c r="R105" s="24"/>
      <c r="S105" s="24"/>
      <c r="T105" s="24"/>
      <c r="U105" s="26"/>
      <c r="V105" s="26"/>
      <c r="W105" s="27"/>
      <c r="X105" s="23"/>
      <c r="Y105" s="24"/>
      <c r="Z105" s="24"/>
      <c r="AA105" s="24"/>
      <c r="AB105" s="25"/>
      <c r="AC105" s="22"/>
      <c r="AD105" s="23"/>
      <c r="AE105" s="24"/>
      <c r="AF105" s="24"/>
      <c r="AG105" s="24"/>
      <c r="AH105" s="25"/>
      <c r="AI105" s="25"/>
      <c r="AJ105" s="54" t="str">
        <f t="shared" si="13"/>
        <v/>
      </c>
      <c r="AK105" s="55" t="str">
        <f t="shared" si="14"/>
        <v/>
      </c>
      <c r="AL105" s="55"/>
      <c r="AM105" s="56"/>
      <c r="AN105" s="168"/>
      <c r="AO105" s="168"/>
      <c r="AP105" s="168"/>
      <c r="AQ105" s="168"/>
      <c r="AR105" s="168"/>
      <c r="AS105" s="168"/>
      <c r="AT105" s="168"/>
      <c r="AU105" s="168"/>
      <c r="AV105" s="334">
        <f t="shared" si="16"/>
        <v>170</v>
      </c>
      <c r="AW105" s="232"/>
      <c r="AX105" s="213"/>
      <c r="AY105" s="134"/>
      <c r="AZ105" s="182"/>
      <c r="BA105" s="213"/>
      <c r="BB105" s="134"/>
      <c r="BC105" s="232"/>
      <c r="BD105" s="182"/>
      <c r="BE105" s="134"/>
      <c r="BF105" s="182"/>
      <c r="BG105" s="213"/>
      <c r="BH105" s="134"/>
      <c r="BI105" s="236"/>
      <c r="BJ105" s="213"/>
      <c r="BK105" s="134" t="s">
        <v>59</v>
      </c>
      <c r="BL105" s="232">
        <v>182</v>
      </c>
      <c r="BM105" s="213"/>
      <c r="BN105" s="134" t="s">
        <v>59</v>
      </c>
      <c r="BO105" s="168"/>
    </row>
    <row r="106" spans="1:67">
      <c r="A106" s="16" t="s">
        <v>34</v>
      </c>
      <c r="B106" s="65"/>
      <c r="C106" s="24"/>
      <c r="D106" s="23"/>
      <c r="E106" s="24"/>
      <c r="F106" s="24"/>
      <c r="G106" s="24"/>
      <c r="H106" s="24"/>
      <c r="I106" s="24"/>
      <c r="J106" s="24"/>
      <c r="K106" s="26"/>
      <c r="L106" s="26"/>
      <c r="M106" s="27"/>
      <c r="N106" s="23"/>
      <c r="O106" s="24"/>
      <c r="P106" s="24"/>
      <c r="Q106" s="24"/>
      <c r="R106" s="24"/>
      <c r="S106" s="24"/>
      <c r="T106" s="24"/>
      <c r="U106" s="26"/>
      <c r="V106" s="26"/>
      <c r="W106" s="27"/>
      <c r="X106" s="23"/>
      <c r="Y106" s="24"/>
      <c r="Z106" s="24"/>
      <c r="AA106" s="24"/>
      <c r="AB106" s="25"/>
      <c r="AC106" s="22"/>
      <c r="AD106" s="23"/>
      <c r="AE106" s="24"/>
      <c r="AF106" s="24"/>
      <c r="AG106" s="24"/>
      <c r="AH106" s="25"/>
      <c r="AI106" s="25"/>
      <c r="AJ106" s="54" t="str">
        <f t="shared" si="13"/>
        <v/>
      </c>
      <c r="AK106" s="55" t="str">
        <f t="shared" si="14"/>
        <v/>
      </c>
      <c r="AL106" s="55"/>
      <c r="AM106" s="56"/>
      <c r="AN106" s="168"/>
      <c r="AO106" s="168"/>
      <c r="AP106" s="168"/>
      <c r="AQ106" s="168"/>
      <c r="AR106" s="168"/>
      <c r="AS106" s="168"/>
      <c r="AT106" s="168"/>
      <c r="AU106" s="168"/>
      <c r="AV106" s="334">
        <f t="shared" si="16"/>
        <v>170</v>
      </c>
      <c r="AW106" s="232"/>
      <c r="AX106" s="213"/>
      <c r="AY106" s="134"/>
      <c r="AZ106" s="182"/>
      <c r="BA106" s="213"/>
      <c r="BB106" s="134"/>
      <c r="BC106" s="232"/>
      <c r="BD106" s="182"/>
      <c r="BE106" s="134"/>
      <c r="BF106" s="182"/>
      <c r="BG106" s="213"/>
      <c r="BH106" s="134"/>
      <c r="BI106" s="236"/>
      <c r="BJ106" s="213"/>
      <c r="BK106" s="134" t="s">
        <v>59</v>
      </c>
      <c r="BL106" s="232">
        <v>182</v>
      </c>
      <c r="BM106" s="213"/>
      <c r="BN106" s="134" t="s">
        <v>59</v>
      </c>
      <c r="BO106" s="168"/>
    </row>
    <row r="107" spans="1:67">
      <c r="A107" s="16" t="s">
        <v>34</v>
      </c>
      <c r="B107" s="65"/>
      <c r="C107" s="24"/>
      <c r="D107" s="23"/>
      <c r="E107" s="24"/>
      <c r="F107" s="24"/>
      <c r="G107" s="24"/>
      <c r="H107" s="24"/>
      <c r="I107" s="24"/>
      <c r="J107" s="24"/>
      <c r="K107" s="26"/>
      <c r="L107" s="26"/>
      <c r="M107" s="27"/>
      <c r="N107" s="23"/>
      <c r="O107" s="24"/>
      <c r="P107" s="24"/>
      <c r="Q107" s="24"/>
      <c r="R107" s="24"/>
      <c r="S107" s="24"/>
      <c r="T107" s="24"/>
      <c r="U107" s="26"/>
      <c r="V107" s="26"/>
      <c r="W107" s="27"/>
      <c r="X107" s="23"/>
      <c r="Y107" s="24"/>
      <c r="Z107" s="24"/>
      <c r="AA107" s="24"/>
      <c r="AB107" s="25"/>
      <c r="AC107" s="22"/>
      <c r="AD107" s="23"/>
      <c r="AE107" s="24"/>
      <c r="AF107" s="24"/>
      <c r="AG107" s="24"/>
      <c r="AH107" s="25"/>
      <c r="AI107" s="25"/>
      <c r="AJ107" s="54" t="str">
        <f t="shared" si="13"/>
        <v/>
      </c>
      <c r="AK107" s="55" t="str">
        <f t="shared" si="14"/>
        <v/>
      </c>
      <c r="AL107" s="55"/>
      <c r="AM107" s="56"/>
      <c r="AN107" s="168"/>
      <c r="AO107" s="168"/>
      <c r="AP107" s="168"/>
      <c r="AQ107" s="168"/>
      <c r="AR107" s="168"/>
      <c r="AS107" s="168"/>
      <c r="AT107" s="168"/>
      <c r="AU107" s="168"/>
      <c r="AV107" s="334">
        <f t="shared" si="16"/>
        <v>170</v>
      </c>
      <c r="AW107" s="232"/>
      <c r="AX107" s="213"/>
      <c r="AY107" s="134"/>
      <c r="AZ107" s="182"/>
      <c r="BA107" s="213"/>
      <c r="BB107" s="134"/>
      <c r="BC107" s="232"/>
      <c r="BD107" s="182"/>
      <c r="BE107" s="134"/>
      <c r="BF107" s="182"/>
      <c r="BG107" s="213"/>
      <c r="BH107" s="134"/>
      <c r="BI107" s="236"/>
      <c r="BJ107" s="213"/>
      <c r="BK107" s="134" t="s">
        <v>59</v>
      </c>
      <c r="BL107" s="232">
        <v>182</v>
      </c>
      <c r="BM107" s="213"/>
      <c r="BN107" s="134" t="s">
        <v>59</v>
      </c>
      <c r="BO107" s="168"/>
    </row>
    <row r="108" spans="1:67">
      <c r="A108" s="16" t="s">
        <v>34</v>
      </c>
      <c r="B108" s="65"/>
      <c r="C108" s="24"/>
      <c r="D108" s="23"/>
      <c r="E108" s="24"/>
      <c r="F108" s="24"/>
      <c r="G108" s="24"/>
      <c r="H108" s="24"/>
      <c r="I108" s="24"/>
      <c r="J108" s="24"/>
      <c r="K108" s="26"/>
      <c r="L108" s="26"/>
      <c r="M108" s="27"/>
      <c r="N108" s="23"/>
      <c r="O108" s="24"/>
      <c r="P108" s="24"/>
      <c r="Q108" s="24"/>
      <c r="R108" s="24"/>
      <c r="S108" s="24"/>
      <c r="T108" s="24"/>
      <c r="U108" s="26"/>
      <c r="V108" s="26"/>
      <c r="W108" s="27"/>
      <c r="X108" s="23"/>
      <c r="Y108" s="24"/>
      <c r="Z108" s="24"/>
      <c r="AA108" s="24"/>
      <c r="AB108" s="25"/>
      <c r="AC108" s="22"/>
      <c r="AD108" s="23"/>
      <c r="AE108" s="24"/>
      <c r="AF108" s="24"/>
      <c r="AG108" s="24"/>
      <c r="AH108" s="25"/>
      <c r="AI108" s="25"/>
      <c r="AJ108" s="54" t="str">
        <f t="shared" si="13"/>
        <v/>
      </c>
      <c r="AK108" s="55" t="str">
        <f t="shared" si="14"/>
        <v/>
      </c>
      <c r="AL108" s="55"/>
      <c r="AM108" s="56"/>
      <c r="AN108" s="168"/>
      <c r="AO108" s="168"/>
      <c r="AP108" s="168"/>
      <c r="AQ108" s="168"/>
      <c r="AR108" s="168"/>
      <c r="AS108" s="168"/>
      <c r="AT108" s="168"/>
      <c r="AU108" s="168"/>
      <c r="AV108" s="334">
        <f t="shared" si="16"/>
        <v>170</v>
      </c>
      <c r="AW108" s="232"/>
      <c r="AX108" s="213"/>
      <c r="AY108" s="134"/>
      <c r="AZ108" s="182"/>
      <c r="BA108" s="213"/>
      <c r="BB108" s="134"/>
      <c r="BC108" s="232"/>
      <c r="BD108" s="182"/>
      <c r="BE108" s="134"/>
      <c r="BF108" s="182"/>
      <c r="BG108" s="213"/>
      <c r="BH108" s="134"/>
      <c r="BI108" s="236"/>
      <c r="BJ108" s="213"/>
      <c r="BK108" s="134" t="s">
        <v>59</v>
      </c>
      <c r="BL108" s="232">
        <v>182</v>
      </c>
      <c r="BM108" s="213"/>
      <c r="BN108" s="134" t="s">
        <v>59</v>
      </c>
      <c r="BO108" s="168"/>
    </row>
    <row r="109" spans="1:67">
      <c r="A109" s="16" t="s">
        <v>34</v>
      </c>
      <c r="B109" s="65"/>
      <c r="C109" s="24"/>
      <c r="D109" s="23"/>
      <c r="E109" s="24"/>
      <c r="F109" s="24"/>
      <c r="G109" s="24"/>
      <c r="H109" s="24"/>
      <c r="I109" s="24"/>
      <c r="J109" s="24"/>
      <c r="K109" s="26"/>
      <c r="L109" s="26"/>
      <c r="M109" s="27"/>
      <c r="N109" s="23"/>
      <c r="O109" s="24"/>
      <c r="P109" s="24"/>
      <c r="Q109" s="24"/>
      <c r="R109" s="24"/>
      <c r="S109" s="24"/>
      <c r="T109" s="24"/>
      <c r="U109" s="26"/>
      <c r="V109" s="26"/>
      <c r="W109" s="27"/>
      <c r="X109" s="23"/>
      <c r="Y109" s="24"/>
      <c r="Z109" s="24"/>
      <c r="AA109" s="24"/>
      <c r="AB109" s="25"/>
      <c r="AC109" s="22"/>
      <c r="AD109" s="23"/>
      <c r="AE109" s="24"/>
      <c r="AF109" s="24"/>
      <c r="AG109" s="24"/>
      <c r="AH109" s="25"/>
      <c r="AI109" s="25"/>
      <c r="AJ109" s="54" t="str">
        <f t="shared" si="13"/>
        <v/>
      </c>
      <c r="AK109" s="55" t="str">
        <f t="shared" si="14"/>
        <v/>
      </c>
      <c r="AL109" s="55"/>
      <c r="AM109" s="56"/>
      <c r="AN109" s="168"/>
      <c r="AO109" s="168"/>
      <c r="AP109" s="168"/>
      <c r="AQ109" s="168"/>
      <c r="AR109" s="168"/>
      <c r="AS109" s="168"/>
      <c r="AT109" s="168"/>
      <c r="AU109" s="168"/>
      <c r="AV109" s="334">
        <f t="shared" si="16"/>
        <v>170</v>
      </c>
      <c r="AW109" s="232"/>
      <c r="AX109" s="213"/>
      <c r="AY109" s="134"/>
      <c r="AZ109" s="182"/>
      <c r="BA109" s="213"/>
      <c r="BB109" s="134"/>
      <c r="BC109" s="232"/>
      <c r="BD109" s="182"/>
      <c r="BE109" s="134"/>
      <c r="BF109" s="182"/>
      <c r="BG109" s="213"/>
      <c r="BH109" s="134"/>
      <c r="BI109" s="236"/>
      <c r="BJ109" s="213"/>
      <c r="BK109" s="134" t="s">
        <v>59</v>
      </c>
      <c r="BL109" s="232">
        <v>182</v>
      </c>
      <c r="BM109" s="213"/>
      <c r="BN109" s="134" t="s">
        <v>59</v>
      </c>
      <c r="BO109" s="168"/>
    </row>
    <row r="110" spans="1:67">
      <c r="A110" s="16" t="s">
        <v>34</v>
      </c>
      <c r="B110" s="65"/>
      <c r="C110" s="24"/>
      <c r="D110" s="23"/>
      <c r="E110" s="24"/>
      <c r="F110" s="24"/>
      <c r="G110" s="24"/>
      <c r="H110" s="24"/>
      <c r="I110" s="24"/>
      <c r="J110" s="24"/>
      <c r="K110" s="26"/>
      <c r="L110" s="26"/>
      <c r="M110" s="27"/>
      <c r="N110" s="23"/>
      <c r="O110" s="24"/>
      <c r="P110" s="24"/>
      <c r="Q110" s="24"/>
      <c r="R110" s="24"/>
      <c r="S110" s="24"/>
      <c r="T110" s="24"/>
      <c r="U110" s="26"/>
      <c r="V110" s="26"/>
      <c r="W110" s="27"/>
      <c r="X110" s="23"/>
      <c r="Y110" s="24"/>
      <c r="Z110" s="24"/>
      <c r="AA110" s="24"/>
      <c r="AB110" s="25"/>
      <c r="AC110" s="22"/>
      <c r="AD110" s="23"/>
      <c r="AE110" s="24"/>
      <c r="AF110" s="24"/>
      <c r="AG110" s="24"/>
      <c r="AH110" s="25"/>
      <c r="AI110" s="25"/>
      <c r="AJ110" s="54" t="str">
        <f t="shared" si="13"/>
        <v/>
      </c>
      <c r="AK110" s="55" t="str">
        <f t="shared" si="14"/>
        <v/>
      </c>
      <c r="AL110" s="55"/>
      <c r="AM110" s="56"/>
      <c r="AN110" s="168"/>
      <c r="AO110" s="168"/>
      <c r="AP110" s="168"/>
      <c r="AQ110" s="168"/>
      <c r="AR110" s="168"/>
      <c r="AS110" s="168"/>
      <c r="AT110" s="168"/>
      <c r="AU110" s="168"/>
      <c r="AV110" s="334">
        <f t="shared" si="16"/>
        <v>170</v>
      </c>
      <c r="AW110" s="232"/>
      <c r="AX110" s="213"/>
      <c r="AY110" s="134"/>
      <c r="AZ110" s="182"/>
      <c r="BA110" s="213"/>
      <c r="BB110" s="134"/>
      <c r="BC110" s="232"/>
      <c r="BD110" s="182"/>
      <c r="BE110" s="134"/>
      <c r="BF110" s="182"/>
      <c r="BG110" s="213"/>
      <c r="BH110" s="134"/>
      <c r="BI110" s="236"/>
      <c r="BJ110" s="213"/>
      <c r="BK110" s="134" t="s">
        <v>59</v>
      </c>
      <c r="BL110" s="232">
        <v>182</v>
      </c>
      <c r="BM110" s="213"/>
      <c r="BN110" s="134" t="s">
        <v>59</v>
      </c>
      <c r="BO110" s="168"/>
    </row>
    <row r="111" spans="1:67">
      <c r="A111" s="16" t="s">
        <v>34</v>
      </c>
      <c r="B111" s="65"/>
      <c r="C111" s="24"/>
      <c r="D111" s="23"/>
      <c r="E111" s="24"/>
      <c r="F111" s="24"/>
      <c r="G111" s="24"/>
      <c r="H111" s="24"/>
      <c r="I111" s="24"/>
      <c r="J111" s="24"/>
      <c r="K111" s="26"/>
      <c r="L111" s="26"/>
      <c r="M111" s="27"/>
      <c r="N111" s="23"/>
      <c r="O111" s="24"/>
      <c r="P111" s="24"/>
      <c r="Q111" s="24"/>
      <c r="R111" s="24"/>
      <c r="S111" s="24"/>
      <c r="T111" s="24"/>
      <c r="U111" s="26"/>
      <c r="V111" s="26"/>
      <c r="W111" s="27"/>
      <c r="X111" s="23"/>
      <c r="Y111" s="24"/>
      <c r="Z111" s="24"/>
      <c r="AA111" s="24"/>
      <c r="AB111" s="25"/>
      <c r="AC111" s="22"/>
      <c r="AD111" s="23"/>
      <c r="AE111" s="24"/>
      <c r="AF111" s="24"/>
      <c r="AG111" s="24"/>
      <c r="AH111" s="25"/>
      <c r="AI111" s="25"/>
      <c r="AJ111" s="54" t="str">
        <f t="shared" si="13"/>
        <v/>
      </c>
      <c r="AK111" s="55" t="str">
        <f t="shared" si="14"/>
        <v/>
      </c>
      <c r="AL111" s="55"/>
      <c r="AM111" s="56"/>
      <c r="AN111" s="168"/>
      <c r="AO111" s="168"/>
      <c r="AP111" s="168"/>
      <c r="AQ111" s="168"/>
      <c r="AR111" s="168"/>
      <c r="AS111" s="168"/>
      <c r="AT111" s="168"/>
      <c r="AU111" s="168"/>
      <c r="AV111" s="334">
        <f t="shared" si="16"/>
        <v>170</v>
      </c>
      <c r="AW111" s="232"/>
      <c r="AX111" s="213"/>
      <c r="AY111" s="134"/>
      <c r="AZ111" s="182"/>
      <c r="BA111" s="213"/>
      <c r="BB111" s="134"/>
      <c r="BC111" s="232"/>
      <c r="BD111" s="182"/>
      <c r="BE111" s="134"/>
      <c r="BF111" s="182"/>
      <c r="BG111" s="213"/>
      <c r="BH111" s="134"/>
      <c r="BI111" s="236"/>
      <c r="BJ111" s="213"/>
      <c r="BK111" s="134" t="s">
        <v>59</v>
      </c>
      <c r="BL111" s="232">
        <v>182</v>
      </c>
      <c r="BM111" s="213"/>
      <c r="BN111" s="134" t="s">
        <v>59</v>
      </c>
      <c r="BO111" s="168"/>
    </row>
    <row r="112" spans="1:67">
      <c r="A112" s="16" t="s">
        <v>34</v>
      </c>
      <c r="B112" s="65"/>
      <c r="C112" s="24"/>
      <c r="D112" s="23"/>
      <c r="E112" s="24"/>
      <c r="F112" s="24"/>
      <c r="G112" s="24"/>
      <c r="H112" s="24"/>
      <c r="I112" s="24"/>
      <c r="J112" s="24"/>
      <c r="K112" s="26"/>
      <c r="L112" s="26"/>
      <c r="M112" s="27"/>
      <c r="N112" s="23"/>
      <c r="O112" s="24"/>
      <c r="P112" s="24"/>
      <c r="Q112" s="24"/>
      <c r="R112" s="24"/>
      <c r="S112" s="24"/>
      <c r="T112" s="24"/>
      <c r="U112" s="26"/>
      <c r="V112" s="26"/>
      <c r="W112" s="27"/>
      <c r="X112" s="23"/>
      <c r="Y112" s="24"/>
      <c r="Z112" s="24"/>
      <c r="AA112" s="24"/>
      <c r="AB112" s="25"/>
      <c r="AC112" s="22"/>
      <c r="AD112" s="23"/>
      <c r="AE112" s="24"/>
      <c r="AF112" s="24"/>
      <c r="AG112" s="24"/>
      <c r="AH112" s="25"/>
      <c r="AI112" s="25"/>
      <c r="AJ112" s="54" t="str">
        <f t="shared" si="13"/>
        <v/>
      </c>
      <c r="AK112" s="55" t="str">
        <f t="shared" si="14"/>
        <v/>
      </c>
      <c r="AL112" s="55"/>
      <c r="AM112" s="56"/>
      <c r="AN112" s="168"/>
      <c r="AO112" s="168"/>
      <c r="AP112" s="168"/>
      <c r="AQ112" s="168"/>
      <c r="AR112" s="168"/>
      <c r="AS112" s="168"/>
      <c r="AT112" s="168"/>
      <c r="AU112" s="168"/>
      <c r="AV112" s="334">
        <f t="shared" si="16"/>
        <v>170</v>
      </c>
      <c r="AW112" s="232"/>
      <c r="AX112" s="213"/>
      <c r="AY112" s="134"/>
      <c r="AZ112" s="182"/>
      <c r="BA112" s="213"/>
      <c r="BB112" s="134"/>
      <c r="BC112" s="232"/>
      <c r="BD112" s="182"/>
      <c r="BE112" s="134"/>
      <c r="BF112" s="182"/>
      <c r="BG112" s="213"/>
      <c r="BH112" s="134"/>
      <c r="BI112" s="236"/>
      <c r="BJ112" s="213"/>
      <c r="BK112" s="134" t="s">
        <v>59</v>
      </c>
      <c r="BL112" s="232">
        <v>182</v>
      </c>
      <c r="BM112" s="213"/>
      <c r="BN112" s="134" t="s">
        <v>59</v>
      </c>
      <c r="BO112" s="168"/>
    </row>
    <row r="113" spans="1:67">
      <c r="A113" s="16" t="s">
        <v>34</v>
      </c>
      <c r="B113" s="65"/>
      <c r="C113" s="24"/>
      <c r="D113" s="23"/>
      <c r="E113" s="24"/>
      <c r="F113" s="24"/>
      <c r="G113" s="24"/>
      <c r="H113" s="24"/>
      <c r="I113" s="24"/>
      <c r="J113" s="24"/>
      <c r="K113" s="26"/>
      <c r="L113" s="26"/>
      <c r="M113" s="27"/>
      <c r="N113" s="23"/>
      <c r="O113" s="24"/>
      <c r="P113" s="24"/>
      <c r="Q113" s="24"/>
      <c r="R113" s="24"/>
      <c r="S113" s="24"/>
      <c r="T113" s="24"/>
      <c r="U113" s="26"/>
      <c r="V113" s="26"/>
      <c r="W113" s="27"/>
      <c r="X113" s="23"/>
      <c r="Y113" s="24"/>
      <c r="Z113" s="24"/>
      <c r="AA113" s="24"/>
      <c r="AB113" s="25"/>
      <c r="AC113" s="22"/>
      <c r="AD113" s="23"/>
      <c r="AE113" s="24"/>
      <c r="AF113" s="24"/>
      <c r="AG113" s="24"/>
      <c r="AH113" s="25"/>
      <c r="AI113" s="25"/>
      <c r="AJ113" s="54" t="str">
        <f t="shared" si="13"/>
        <v/>
      </c>
      <c r="AK113" s="55" t="str">
        <f t="shared" si="14"/>
        <v/>
      </c>
      <c r="AL113" s="55"/>
      <c r="AM113" s="56"/>
      <c r="AN113" s="168"/>
      <c r="AO113" s="168"/>
      <c r="AP113" s="168"/>
      <c r="AQ113" s="168"/>
      <c r="AR113" s="168"/>
      <c r="AS113" s="168"/>
      <c r="AT113" s="168"/>
      <c r="AU113" s="168"/>
      <c r="AV113" s="334">
        <f t="shared" si="16"/>
        <v>170</v>
      </c>
      <c r="AW113" s="232"/>
      <c r="AX113" s="213"/>
      <c r="AY113" s="134"/>
      <c r="AZ113" s="182"/>
      <c r="BA113" s="213"/>
      <c r="BB113" s="134"/>
      <c r="BC113" s="232"/>
      <c r="BD113" s="182"/>
      <c r="BE113" s="134"/>
      <c r="BF113" s="182"/>
      <c r="BG113" s="213"/>
      <c r="BH113" s="134"/>
      <c r="BI113" s="236"/>
      <c r="BJ113" s="213"/>
      <c r="BK113" s="134" t="s">
        <v>59</v>
      </c>
      <c r="BL113" s="232">
        <v>182</v>
      </c>
      <c r="BM113" s="213"/>
      <c r="BN113" s="134" t="s">
        <v>59</v>
      </c>
      <c r="BO113" s="168"/>
    </row>
    <row r="114" spans="1:67">
      <c r="A114" s="16" t="s">
        <v>34</v>
      </c>
      <c r="B114" s="65"/>
      <c r="C114" s="24"/>
      <c r="D114" s="23"/>
      <c r="E114" s="24"/>
      <c r="F114" s="24"/>
      <c r="G114" s="24"/>
      <c r="H114" s="24"/>
      <c r="I114" s="24"/>
      <c r="J114" s="24"/>
      <c r="K114" s="26"/>
      <c r="L114" s="26"/>
      <c r="M114" s="27"/>
      <c r="N114" s="23"/>
      <c r="O114" s="24"/>
      <c r="P114" s="24"/>
      <c r="Q114" s="24"/>
      <c r="R114" s="24"/>
      <c r="S114" s="24"/>
      <c r="T114" s="24"/>
      <c r="U114" s="26"/>
      <c r="V114" s="26"/>
      <c r="W114" s="27"/>
      <c r="X114" s="23"/>
      <c r="Y114" s="24"/>
      <c r="Z114" s="24"/>
      <c r="AA114" s="24"/>
      <c r="AB114" s="25"/>
      <c r="AC114" s="22"/>
      <c r="AD114" s="23"/>
      <c r="AE114" s="24"/>
      <c r="AF114" s="24"/>
      <c r="AG114" s="24"/>
      <c r="AH114" s="25"/>
      <c r="AI114" s="25"/>
      <c r="AJ114" s="54" t="str">
        <f t="shared" si="13"/>
        <v/>
      </c>
      <c r="AK114" s="55" t="str">
        <f t="shared" si="14"/>
        <v/>
      </c>
      <c r="AL114" s="55"/>
      <c r="AM114" s="56"/>
      <c r="AN114" s="168"/>
      <c r="AO114" s="168"/>
      <c r="AP114" s="168"/>
      <c r="AQ114" s="168"/>
      <c r="AR114" s="168"/>
      <c r="AS114" s="168"/>
      <c r="AT114" s="168"/>
      <c r="AU114" s="168"/>
      <c r="AV114" s="334">
        <f t="shared" si="16"/>
        <v>170</v>
      </c>
      <c r="AW114" s="232"/>
      <c r="AX114" s="213"/>
      <c r="AY114" s="134"/>
      <c r="AZ114" s="182"/>
      <c r="BA114" s="213"/>
      <c r="BB114" s="134"/>
      <c r="BC114" s="232"/>
      <c r="BD114" s="182"/>
      <c r="BE114" s="134"/>
      <c r="BF114" s="182"/>
      <c r="BG114" s="213"/>
      <c r="BH114" s="134"/>
      <c r="BI114" s="236"/>
      <c r="BJ114" s="213"/>
      <c r="BK114" s="134" t="s">
        <v>59</v>
      </c>
      <c r="BL114" s="232">
        <v>182</v>
      </c>
      <c r="BM114" s="213"/>
      <c r="BN114" s="134" t="s">
        <v>59</v>
      </c>
      <c r="BO114" s="168"/>
    </row>
    <row r="115" spans="1:67">
      <c r="A115" s="16" t="s">
        <v>34</v>
      </c>
      <c r="B115" s="65"/>
      <c r="C115" s="24"/>
      <c r="D115" s="23"/>
      <c r="E115" s="24"/>
      <c r="F115" s="24"/>
      <c r="G115" s="24"/>
      <c r="H115" s="24"/>
      <c r="I115" s="24"/>
      <c r="J115" s="24"/>
      <c r="K115" s="26"/>
      <c r="L115" s="26"/>
      <c r="M115" s="27"/>
      <c r="N115" s="23"/>
      <c r="O115" s="24"/>
      <c r="P115" s="24"/>
      <c r="Q115" s="24"/>
      <c r="R115" s="24"/>
      <c r="S115" s="24"/>
      <c r="T115" s="24"/>
      <c r="U115" s="26"/>
      <c r="V115" s="26"/>
      <c r="W115" s="27"/>
      <c r="X115" s="23"/>
      <c r="Y115" s="24"/>
      <c r="Z115" s="24"/>
      <c r="AA115" s="24"/>
      <c r="AB115" s="25"/>
      <c r="AC115" s="22"/>
      <c r="AD115" s="23"/>
      <c r="AE115" s="24"/>
      <c r="AF115" s="24"/>
      <c r="AG115" s="24"/>
      <c r="AH115" s="25"/>
      <c r="AI115" s="25"/>
      <c r="AJ115" s="54" t="str">
        <f t="shared" si="13"/>
        <v/>
      </c>
      <c r="AK115" s="55" t="str">
        <f t="shared" si="14"/>
        <v/>
      </c>
      <c r="AL115" s="55"/>
      <c r="AM115" s="56"/>
      <c r="AN115" s="168"/>
      <c r="AO115" s="168"/>
      <c r="AP115" s="168"/>
      <c r="AQ115" s="168"/>
      <c r="AR115" s="168"/>
      <c r="AS115" s="168"/>
      <c r="AT115" s="168"/>
      <c r="AU115" s="168"/>
      <c r="AV115" s="334">
        <f t="shared" si="16"/>
        <v>170</v>
      </c>
      <c r="AW115" s="232"/>
      <c r="AX115" s="213"/>
      <c r="AY115" s="134"/>
      <c r="AZ115" s="182"/>
      <c r="BA115" s="213"/>
      <c r="BB115" s="134"/>
      <c r="BC115" s="232"/>
      <c r="BD115" s="182"/>
      <c r="BE115" s="134"/>
      <c r="BF115" s="182"/>
      <c r="BG115" s="213"/>
      <c r="BH115" s="134"/>
      <c r="BI115" s="236"/>
      <c r="BJ115" s="213"/>
      <c r="BK115" s="134" t="s">
        <v>59</v>
      </c>
      <c r="BL115" s="232">
        <v>182</v>
      </c>
      <c r="BM115" s="213"/>
      <c r="BN115" s="134" t="s">
        <v>59</v>
      </c>
      <c r="BO115" s="168"/>
    </row>
    <row r="116" spans="1:67">
      <c r="A116" s="16" t="s">
        <v>34</v>
      </c>
      <c r="B116" s="65"/>
      <c r="C116" s="24"/>
      <c r="D116" s="23"/>
      <c r="E116" s="24"/>
      <c r="F116" s="24"/>
      <c r="G116" s="24"/>
      <c r="H116" s="24"/>
      <c r="I116" s="24"/>
      <c r="J116" s="24"/>
      <c r="K116" s="26"/>
      <c r="L116" s="26"/>
      <c r="M116" s="27"/>
      <c r="N116" s="23"/>
      <c r="O116" s="24"/>
      <c r="P116" s="24"/>
      <c r="Q116" s="24"/>
      <c r="R116" s="24"/>
      <c r="S116" s="24"/>
      <c r="T116" s="24"/>
      <c r="U116" s="26"/>
      <c r="V116" s="26"/>
      <c r="W116" s="27"/>
      <c r="X116" s="23"/>
      <c r="Y116" s="24"/>
      <c r="Z116" s="24"/>
      <c r="AA116" s="24"/>
      <c r="AB116" s="25"/>
      <c r="AC116" s="22"/>
      <c r="AD116" s="23"/>
      <c r="AE116" s="24"/>
      <c r="AF116" s="24"/>
      <c r="AG116" s="24"/>
      <c r="AH116" s="25"/>
      <c r="AI116" s="25"/>
      <c r="AJ116" s="54" t="str">
        <f t="shared" si="13"/>
        <v/>
      </c>
      <c r="AK116" s="55" t="str">
        <f t="shared" si="14"/>
        <v/>
      </c>
      <c r="AL116" s="55"/>
      <c r="AM116" s="56"/>
      <c r="AN116" s="168"/>
      <c r="AO116" s="168"/>
      <c r="AP116" s="168"/>
      <c r="AQ116" s="168"/>
      <c r="AR116" s="168"/>
      <c r="AS116" s="168"/>
      <c r="AT116" s="168"/>
      <c r="AU116" s="168"/>
      <c r="AV116" s="334">
        <f t="shared" si="16"/>
        <v>170</v>
      </c>
      <c r="AW116" s="232"/>
      <c r="AX116" s="213"/>
      <c r="AY116" s="134"/>
      <c r="AZ116" s="182"/>
      <c r="BA116" s="213"/>
      <c r="BB116" s="134"/>
      <c r="BC116" s="232"/>
      <c r="BD116" s="182"/>
      <c r="BE116" s="134"/>
      <c r="BF116" s="182"/>
      <c r="BG116" s="213"/>
      <c r="BH116" s="134"/>
      <c r="BI116" s="236"/>
      <c r="BJ116" s="213"/>
      <c r="BK116" s="134" t="s">
        <v>59</v>
      </c>
      <c r="BL116" s="232">
        <v>182</v>
      </c>
      <c r="BM116" s="213"/>
      <c r="BN116" s="134" t="s">
        <v>59</v>
      </c>
      <c r="BO116" s="168"/>
    </row>
    <row r="117" spans="1:67">
      <c r="A117" s="16" t="s">
        <v>34</v>
      </c>
      <c r="B117" s="65"/>
      <c r="C117" s="24"/>
      <c r="D117" s="23"/>
      <c r="E117" s="24"/>
      <c r="F117" s="24"/>
      <c r="G117" s="24"/>
      <c r="H117" s="24"/>
      <c r="I117" s="24"/>
      <c r="J117" s="24"/>
      <c r="K117" s="26"/>
      <c r="L117" s="26"/>
      <c r="M117" s="27"/>
      <c r="N117" s="23"/>
      <c r="O117" s="24"/>
      <c r="P117" s="24"/>
      <c r="Q117" s="24"/>
      <c r="R117" s="24"/>
      <c r="S117" s="24"/>
      <c r="T117" s="24"/>
      <c r="U117" s="26"/>
      <c r="V117" s="26"/>
      <c r="W117" s="27"/>
      <c r="X117" s="23"/>
      <c r="Y117" s="24"/>
      <c r="Z117" s="24"/>
      <c r="AA117" s="24"/>
      <c r="AB117" s="25"/>
      <c r="AC117" s="22"/>
      <c r="AD117" s="23"/>
      <c r="AE117" s="24"/>
      <c r="AF117" s="24"/>
      <c r="AG117" s="24"/>
      <c r="AH117" s="25"/>
      <c r="AI117" s="25"/>
      <c r="AJ117" s="54" t="str">
        <f t="shared" si="13"/>
        <v/>
      </c>
      <c r="AK117" s="55" t="str">
        <f t="shared" si="14"/>
        <v/>
      </c>
      <c r="AL117" s="55"/>
      <c r="AM117" s="56"/>
      <c r="AN117" s="168"/>
      <c r="AO117" s="168"/>
      <c r="AP117" s="168"/>
      <c r="AQ117" s="168"/>
      <c r="AR117" s="168"/>
      <c r="AS117" s="168"/>
      <c r="AT117" s="168"/>
      <c r="AU117" s="168"/>
      <c r="AV117" s="334">
        <f t="shared" si="16"/>
        <v>170</v>
      </c>
      <c r="AW117" s="232"/>
      <c r="AX117" s="213"/>
      <c r="AY117" s="134"/>
      <c r="AZ117" s="182"/>
      <c r="BA117" s="213"/>
      <c r="BB117" s="134"/>
      <c r="BC117" s="232"/>
      <c r="BD117" s="182"/>
      <c r="BE117" s="134"/>
      <c r="BF117" s="182"/>
      <c r="BG117" s="213"/>
      <c r="BH117" s="134"/>
      <c r="BI117" s="236"/>
      <c r="BJ117" s="213"/>
      <c r="BK117" s="134" t="s">
        <v>59</v>
      </c>
      <c r="BL117" s="232">
        <v>182</v>
      </c>
      <c r="BM117" s="213"/>
      <c r="BN117" s="134" t="s">
        <v>59</v>
      </c>
      <c r="BO117" s="168"/>
    </row>
    <row r="118" spans="1:67">
      <c r="A118" s="16" t="s">
        <v>34</v>
      </c>
      <c r="B118" s="65"/>
      <c r="C118" s="24"/>
      <c r="D118" s="23"/>
      <c r="E118" s="24"/>
      <c r="F118" s="24"/>
      <c r="G118" s="24"/>
      <c r="H118" s="24"/>
      <c r="I118" s="24"/>
      <c r="J118" s="24"/>
      <c r="K118" s="26"/>
      <c r="L118" s="26"/>
      <c r="M118" s="27"/>
      <c r="N118" s="23"/>
      <c r="O118" s="24"/>
      <c r="P118" s="24"/>
      <c r="Q118" s="24"/>
      <c r="R118" s="24"/>
      <c r="S118" s="24"/>
      <c r="T118" s="24"/>
      <c r="U118" s="26"/>
      <c r="V118" s="26"/>
      <c r="W118" s="27"/>
      <c r="X118" s="23"/>
      <c r="Y118" s="24"/>
      <c r="Z118" s="24"/>
      <c r="AA118" s="24"/>
      <c r="AB118" s="25"/>
      <c r="AC118" s="22"/>
      <c r="AD118" s="23"/>
      <c r="AE118" s="24"/>
      <c r="AF118" s="24"/>
      <c r="AG118" s="24"/>
      <c r="AH118" s="25"/>
      <c r="AI118" s="25"/>
      <c r="AJ118" s="54" t="str">
        <f t="shared" si="13"/>
        <v/>
      </c>
      <c r="AK118" s="55" t="str">
        <f t="shared" si="14"/>
        <v/>
      </c>
      <c r="AL118" s="55"/>
      <c r="AM118" s="56"/>
      <c r="AN118" s="168"/>
      <c r="AO118" s="168"/>
      <c r="AP118" s="168"/>
      <c r="AQ118" s="168"/>
      <c r="AR118" s="168"/>
      <c r="AS118" s="168"/>
      <c r="AT118" s="168"/>
      <c r="AU118" s="168"/>
      <c r="AV118" s="334">
        <f t="shared" si="16"/>
        <v>170</v>
      </c>
      <c r="AW118" s="232"/>
      <c r="AX118" s="213"/>
      <c r="AY118" s="134"/>
      <c r="AZ118" s="182"/>
      <c r="BA118" s="213"/>
      <c r="BB118" s="134"/>
      <c r="BC118" s="232"/>
      <c r="BD118" s="182"/>
      <c r="BE118" s="134"/>
      <c r="BF118" s="182"/>
      <c r="BG118" s="213"/>
      <c r="BH118" s="134"/>
      <c r="BI118" s="236"/>
      <c r="BJ118" s="213"/>
      <c r="BK118" s="134" t="s">
        <v>59</v>
      </c>
      <c r="BL118" s="232">
        <v>182</v>
      </c>
      <c r="BM118" s="213"/>
      <c r="BN118" s="134" t="s">
        <v>59</v>
      </c>
      <c r="BO118" s="168"/>
    </row>
    <row r="119" spans="1:67">
      <c r="A119" s="16" t="s">
        <v>34</v>
      </c>
      <c r="B119" s="65"/>
      <c r="C119" s="24"/>
      <c r="D119" s="23"/>
      <c r="E119" s="24"/>
      <c r="F119" s="24"/>
      <c r="G119" s="24"/>
      <c r="H119" s="24"/>
      <c r="I119" s="24"/>
      <c r="J119" s="24"/>
      <c r="K119" s="26"/>
      <c r="L119" s="26"/>
      <c r="M119" s="27"/>
      <c r="N119" s="23"/>
      <c r="O119" s="24"/>
      <c r="P119" s="24"/>
      <c r="Q119" s="24"/>
      <c r="R119" s="24"/>
      <c r="S119" s="24"/>
      <c r="T119" s="24"/>
      <c r="U119" s="26"/>
      <c r="V119" s="26"/>
      <c r="W119" s="27"/>
      <c r="X119" s="23"/>
      <c r="Y119" s="24"/>
      <c r="Z119" s="24"/>
      <c r="AA119" s="24"/>
      <c r="AB119" s="25"/>
      <c r="AC119" s="22"/>
      <c r="AD119" s="23"/>
      <c r="AE119" s="24"/>
      <c r="AF119" s="24"/>
      <c r="AG119" s="24"/>
      <c r="AH119" s="25"/>
      <c r="AI119" s="25"/>
      <c r="AJ119" s="54" t="str">
        <f t="shared" si="13"/>
        <v/>
      </c>
      <c r="AK119" s="55" t="str">
        <f t="shared" si="14"/>
        <v/>
      </c>
      <c r="AL119" s="55"/>
      <c r="AM119" s="56"/>
      <c r="AN119" s="168"/>
      <c r="AO119" s="168"/>
      <c r="AP119" s="168"/>
      <c r="AQ119" s="168"/>
      <c r="AR119" s="168"/>
      <c r="AS119" s="168"/>
      <c r="AT119" s="168"/>
      <c r="AU119" s="168"/>
      <c r="AV119" s="334">
        <f t="shared" si="16"/>
        <v>170</v>
      </c>
      <c r="AW119" s="232"/>
      <c r="AX119" s="213"/>
      <c r="AY119" s="134"/>
      <c r="AZ119" s="182"/>
      <c r="BA119" s="213"/>
      <c r="BB119" s="134"/>
      <c r="BC119" s="232"/>
      <c r="BD119" s="182"/>
      <c r="BE119" s="134"/>
      <c r="BF119" s="182"/>
      <c r="BG119" s="213"/>
      <c r="BH119" s="134"/>
      <c r="BI119" s="236"/>
      <c r="BJ119" s="213"/>
      <c r="BK119" s="134" t="s">
        <v>59</v>
      </c>
      <c r="BL119" s="232">
        <v>182</v>
      </c>
      <c r="BM119" s="213"/>
      <c r="BN119" s="134" t="s">
        <v>59</v>
      </c>
      <c r="BO119" s="168"/>
    </row>
    <row r="120" spans="1:67">
      <c r="A120" s="16" t="s">
        <v>34</v>
      </c>
      <c r="B120" s="65"/>
      <c r="C120" s="24"/>
      <c r="D120" s="23"/>
      <c r="E120" s="24"/>
      <c r="F120" s="24"/>
      <c r="G120" s="24"/>
      <c r="H120" s="24"/>
      <c r="I120" s="24"/>
      <c r="J120" s="24"/>
      <c r="K120" s="26"/>
      <c r="L120" s="26"/>
      <c r="M120" s="27"/>
      <c r="N120" s="23"/>
      <c r="O120" s="24"/>
      <c r="P120" s="24"/>
      <c r="Q120" s="24"/>
      <c r="R120" s="24"/>
      <c r="S120" s="24"/>
      <c r="T120" s="24"/>
      <c r="U120" s="26"/>
      <c r="V120" s="26"/>
      <c r="W120" s="27"/>
      <c r="X120" s="23"/>
      <c r="Y120" s="24"/>
      <c r="Z120" s="24"/>
      <c r="AA120" s="24"/>
      <c r="AB120" s="25"/>
      <c r="AC120" s="22"/>
      <c r="AD120" s="23"/>
      <c r="AE120" s="24"/>
      <c r="AF120" s="24"/>
      <c r="AG120" s="24"/>
      <c r="AH120" s="25"/>
      <c r="AI120" s="25"/>
      <c r="AJ120" s="54" t="str">
        <f t="shared" si="13"/>
        <v/>
      </c>
      <c r="AK120" s="55" t="str">
        <f t="shared" si="14"/>
        <v/>
      </c>
      <c r="AL120" s="55"/>
      <c r="AM120" s="56"/>
      <c r="AN120" s="168"/>
      <c r="AO120" s="168"/>
      <c r="AP120" s="168"/>
      <c r="AQ120" s="168"/>
      <c r="AR120" s="168"/>
      <c r="AS120" s="168"/>
      <c r="AT120" s="168"/>
      <c r="AU120" s="168"/>
      <c r="AV120" s="334">
        <f t="shared" si="16"/>
        <v>170</v>
      </c>
      <c r="AW120" s="232"/>
      <c r="AX120" s="213"/>
      <c r="AY120" s="134"/>
      <c r="AZ120" s="182"/>
      <c r="BA120" s="213"/>
      <c r="BB120" s="134"/>
      <c r="BC120" s="232"/>
      <c r="BD120" s="182"/>
      <c r="BE120" s="134"/>
      <c r="BF120" s="182"/>
      <c r="BG120" s="213"/>
      <c r="BH120" s="134"/>
      <c r="BI120" s="236"/>
      <c r="BJ120" s="213"/>
      <c r="BK120" s="134" t="s">
        <v>59</v>
      </c>
      <c r="BL120" s="232">
        <v>182</v>
      </c>
      <c r="BM120" s="213"/>
      <c r="BN120" s="134" t="s">
        <v>59</v>
      </c>
      <c r="BO120" s="168"/>
    </row>
    <row r="121" spans="1:67">
      <c r="A121" s="16" t="s">
        <v>34</v>
      </c>
      <c r="B121" s="65"/>
      <c r="C121" s="24"/>
      <c r="D121" s="23"/>
      <c r="E121" s="24"/>
      <c r="F121" s="24"/>
      <c r="G121" s="24"/>
      <c r="H121" s="24"/>
      <c r="I121" s="24"/>
      <c r="J121" s="24"/>
      <c r="K121" s="26"/>
      <c r="L121" s="26"/>
      <c r="M121" s="27"/>
      <c r="N121" s="23"/>
      <c r="O121" s="24"/>
      <c r="P121" s="24"/>
      <c r="Q121" s="24"/>
      <c r="R121" s="24"/>
      <c r="S121" s="24"/>
      <c r="T121" s="24"/>
      <c r="U121" s="26"/>
      <c r="V121" s="26"/>
      <c r="W121" s="27"/>
      <c r="X121" s="23"/>
      <c r="Y121" s="24"/>
      <c r="Z121" s="24"/>
      <c r="AA121" s="24"/>
      <c r="AB121" s="25"/>
      <c r="AC121" s="22"/>
      <c r="AD121" s="23"/>
      <c r="AE121" s="24"/>
      <c r="AF121" s="24"/>
      <c r="AG121" s="24"/>
      <c r="AH121" s="25"/>
      <c r="AI121" s="25"/>
      <c r="AJ121" s="54" t="str">
        <f t="shared" si="13"/>
        <v/>
      </c>
      <c r="AK121" s="55" t="str">
        <f t="shared" si="14"/>
        <v/>
      </c>
      <c r="AL121" s="55"/>
      <c r="AM121" s="56"/>
      <c r="AN121" s="168"/>
      <c r="AO121" s="168"/>
      <c r="AP121" s="168"/>
      <c r="AQ121" s="168"/>
      <c r="AR121" s="168"/>
      <c r="AS121" s="168"/>
      <c r="AT121" s="168"/>
      <c r="AU121" s="168"/>
      <c r="AV121" s="334">
        <f t="shared" si="16"/>
        <v>170</v>
      </c>
      <c r="AW121" s="232"/>
      <c r="AX121" s="213"/>
      <c r="AY121" s="134"/>
      <c r="AZ121" s="182"/>
      <c r="BA121" s="213"/>
      <c r="BB121" s="134"/>
      <c r="BC121" s="232"/>
      <c r="BD121" s="182"/>
      <c r="BE121" s="134"/>
      <c r="BF121" s="182"/>
      <c r="BG121" s="213"/>
      <c r="BH121" s="134"/>
      <c r="BI121" s="236"/>
      <c r="BJ121" s="213"/>
      <c r="BK121" s="134" t="s">
        <v>59</v>
      </c>
      <c r="BL121" s="232">
        <v>182</v>
      </c>
      <c r="BM121" s="213"/>
      <c r="BN121" s="134" t="s">
        <v>59</v>
      </c>
      <c r="BO121" s="168"/>
    </row>
    <row r="122" spans="1:67">
      <c r="A122" s="16" t="s">
        <v>34</v>
      </c>
      <c r="B122" s="65"/>
      <c r="C122" s="24"/>
      <c r="D122" s="23"/>
      <c r="E122" s="24"/>
      <c r="F122" s="24"/>
      <c r="G122" s="24"/>
      <c r="H122" s="24"/>
      <c r="I122" s="24"/>
      <c r="J122" s="24"/>
      <c r="K122" s="26"/>
      <c r="L122" s="26"/>
      <c r="M122" s="27"/>
      <c r="N122" s="23"/>
      <c r="O122" s="24"/>
      <c r="P122" s="24"/>
      <c r="Q122" s="24"/>
      <c r="R122" s="24"/>
      <c r="S122" s="24"/>
      <c r="T122" s="24"/>
      <c r="U122" s="26"/>
      <c r="V122" s="26"/>
      <c r="W122" s="27"/>
      <c r="X122" s="23"/>
      <c r="Y122" s="24"/>
      <c r="Z122" s="24"/>
      <c r="AA122" s="24"/>
      <c r="AB122" s="25"/>
      <c r="AC122" s="22"/>
      <c r="AD122" s="23"/>
      <c r="AE122" s="24"/>
      <c r="AF122" s="24"/>
      <c r="AG122" s="24"/>
      <c r="AH122" s="25"/>
      <c r="AI122" s="25"/>
      <c r="AJ122" s="54" t="str">
        <f t="shared" si="13"/>
        <v/>
      </c>
      <c r="AK122" s="55" t="str">
        <f t="shared" si="14"/>
        <v/>
      </c>
      <c r="AL122" s="55"/>
      <c r="AM122" s="56"/>
      <c r="AN122" s="168"/>
      <c r="AO122" s="168"/>
      <c r="AP122" s="168"/>
      <c r="AQ122" s="168"/>
      <c r="AR122" s="168"/>
      <c r="AS122" s="168"/>
      <c r="AT122" s="168"/>
      <c r="AU122" s="168"/>
      <c r="AV122" s="334">
        <f t="shared" si="16"/>
        <v>170</v>
      </c>
      <c r="AW122" s="232"/>
      <c r="AX122" s="213"/>
      <c r="AY122" s="134"/>
      <c r="AZ122" s="182"/>
      <c r="BA122" s="213"/>
      <c r="BB122" s="134"/>
      <c r="BC122" s="232"/>
      <c r="BD122" s="182"/>
      <c r="BE122" s="134"/>
      <c r="BF122" s="182"/>
      <c r="BG122" s="213"/>
      <c r="BH122" s="134"/>
      <c r="BI122" s="236"/>
      <c r="BJ122" s="213"/>
      <c r="BK122" s="134" t="s">
        <v>59</v>
      </c>
      <c r="BL122" s="232">
        <v>182</v>
      </c>
      <c r="BM122" s="213"/>
      <c r="BN122" s="134" t="s">
        <v>59</v>
      </c>
      <c r="BO122" s="168"/>
    </row>
    <row r="123" spans="1:67">
      <c r="A123" s="16" t="s">
        <v>34</v>
      </c>
      <c r="B123" s="65"/>
      <c r="C123" s="24"/>
      <c r="D123" s="23"/>
      <c r="E123" s="24"/>
      <c r="F123" s="24"/>
      <c r="G123" s="24"/>
      <c r="H123" s="24"/>
      <c r="I123" s="24"/>
      <c r="J123" s="24"/>
      <c r="K123" s="26"/>
      <c r="L123" s="26"/>
      <c r="M123" s="27"/>
      <c r="N123" s="23"/>
      <c r="O123" s="24"/>
      <c r="P123" s="24"/>
      <c r="Q123" s="24"/>
      <c r="R123" s="24"/>
      <c r="S123" s="24"/>
      <c r="T123" s="24"/>
      <c r="U123" s="26"/>
      <c r="V123" s="26"/>
      <c r="W123" s="27"/>
      <c r="X123" s="23"/>
      <c r="Y123" s="24"/>
      <c r="Z123" s="24"/>
      <c r="AA123" s="24"/>
      <c r="AB123" s="25"/>
      <c r="AC123" s="22"/>
      <c r="AD123" s="23"/>
      <c r="AE123" s="24"/>
      <c r="AF123" s="24"/>
      <c r="AG123" s="24"/>
      <c r="AH123" s="25"/>
      <c r="AI123" s="25"/>
      <c r="AJ123" s="54" t="str">
        <f t="shared" si="13"/>
        <v/>
      </c>
      <c r="AK123" s="55" t="str">
        <f t="shared" si="14"/>
        <v/>
      </c>
      <c r="AL123" s="55"/>
      <c r="AM123" s="56"/>
      <c r="AN123" s="168"/>
      <c r="AO123" s="168"/>
      <c r="AP123" s="168"/>
      <c r="AQ123" s="168"/>
      <c r="AR123" s="168"/>
      <c r="AS123" s="168"/>
      <c r="AT123" s="168"/>
      <c r="AU123" s="168"/>
      <c r="AV123" s="334">
        <f t="shared" si="16"/>
        <v>170</v>
      </c>
      <c r="AW123" s="232"/>
      <c r="AX123" s="213"/>
      <c r="AY123" s="134"/>
      <c r="AZ123" s="182"/>
      <c r="BA123" s="213"/>
      <c r="BB123" s="134"/>
      <c r="BC123" s="232"/>
      <c r="BD123" s="182"/>
      <c r="BE123" s="134"/>
      <c r="BF123" s="182"/>
      <c r="BG123" s="213"/>
      <c r="BH123" s="134"/>
      <c r="BI123" s="236"/>
      <c r="BJ123" s="213"/>
      <c r="BK123" s="134" t="s">
        <v>59</v>
      </c>
      <c r="BL123" s="232">
        <v>182</v>
      </c>
      <c r="BM123" s="213"/>
      <c r="BN123" s="134" t="s">
        <v>59</v>
      </c>
      <c r="BO123" s="168"/>
    </row>
    <row r="124" spans="1:67" ht="13" thickBot="1">
      <c r="A124" s="17" t="s">
        <v>34</v>
      </c>
      <c r="B124" s="66"/>
      <c r="C124" s="32"/>
      <c r="D124" s="31"/>
      <c r="E124" s="32"/>
      <c r="F124" s="32"/>
      <c r="G124" s="32"/>
      <c r="H124" s="32"/>
      <c r="I124" s="32"/>
      <c r="J124" s="32"/>
      <c r="K124" s="34"/>
      <c r="L124" s="34"/>
      <c r="M124" s="35"/>
      <c r="N124" s="31"/>
      <c r="O124" s="32"/>
      <c r="P124" s="32"/>
      <c r="Q124" s="32"/>
      <c r="R124" s="32"/>
      <c r="S124" s="32"/>
      <c r="T124" s="32"/>
      <c r="U124" s="34"/>
      <c r="V124" s="34"/>
      <c r="W124" s="35"/>
      <c r="X124" s="31"/>
      <c r="Y124" s="32"/>
      <c r="Z124" s="32"/>
      <c r="AA124" s="32"/>
      <c r="AB124" s="33"/>
      <c r="AC124" s="30"/>
      <c r="AD124" s="31"/>
      <c r="AE124" s="32"/>
      <c r="AF124" s="32"/>
      <c r="AG124" s="32"/>
      <c r="AH124" s="33"/>
      <c r="AI124" s="33"/>
      <c r="AJ124" s="57" t="str">
        <f t="shared" si="13"/>
        <v/>
      </c>
      <c r="AK124" s="58" t="str">
        <f t="shared" si="14"/>
        <v/>
      </c>
      <c r="AL124" s="58"/>
      <c r="AM124" s="59"/>
      <c r="AN124" s="168"/>
      <c r="AO124" s="168"/>
      <c r="AP124" s="168"/>
      <c r="AQ124" s="168"/>
      <c r="AR124" s="168"/>
      <c r="AS124" s="168"/>
      <c r="AT124" s="168"/>
      <c r="AU124" s="168"/>
      <c r="AV124" s="334">
        <f t="shared" si="16"/>
        <v>170</v>
      </c>
      <c r="AW124" s="232"/>
      <c r="AX124" s="213"/>
      <c r="AY124" s="134"/>
      <c r="AZ124" s="182"/>
      <c r="BA124" s="213"/>
      <c r="BB124" s="134"/>
      <c r="BC124" s="232"/>
      <c r="BD124" s="182"/>
      <c r="BE124" s="134"/>
      <c r="BF124" s="182"/>
      <c r="BG124" s="213"/>
      <c r="BH124" s="134"/>
      <c r="BI124" s="236"/>
      <c r="BJ124" s="213"/>
      <c r="BK124" s="134" t="s">
        <v>59</v>
      </c>
      <c r="BL124" s="232">
        <v>182</v>
      </c>
      <c r="BM124" s="213"/>
      <c r="BN124" s="134" t="s">
        <v>59</v>
      </c>
      <c r="BO124" s="168"/>
    </row>
    <row r="125" spans="1:67">
      <c r="A125" s="367" t="s">
        <v>33</v>
      </c>
      <c r="B125" s="67">
        <v>41038</v>
      </c>
      <c r="C125" s="40" t="s">
        <v>87</v>
      </c>
      <c r="D125" s="39">
        <v>8</v>
      </c>
      <c r="E125" s="40">
        <v>7</v>
      </c>
      <c r="F125" s="40">
        <v>9</v>
      </c>
      <c r="G125" s="40">
        <v>9</v>
      </c>
      <c r="H125" s="40">
        <v>7</v>
      </c>
      <c r="I125" s="40">
        <v>7</v>
      </c>
      <c r="J125" s="40">
        <v>8</v>
      </c>
      <c r="K125" s="42">
        <v>9</v>
      </c>
      <c r="L125" s="42">
        <v>8</v>
      </c>
      <c r="M125" s="43">
        <v>7</v>
      </c>
      <c r="N125" s="39">
        <v>0</v>
      </c>
      <c r="O125" s="40">
        <v>0</v>
      </c>
      <c r="P125" s="40">
        <v>0</v>
      </c>
      <c r="Q125" s="40">
        <v>0</v>
      </c>
      <c r="R125" s="40">
        <v>0</v>
      </c>
      <c r="S125" s="40">
        <v>0</v>
      </c>
      <c r="T125" s="40">
        <v>0</v>
      </c>
      <c r="U125" s="42">
        <v>0</v>
      </c>
      <c r="V125" s="42">
        <v>0</v>
      </c>
      <c r="W125" s="43">
        <v>0</v>
      </c>
      <c r="X125" s="39"/>
      <c r="Y125" s="40"/>
      <c r="Z125" s="40"/>
      <c r="AA125" s="40"/>
      <c r="AB125" s="41"/>
      <c r="AC125" s="38"/>
      <c r="AD125" s="39"/>
      <c r="AE125" s="40"/>
      <c r="AF125" s="40"/>
      <c r="AG125" s="40"/>
      <c r="AH125" s="41"/>
      <c r="AI125" s="41"/>
      <c r="AJ125" s="61">
        <f t="shared" si="13"/>
        <v>7.9</v>
      </c>
      <c r="AK125" s="62">
        <f t="shared" si="14"/>
        <v>0</v>
      </c>
      <c r="AL125" s="62" t="str">
        <f t="shared" ref="AL125:AL134" si="17">IF(COUNT(X125:AB125)=0,"",AVERAGE(X125:AB125))</f>
        <v/>
      </c>
      <c r="AM125" s="63"/>
      <c r="AN125" s="168"/>
      <c r="AO125" s="168"/>
      <c r="AP125" s="168"/>
      <c r="AQ125" s="168"/>
      <c r="AR125" s="168"/>
      <c r="AS125" s="168"/>
      <c r="AT125" s="168"/>
      <c r="AU125" s="168"/>
      <c r="AV125" s="334">
        <f t="shared" si="16"/>
        <v>130</v>
      </c>
      <c r="AW125" s="232"/>
      <c r="AX125" s="213"/>
      <c r="AY125" s="134"/>
      <c r="AZ125" s="182"/>
      <c r="BA125" s="213"/>
      <c r="BB125" s="134"/>
      <c r="BC125" s="232"/>
      <c r="BD125" s="182"/>
      <c r="BE125" s="134"/>
      <c r="BF125" s="182"/>
      <c r="BG125" s="213"/>
      <c r="BH125" s="134"/>
      <c r="BI125" s="236">
        <f t="shared" ref="BI125:BI141" si="18">BJ125-DATE(YEAR(BJ125)-1,12,31)</f>
        <v>127</v>
      </c>
      <c r="BJ125" s="213">
        <v>40305</v>
      </c>
      <c r="BK125" s="134">
        <v>12.4</v>
      </c>
      <c r="BL125" s="232">
        <v>117</v>
      </c>
      <c r="BM125" s="213">
        <v>40660</v>
      </c>
      <c r="BN125" s="134">
        <v>7</v>
      </c>
      <c r="BO125" s="168"/>
    </row>
    <row r="126" spans="1:67">
      <c r="A126" s="16" t="s">
        <v>33</v>
      </c>
      <c r="B126" s="65">
        <v>41045</v>
      </c>
      <c r="C126" s="24" t="s">
        <v>87</v>
      </c>
      <c r="D126" s="23">
        <v>8</v>
      </c>
      <c r="E126" s="24">
        <v>7</v>
      </c>
      <c r="F126" s="24">
        <v>9</v>
      </c>
      <c r="G126" s="24">
        <v>9</v>
      </c>
      <c r="H126" s="24">
        <v>7</v>
      </c>
      <c r="I126" s="24">
        <v>7</v>
      </c>
      <c r="J126" s="24">
        <v>9</v>
      </c>
      <c r="K126" s="26">
        <v>9</v>
      </c>
      <c r="L126" s="26">
        <v>8</v>
      </c>
      <c r="M126" s="27">
        <v>7</v>
      </c>
      <c r="N126" s="23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6">
        <v>0</v>
      </c>
      <c r="V126" s="26">
        <v>0</v>
      </c>
      <c r="W126" s="27">
        <v>0</v>
      </c>
      <c r="X126" s="23"/>
      <c r="Y126" s="24"/>
      <c r="Z126" s="24"/>
      <c r="AA126" s="24"/>
      <c r="AB126" s="25"/>
      <c r="AC126" s="22"/>
      <c r="AD126" s="23"/>
      <c r="AE126" s="24"/>
      <c r="AF126" s="24"/>
      <c r="AG126" s="24"/>
      <c r="AH126" s="25"/>
      <c r="AI126" s="25"/>
      <c r="AJ126" s="54">
        <f t="shared" si="13"/>
        <v>8</v>
      </c>
      <c r="AK126" s="55">
        <f t="shared" si="14"/>
        <v>0</v>
      </c>
      <c r="AL126" s="55" t="str">
        <f t="shared" si="17"/>
        <v/>
      </c>
      <c r="AM126" s="56"/>
      <c r="AN126" s="168"/>
      <c r="AO126" s="168"/>
      <c r="AP126" s="168"/>
      <c r="AQ126" s="168"/>
      <c r="AR126" s="168"/>
      <c r="AS126" s="168"/>
      <c r="AT126" s="168"/>
      <c r="AU126" s="168"/>
      <c r="AV126" s="334">
        <f t="shared" si="16"/>
        <v>137</v>
      </c>
      <c r="AW126" s="232"/>
      <c r="AX126" s="213"/>
      <c r="AY126" s="134"/>
      <c r="AZ126" s="182"/>
      <c r="BA126" s="213"/>
      <c r="BB126" s="134"/>
      <c r="BC126" s="232"/>
      <c r="BD126" s="182"/>
      <c r="BE126" s="134"/>
      <c r="BF126" s="182"/>
      <c r="BG126" s="213"/>
      <c r="BH126" s="134"/>
      <c r="BI126" s="236">
        <f t="shared" si="18"/>
        <v>132</v>
      </c>
      <c r="BJ126" s="213">
        <v>40310</v>
      </c>
      <c r="BK126" s="134">
        <v>13.6</v>
      </c>
      <c r="BL126" s="232">
        <v>122</v>
      </c>
      <c r="BM126" s="213">
        <v>40665</v>
      </c>
      <c r="BN126" s="134">
        <v>7.2</v>
      </c>
      <c r="BO126" s="168"/>
    </row>
    <row r="127" spans="1:67">
      <c r="A127" s="16" t="s">
        <v>33</v>
      </c>
      <c r="B127" s="65">
        <v>41052</v>
      </c>
      <c r="C127" s="24" t="s">
        <v>87</v>
      </c>
      <c r="D127" s="23">
        <v>11</v>
      </c>
      <c r="E127" s="24">
        <v>11</v>
      </c>
      <c r="F127" s="24">
        <v>12</v>
      </c>
      <c r="G127" s="24">
        <v>15</v>
      </c>
      <c r="H127" s="24">
        <v>9</v>
      </c>
      <c r="I127" s="24">
        <v>8</v>
      </c>
      <c r="J127" s="24">
        <v>9</v>
      </c>
      <c r="K127" s="26">
        <v>12</v>
      </c>
      <c r="L127" s="26">
        <v>9</v>
      </c>
      <c r="M127" s="27">
        <v>7</v>
      </c>
      <c r="N127" s="23">
        <v>1</v>
      </c>
      <c r="O127" s="24">
        <v>1</v>
      </c>
      <c r="P127" s="24">
        <v>1</v>
      </c>
      <c r="Q127" s="24">
        <v>1</v>
      </c>
      <c r="R127" s="24">
        <v>0</v>
      </c>
      <c r="S127" s="24">
        <v>0</v>
      </c>
      <c r="T127" s="24">
        <v>0</v>
      </c>
      <c r="U127" s="26">
        <v>1</v>
      </c>
      <c r="V127" s="26">
        <v>0</v>
      </c>
      <c r="W127" s="27">
        <v>0</v>
      </c>
      <c r="X127" s="23"/>
      <c r="Y127" s="24"/>
      <c r="Z127" s="24"/>
      <c r="AA127" s="24"/>
      <c r="AB127" s="25"/>
      <c r="AC127" s="22"/>
      <c r="AD127" s="23"/>
      <c r="AE127" s="24"/>
      <c r="AF127" s="24"/>
      <c r="AG127" s="24"/>
      <c r="AH127" s="25"/>
      <c r="AI127" s="25"/>
      <c r="AJ127" s="54">
        <f t="shared" si="13"/>
        <v>10.3</v>
      </c>
      <c r="AK127" s="55">
        <f t="shared" si="14"/>
        <v>0.5</v>
      </c>
      <c r="AL127" s="55" t="str">
        <f t="shared" si="17"/>
        <v/>
      </c>
      <c r="AM127" s="56"/>
      <c r="AN127" s="168"/>
      <c r="AO127" s="168"/>
      <c r="AP127" s="168"/>
      <c r="AQ127" s="168"/>
      <c r="AR127" s="168"/>
      <c r="AS127" s="168"/>
      <c r="AT127" s="168"/>
      <c r="AU127" s="168"/>
      <c r="AV127" s="334">
        <f t="shared" si="16"/>
        <v>144</v>
      </c>
      <c r="AW127" s="232"/>
      <c r="AX127" s="213"/>
      <c r="AY127" s="134"/>
      <c r="AZ127" s="182"/>
      <c r="BA127" s="213"/>
      <c r="BB127" s="134"/>
      <c r="BC127" s="232"/>
      <c r="BD127" s="182"/>
      <c r="BE127" s="134"/>
      <c r="BF127" s="182"/>
      <c r="BG127" s="213"/>
      <c r="BH127" s="134"/>
      <c r="BI127" s="236">
        <f t="shared" si="18"/>
        <v>137</v>
      </c>
      <c r="BJ127" s="213">
        <v>40315</v>
      </c>
      <c r="BK127" s="134">
        <v>18.2</v>
      </c>
      <c r="BL127" s="232">
        <v>129</v>
      </c>
      <c r="BM127" s="213">
        <v>40672</v>
      </c>
      <c r="BN127" s="134">
        <v>8</v>
      </c>
      <c r="BO127" s="168"/>
    </row>
    <row r="128" spans="1:67">
      <c r="A128" s="16" t="s">
        <v>33</v>
      </c>
      <c r="B128" s="65">
        <v>41057</v>
      </c>
      <c r="C128" s="24" t="s">
        <v>87</v>
      </c>
      <c r="D128" s="23">
        <v>16</v>
      </c>
      <c r="E128" s="24">
        <v>19</v>
      </c>
      <c r="F128" s="24">
        <v>21</v>
      </c>
      <c r="G128" s="24">
        <v>22</v>
      </c>
      <c r="H128" s="24">
        <v>10</v>
      </c>
      <c r="I128" s="24">
        <v>15</v>
      </c>
      <c r="J128" s="24">
        <v>15</v>
      </c>
      <c r="K128" s="26">
        <v>24</v>
      </c>
      <c r="L128" s="26">
        <v>20</v>
      </c>
      <c r="M128" s="27">
        <v>13</v>
      </c>
      <c r="N128" s="23">
        <v>1</v>
      </c>
      <c r="O128" s="24">
        <v>1</v>
      </c>
      <c r="P128" s="24">
        <v>2</v>
      </c>
      <c r="Q128" s="24">
        <v>2</v>
      </c>
      <c r="R128" s="24">
        <v>1</v>
      </c>
      <c r="S128" s="24">
        <v>1</v>
      </c>
      <c r="T128" s="24">
        <v>1</v>
      </c>
      <c r="U128" s="26">
        <v>2</v>
      </c>
      <c r="V128" s="26">
        <v>1</v>
      </c>
      <c r="W128" s="27">
        <v>1</v>
      </c>
      <c r="X128" s="23"/>
      <c r="Y128" s="24"/>
      <c r="Z128" s="24"/>
      <c r="AA128" s="24"/>
      <c r="AB128" s="25"/>
      <c r="AC128" s="22"/>
      <c r="AD128" s="23"/>
      <c r="AE128" s="24"/>
      <c r="AF128" s="24"/>
      <c r="AG128" s="24"/>
      <c r="AH128" s="25"/>
      <c r="AI128" s="25"/>
      <c r="AJ128" s="54">
        <f t="shared" si="13"/>
        <v>17.5</v>
      </c>
      <c r="AK128" s="55">
        <f t="shared" si="14"/>
        <v>1.3</v>
      </c>
      <c r="AL128" s="55" t="str">
        <f t="shared" si="17"/>
        <v/>
      </c>
      <c r="AM128" s="56"/>
      <c r="AN128" s="168"/>
      <c r="AO128" s="168"/>
      <c r="AP128" s="168"/>
      <c r="AQ128" s="168"/>
      <c r="AR128" s="168"/>
      <c r="AS128" s="168"/>
      <c r="AT128" s="168"/>
      <c r="AU128" s="168"/>
      <c r="AV128" s="334">
        <f t="shared" si="16"/>
        <v>149</v>
      </c>
      <c r="AW128" s="232"/>
      <c r="AX128" s="213"/>
      <c r="AY128" s="134"/>
      <c r="AZ128" s="182"/>
      <c r="BA128" s="213"/>
      <c r="BB128" s="134"/>
      <c r="BC128" s="232"/>
      <c r="BD128" s="182"/>
      <c r="BE128" s="134"/>
      <c r="BF128" s="182"/>
      <c r="BG128" s="213"/>
      <c r="BH128" s="134"/>
      <c r="BI128" s="236">
        <f t="shared" si="18"/>
        <v>130</v>
      </c>
      <c r="BJ128" s="213">
        <v>40308</v>
      </c>
      <c r="BK128" s="134">
        <v>27.1</v>
      </c>
      <c r="BL128" s="232">
        <v>132</v>
      </c>
      <c r="BM128" s="213">
        <v>40675</v>
      </c>
      <c r="BN128" s="134">
        <v>9.3000000000000007</v>
      </c>
      <c r="BO128" s="168"/>
    </row>
    <row r="129" spans="1:67">
      <c r="A129" s="16" t="s">
        <v>33</v>
      </c>
      <c r="B129" s="65">
        <v>41065</v>
      </c>
      <c r="C129" s="24" t="s">
        <v>87</v>
      </c>
      <c r="D129" s="23">
        <v>22</v>
      </c>
      <c r="E129" s="24">
        <v>22</v>
      </c>
      <c r="F129" s="24">
        <v>27</v>
      </c>
      <c r="G129" s="24">
        <v>29</v>
      </c>
      <c r="H129" s="24">
        <v>10</v>
      </c>
      <c r="I129" s="24">
        <v>19</v>
      </c>
      <c r="J129" s="24">
        <v>19</v>
      </c>
      <c r="K129" s="26">
        <v>28</v>
      </c>
      <c r="L129" s="26">
        <v>22</v>
      </c>
      <c r="M129" s="27">
        <v>15</v>
      </c>
      <c r="N129" s="23">
        <v>2</v>
      </c>
      <c r="O129" s="24">
        <v>2</v>
      </c>
      <c r="P129" s="24">
        <v>2</v>
      </c>
      <c r="Q129" s="24">
        <v>2</v>
      </c>
      <c r="R129" s="24">
        <v>1</v>
      </c>
      <c r="S129" s="24">
        <v>1</v>
      </c>
      <c r="T129" s="24">
        <v>1</v>
      </c>
      <c r="U129" s="26">
        <v>2</v>
      </c>
      <c r="V129" s="26">
        <v>2</v>
      </c>
      <c r="W129" s="27">
        <v>1</v>
      </c>
      <c r="X129" s="23"/>
      <c r="Y129" s="24"/>
      <c r="Z129" s="24"/>
      <c r="AA129" s="24"/>
      <c r="AB129" s="25"/>
      <c r="AC129" s="22"/>
      <c r="AD129" s="23"/>
      <c r="AE129" s="24"/>
      <c r="AF129" s="24"/>
      <c r="AG129" s="24"/>
      <c r="AH129" s="25"/>
      <c r="AI129" s="25"/>
      <c r="AJ129" s="54">
        <f t="shared" si="13"/>
        <v>21.3</v>
      </c>
      <c r="AK129" s="55">
        <f t="shared" si="14"/>
        <v>1.6</v>
      </c>
      <c r="AL129" s="55" t="str">
        <f t="shared" si="17"/>
        <v/>
      </c>
      <c r="AM129" s="56"/>
      <c r="AN129" s="168"/>
      <c r="AO129" s="168"/>
      <c r="AP129" s="168"/>
      <c r="AQ129" s="168"/>
      <c r="AR129" s="168"/>
      <c r="AS129" s="168"/>
      <c r="AT129" s="168"/>
      <c r="AU129" s="168"/>
      <c r="AV129" s="334">
        <f t="shared" si="16"/>
        <v>157</v>
      </c>
      <c r="AW129" s="232"/>
      <c r="AX129" s="213"/>
      <c r="AY129" s="134"/>
      <c r="AZ129" s="182"/>
      <c r="BA129" s="213"/>
      <c r="BB129" s="134"/>
      <c r="BC129" s="232"/>
      <c r="BD129" s="182"/>
      <c r="BE129" s="134"/>
      <c r="BF129" s="182"/>
      <c r="BG129" s="213"/>
      <c r="BH129" s="134"/>
      <c r="BI129" s="236">
        <f t="shared" si="18"/>
        <v>144</v>
      </c>
      <c r="BJ129" s="213">
        <v>40322</v>
      </c>
      <c r="BK129" s="134">
        <v>41.5</v>
      </c>
      <c r="BL129" s="232">
        <v>137</v>
      </c>
      <c r="BM129" s="213">
        <v>40680</v>
      </c>
      <c r="BN129" s="134">
        <v>11.6</v>
      </c>
      <c r="BO129" s="168"/>
    </row>
    <row r="130" spans="1:67">
      <c r="A130" s="16" t="s">
        <v>33</v>
      </c>
      <c r="B130" s="65">
        <v>41071</v>
      </c>
      <c r="C130" s="24" t="s">
        <v>87</v>
      </c>
      <c r="D130" s="23">
        <v>29</v>
      </c>
      <c r="E130" s="24">
        <v>34</v>
      </c>
      <c r="F130" s="24">
        <v>36</v>
      </c>
      <c r="G130" s="24">
        <v>43</v>
      </c>
      <c r="H130" s="24">
        <v>10</v>
      </c>
      <c r="I130" s="24">
        <v>22</v>
      </c>
      <c r="J130" s="24">
        <v>23</v>
      </c>
      <c r="K130" s="26">
        <v>37</v>
      </c>
      <c r="L130" s="26">
        <v>33</v>
      </c>
      <c r="M130" s="27">
        <v>22</v>
      </c>
      <c r="N130" s="23">
        <v>2</v>
      </c>
      <c r="O130" s="24">
        <v>2</v>
      </c>
      <c r="P130" s="24">
        <v>2</v>
      </c>
      <c r="Q130" s="24">
        <v>2</v>
      </c>
      <c r="R130" s="24">
        <v>1</v>
      </c>
      <c r="S130" s="24">
        <v>2</v>
      </c>
      <c r="T130" s="24">
        <v>2</v>
      </c>
      <c r="U130" s="26">
        <v>2</v>
      </c>
      <c r="V130" s="26">
        <v>2</v>
      </c>
      <c r="W130" s="27">
        <v>2</v>
      </c>
      <c r="X130" s="23"/>
      <c r="Y130" s="24"/>
      <c r="Z130" s="24"/>
      <c r="AA130" s="24"/>
      <c r="AB130" s="25"/>
      <c r="AC130" s="22"/>
      <c r="AD130" s="23"/>
      <c r="AE130" s="24"/>
      <c r="AF130" s="24"/>
      <c r="AG130" s="24"/>
      <c r="AH130" s="25"/>
      <c r="AI130" s="25"/>
      <c r="AJ130" s="54">
        <f t="shared" si="13"/>
        <v>28.9</v>
      </c>
      <c r="AK130" s="55">
        <f t="shared" si="14"/>
        <v>1.9</v>
      </c>
      <c r="AL130" s="55" t="str">
        <f t="shared" si="17"/>
        <v/>
      </c>
      <c r="AM130" s="56"/>
      <c r="AN130" s="168"/>
      <c r="AO130" s="168"/>
      <c r="AP130" s="168"/>
      <c r="AQ130" s="168"/>
      <c r="AR130" s="168"/>
      <c r="AS130" s="168"/>
      <c r="AT130" s="168"/>
      <c r="AU130" s="168"/>
      <c r="AV130" s="334">
        <f t="shared" si="16"/>
        <v>163</v>
      </c>
      <c r="AW130" s="232"/>
      <c r="AX130" s="213"/>
      <c r="AY130" s="134"/>
      <c r="AZ130" s="182"/>
      <c r="BA130" s="213"/>
      <c r="BB130" s="134"/>
      <c r="BC130" s="232"/>
      <c r="BD130" s="182"/>
      <c r="BE130" s="134"/>
      <c r="BF130" s="182"/>
      <c r="BG130" s="213"/>
      <c r="BH130" s="134"/>
      <c r="BI130" s="236">
        <f t="shared" si="18"/>
        <v>147</v>
      </c>
      <c r="BJ130" s="213">
        <v>40325</v>
      </c>
      <c r="BK130" s="134">
        <v>47.6</v>
      </c>
      <c r="BL130" s="232">
        <v>140</v>
      </c>
      <c r="BM130" s="213">
        <v>40683</v>
      </c>
      <c r="BN130" s="134">
        <v>15.3</v>
      </c>
      <c r="BO130" s="168"/>
    </row>
    <row r="131" spans="1:67">
      <c r="A131" s="16" t="s">
        <v>33</v>
      </c>
      <c r="B131" s="65">
        <v>41078</v>
      </c>
      <c r="C131" s="24" t="s">
        <v>87</v>
      </c>
      <c r="D131" s="23">
        <v>49</v>
      </c>
      <c r="E131" s="24">
        <v>66</v>
      </c>
      <c r="F131" s="24">
        <v>67</v>
      </c>
      <c r="G131" s="24">
        <v>69</v>
      </c>
      <c r="H131" s="24">
        <v>10</v>
      </c>
      <c r="I131" s="24">
        <v>38</v>
      </c>
      <c r="J131" s="24">
        <v>43</v>
      </c>
      <c r="K131" s="26">
        <v>65</v>
      </c>
      <c r="L131" s="26">
        <v>67</v>
      </c>
      <c r="M131" s="27">
        <v>39</v>
      </c>
      <c r="N131" s="23">
        <v>2</v>
      </c>
      <c r="O131" s="24">
        <v>2</v>
      </c>
      <c r="P131" s="24">
        <v>2</v>
      </c>
      <c r="Q131" s="24">
        <v>2</v>
      </c>
      <c r="R131" s="24">
        <v>1</v>
      </c>
      <c r="S131" s="24">
        <v>2</v>
      </c>
      <c r="T131" s="24">
        <v>2</v>
      </c>
      <c r="U131" s="26">
        <v>2</v>
      </c>
      <c r="V131" s="26">
        <v>2</v>
      </c>
      <c r="W131" s="27">
        <v>2</v>
      </c>
      <c r="X131" s="23"/>
      <c r="Y131" s="24"/>
      <c r="Z131" s="24"/>
      <c r="AA131" s="24"/>
      <c r="AB131" s="25"/>
      <c r="AC131" s="22"/>
      <c r="AD131" s="23"/>
      <c r="AE131" s="24"/>
      <c r="AF131" s="24"/>
      <c r="AG131" s="24"/>
      <c r="AH131" s="25"/>
      <c r="AI131" s="25"/>
      <c r="AJ131" s="54">
        <f t="shared" si="13"/>
        <v>51.3</v>
      </c>
      <c r="AK131" s="55">
        <f>IF(COUNT(N131:W131)=0,"",AVERAGE(N131:W131))</f>
        <v>1.9</v>
      </c>
      <c r="AL131" s="55" t="str">
        <f t="shared" si="17"/>
        <v/>
      </c>
      <c r="AM131" s="56"/>
      <c r="AN131" s="168"/>
      <c r="AO131" s="168"/>
      <c r="AP131" s="168"/>
      <c r="AQ131" s="168"/>
      <c r="AR131" s="168"/>
      <c r="AS131" s="168"/>
      <c r="AT131" s="168"/>
      <c r="AU131" s="168"/>
      <c r="AV131" s="334">
        <f t="shared" si="16"/>
        <v>170</v>
      </c>
      <c r="AW131" s="232"/>
      <c r="AX131" s="213"/>
      <c r="AY131" s="134"/>
      <c r="AZ131" s="182"/>
      <c r="BA131" s="213"/>
      <c r="BB131" s="134"/>
      <c r="BC131" s="232"/>
      <c r="BD131" s="182"/>
      <c r="BE131" s="134"/>
      <c r="BF131" s="182"/>
      <c r="BG131" s="213"/>
      <c r="BH131" s="134"/>
      <c r="BI131" s="236">
        <f t="shared" si="18"/>
        <v>152</v>
      </c>
      <c r="BJ131" s="213">
        <v>40330</v>
      </c>
      <c r="BK131" s="134">
        <v>65</v>
      </c>
      <c r="BL131" s="232">
        <v>143</v>
      </c>
      <c r="BM131" s="213">
        <v>40686</v>
      </c>
      <c r="BN131" s="134">
        <v>18</v>
      </c>
      <c r="BO131" s="168"/>
    </row>
    <row r="132" spans="1:67">
      <c r="A132" s="16" t="s">
        <v>33</v>
      </c>
      <c r="B132" s="65">
        <v>41085</v>
      </c>
      <c r="C132" s="24" t="s">
        <v>88</v>
      </c>
      <c r="D132" s="23">
        <v>83</v>
      </c>
      <c r="E132" s="24">
        <v>105</v>
      </c>
      <c r="F132" s="24">
        <v>113</v>
      </c>
      <c r="G132" s="24">
        <v>95</v>
      </c>
      <c r="H132" s="24">
        <v>12</v>
      </c>
      <c r="I132" s="24">
        <v>63</v>
      </c>
      <c r="J132" s="24">
        <v>63</v>
      </c>
      <c r="K132" s="26">
        <v>97</v>
      </c>
      <c r="L132" s="26">
        <v>109</v>
      </c>
      <c r="M132" s="27">
        <v>72</v>
      </c>
      <c r="N132" s="23">
        <v>2</v>
      </c>
      <c r="O132" s="24">
        <v>2</v>
      </c>
      <c r="P132" s="24">
        <v>2</v>
      </c>
      <c r="Q132" s="24">
        <v>2</v>
      </c>
      <c r="R132" s="24">
        <v>1</v>
      </c>
      <c r="S132" s="24">
        <v>2</v>
      </c>
      <c r="T132" s="24">
        <v>2</v>
      </c>
      <c r="U132" s="26">
        <v>2</v>
      </c>
      <c r="V132" s="26">
        <v>2</v>
      </c>
      <c r="W132" s="27">
        <v>2</v>
      </c>
      <c r="X132" s="23"/>
      <c r="Y132" s="24"/>
      <c r="Z132" s="24"/>
      <c r="AA132" s="24"/>
      <c r="AB132" s="25"/>
      <c r="AC132" s="22"/>
      <c r="AD132" s="23"/>
      <c r="AE132" s="24"/>
      <c r="AF132" s="24"/>
      <c r="AG132" s="24"/>
      <c r="AH132" s="25"/>
      <c r="AI132" s="25"/>
      <c r="AJ132" s="54">
        <f t="shared" si="13"/>
        <v>81.2</v>
      </c>
      <c r="AK132" s="55">
        <f t="shared" si="14"/>
        <v>1.9</v>
      </c>
      <c r="AL132" s="55" t="str">
        <f t="shared" si="17"/>
        <v/>
      </c>
      <c r="AM132" s="56"/>
      <c r="AN132" s="168"/>
      <c r="AO132" s="168"/>
      <c r="AP132" s="168"/>
      <c r="AQ132" s="168"/>
      <c r="AR132" s="168"/>
      <c r="AS132" s="168"/>
      <c r="AT132" s="168"/>
      <c r="AU132" s="168"/>
      <c r="AV132" s="334">
        <f t="shared" si="16"/>
        <v>177</v>
      </c>
      <c r="AW132" s="232"/>
      <c r="AX132" s="213"/>
      <c r="AY132" s="134"/>
      <c r="AZ132" s="182"/>
      <c r="BA132" s="213"/>
      <c r="BB132" s="134"/>
      <c r="BC132" s="232"/>
      <c r="BD132" s="182"/>
      <c r="BE132" s="134"/>
      <c r="BF132" s="182"/>
      <c r="BG132" s="213"/>
      <c r="BH132" s="134"/>
      <c r="BI132" s="236">
        <f t="shared" si="18"/>
        <v>158</v>
      </c>
      <c r="BJ132" s="213">
        <v>40336</v>
      </c>
      <c r="BK132" s="134">
        <v>77.8</v>
      </c>
      <c r="BL132" s="232">
        <v>146</v>
      </c>
      <c r="BM132" s="213">
        <v>40689</v>
      </c>
      <c r="BN132" s="134">
        <v>21.4</v>
      </c>
      <c r="BO132" s="168"/>
    </row>
    <row r="133" spans="1:67">
      <c r="A133" s="16" t="s">
        <v>33</v>
      </c>
      <c r="B133" s="65">
        <v>41092</v>
      </c>
      <c r="C133" s="24" t="s">
        <v>89</v>
      </c>
      <c r="D133" s="23">
        <v>100</v>
      </c>
      <c r="E133" s="24">
        <v>119</v>
      </c>
      <c r="F133" s="24">
        <v>124</v>
      </c>
      <c r="G133" s="24">
        <v>98</v>
      </c>
      <c r="H133" s="24">
        <v>24</v>
      </c>
      <c r="I133" s="24">
        <v>70</v>
      </c>
      <c r="J133" s="24">
        <v>73</v>
      </c>
      <c r="K133" s="26">
        <v>106</v>
      </c>
      <c r="L133" s="26">
        <v>121</v>
      </c>
      <c r="M133" s="27">
        <v>96</v>
      </c>
      <c r="N133" s="23">
        <v>2</v>
      </c>
      <c r="O133" s="24">
        <v>2</v>
      </c>
      <c r="P133" s="24">
        <v>2</v>
      </c>
      <c r="Q133" s="24">
        <v>2</v>
      </c>
      <c r="R133" s="24">
        <v>1</v>
      </c>
      <c r="S133" s="24">
        <v>2</v>
      </c>
      <c r="T133" s="24">
        <v>2</v>
      </c>
      <c r="U133" s="26">
        <v>2</v>
      </c>
      <c r="V133" s="26">
        <v>2</v>
      </c>
      <c r="W133" s="27">
        <v>2</v>
      </c>
      <c r="X133" s="23"/>
      <c r="Y133" s="24"/>
      <c r="Z133" s="24"/>
      <c r="AA133" s="24"/>
      <c r="AB133" s="25"/>
      <c r="AC133" s="22"/>
      <c r="AD133" s="23"/>
      <c r="AE133" s="24"/>
      <c r="AF133" s="24"/>
      <c r="AG133" s="24"/>
      <c r="AH133" s="25"/>
      <c r="AI133" s="25"/>
      <c r="AJ133" s="54">
        <f t="shared" si="13"/>
        <v>93.1</v>
      </c>
      <c r="AK133" s="55">
        <f t="shared" si="14"/>
        <v>1.9</v>
      </c>
      <c r="AL133" s="55" t="str">
        <f t="shared" si="17"/>
        <v/>
      </c>
      <c r="AM133" s="56"/>
      <c r="AN133" s="168"/>
      <c r="AO133" s="168"/>
      <c r="AP133" s="168"/>
      <c r="AQ133" s="168"/>
      <c r="AR133" s="168"/>
      <c r="AS133" s="168"/>
      <c r="AT133" s="168"/>
      <c r="AU133" s="168"/>
      <c r="AV133" s="334">
        <f t="shared" si="16"/>
        <v>184</v>
      </c>
      <c r="AW133" s="232"/>
      <c r="AX133" s="213"/>
      <c r="AY133" s="134"/>
      <c r="AZ133" s="182"/>
      <c r="BA133" s="213"/>
      <c r="BB133" s="134"/>
      <c r="BC133" s="232"/>
      <c r="BD133" s="182"/>
      <c r="BE133" s="134"/>
      <c r="BF133" s="182"/>
      <c r="BG133" s="213"/>
      <c r="BH133" s="134"/>
      <c r="BI133" s="236">
        <f t="shared" si="18"/>
        <v>166</v>
      </c>
      <c r="BJ133" s="213">
        <v>40344</v>
      </c>
      <c r="BK133" s="134">
        <v>112</v>
      </c>
      <c r="BL133" s="232">
        <v>150</v>
      </c>
      <c r="BM133" s="213">
        <v>40693</v>
      </c>
      <c r="BN133" s="134">
        <v>23.6</v>
      </c>
      <c r="BO133" s="168"/>
    </row>
    <row r="134" spans="1:67">
      <c r="A134" s="16" t="s">
        <v>33</v>
      </c>
      <c r="B134" s="65">
        <v>41101</v>
      </c>
      <c r="C134" s="24" t="s">
        <v>89</v>
      </c>
      <c r="D134" s="23">
        <v>103</v>
      </c>
      <c r="E134" s="24">
        <v>120</v>
      </c>
      <c r="F134" s="24">
        <v>128</v>
      </c>
      <c r="G134" s="24">
        <v>99</v>
      </c>
      <c r="H134" s="24"/>
      <c r="I134" s="24">
        <v>71</v>
      </c>
      <c r="J134" s="24">
        <v>76</v>
      </c>
      <c r="K134" s="26">
        <v>108</v>
      </c>
      <c r="L134" s="26">
        <v>127</v>
      </c>
      <c r="M134" s="27">
        <v>101</v>
      </c>
      <c r="N134" s="23">
        <v>2</v>
      </c>
      <c r="O134" s="24">
        <v>2</v>
      </c>
      <c r="P134" s="24">
        <v>2</v>
      </c>
      <c r="Q134" s="24">
        <v>3</v>
      </c>
      <c r="R134" s="24"/>
      <c r="S134" s="24">
        <v>3</v>
      </c>
      <c r="T134" s="24">
        <v>3</v>
      </c>
      <c r="U134" s="26">
        <v>3</v>
      </c>
      <c r="V134" s="26">
        <v>3</v>
      </c>
      <c r="W134" s="23">
        <v>3</v>
      </c>
      <c r="X134" s="23"/>
      <c r="Y134" s="24"/>
      <c r="Z134" s="24"/>
      <c r="AA134" s="24"/>
      <c r="AB134" s="25"/>
      <c r="AC134" s="22"/>
      <c r="AD134" s="23"/>
      <c r="AE134" s="24"/>
      <c r="AF134" s="24"/>
      <c r="AG134" s="24"/>
      <c r="AH134" s="25"/>
      <c r="AI134" s="25"/>
      <c r="AJ134" s="54">
        <f t="shared" ref="AJ134:AJ154" si="19">IF(COUNT(D134:M134)=0,"",AVERAGE(D134:M134))</f>
        <v>103.66666666666667</v>
      </c>
      <c r="AK134" s="55">
        <f t="shared" ref="AK134:AK154" si="20">IF(COUNT(N134:W134)=0,"",AVERAGE(N134:W134))</f>
        <v>2.6666666666666665</v>
      </c>
      <c r="AL134" s="55" t="str">
        <f t="shared" si="17"/>
        <v/>
      </c>
      <c r="AM134" s="56"/>
      <c r="AN134" s="168"/>
      <c r="AO134" s="168"/>
      <c r="AP134" s="168"/>
      <c r="AQ134" s="168"/>
      <c r="AR134" s="168"/>
      <c r="AS134" s="168"/>
      <c r="AT134" s="168"/>
      <c r="AU134" s="168"/>
      <c r="AV134" s="334">
        <f t="shared" ref="AV134:AV154" si="21">IF(B134=0,AV133,B134-DATE(YEAR(B134)-1,12,31))</f>
        <v>193</v>
      </c>
      <c r="AW134" s="232"/>
      <c r="AX134" s="213"/>
      <c r="AY134" s="134"/>
      <c r="AZ134" s="182"/>
      <c r="BA134" s="213"/>
      <c r="BB134" s="134"/>
      <c r="BC134" s="232"/>
      <c r="BD134" s="182"/>
      <c r="BE134" s="134"/>
      <c r="BF134" s="182"/>
      <c r="BG134" s="213"/>
      <c r="BH134" s="134"/>
      <c r="BI134" s="236">
        <f t="shared" si="18"/>
        <v>173</v>
      </c>
      <c r="BJ134" s="213">
        <v>40351</v>
      </c>
      <c r="BK134" s="134">
        <v>134.6</v>
      </c>
      <c r="BL134" s="232">
        <v>154</v>
      </c>
      <c r="BM134" s="213">
        <v>40697</v>
      </c>
      <c r="BN134" s="134">
        <v>30.9</v>
      </c>
      <c r="BO134" s="168"/>
    </row>
    <row r="135" spans="1:67">
      <c r="A135" s="16" t="s">
        <v>33</v>
      </c>
      <c r="B135" s="65">
        <v>41116</v>
      </c>
      <c r="C135" s="24" t="s">
        <v>89</v>
      </c>
      <c r="D135" s="23">
        <v>105</v>
      </c>
      <c r="E135" s="24">
        <v>121</v>
      </c>
      <c r="F135" s="24">
        <v>131</v>
      </c>
      <c r="G135" s="24">
        <v>99</v>
      </c>
      <c r="H135" s="24"/>
      <c r="I135" s="24">
        <v>71</v>
      </c>
      <c r="J135" s="24">
        <v>76</v>
      </c>
      <c r="K135" s="26">
        <v>108</v>
      </c>
      <c r="L135" s="26">
        <v>127</v>
      </c>
      <c r="M135" s="27">
        <v>101</v>
      </c>
      <c r="N135" s="23">
        <v>3</v>
      </c>
      <c r="O135" s="24">
        <v>3</v>
      </c>
      <c r="P135" s="24">
        <v>3</v>
      </c>
      <c r="Q135" s="24">
        <v>3</v>
      </c>
      <c r="R135" s="24"/>
      <c r="S135" s="24">
        <v>3</v>
      </c>
      <c r="T135" s="24">
        <v>3</v>
      </c>
      <c r="U135" s="26">
        <v>3</v>
      </c>
      <c r="V135" s="26">
        <v>3</v>
      </c>
      <c r="W135" s="27">
        <v>3</v>
      </c>
      <c r="X135" s="23"/>
      <c r="Y135" s="24"/>
      <c r="Z135" s="24"/>
      <c r="AA135" s="24"/>
      <c r="AB135" s="25"/>
      <c r="AC135" s="22"/>
      <c r="AD135" s="23"/>
      <c r="AE135" s="24"/>
      <c r="AF135" s="24"/>
      <c r="AG135" s="24"/>
      <c r="AH135" s="25"/>
      <c r="AI135" s="25"/>
      <c r="AJ135" s="54">
        <f t="shared" si="19"/>
        <v>104.33333333333333</v>
      </c>
      <c r="AK135" s="55">
        <f t="shared" si="20"/>
        <v>3</v>
      </c>
      <c r="AL135" s="55" t="str">
        <f t="shared" ref="AL135:AL154" si="22">IF(COUNT(X135:AB135)=0,"",AVERAGE(X135:AB135))</f>
        <v/>
      </c>
      <c r="AM135" s="56"/>
      <c r="AN135" s="168"/>
      <c r="AO135" s="168"/>
      <c r="AP135" s="168"/>
      <c r="AQ135" s="168"/>
      <c r="AR135" s="168"/>
      <c r="AS135" s="168"/>
      <c r="AT135" s="168"/>
      <c r="AU135" s="168"/>
      <c r="AV135" s="334">
        <f t="shared" si="21"/>
        <v>208</v>
      </c>
      <c r="AW135" s="232"/>
      <c r="AX135" s="213"/>
      <c r="AY135" s="134"/>
      <c r="AZ135" s="182"/>
      <c r="BA135" s="213"/>
      <c r="BB135" s="134"/>
      <c r="BC135" s="232"/>
      <c r="BD135" s="182"/>
      <c r="BE135" s="134"/>
      <c r="BF135" s="182"/>
      <c r="BG135" s="213"/>
      <c r="BH135" s="134"/>
      <c r="BI135" s="236">
        <f t="shared" si="18"/>
        <v>182</v>
      </c>
      <c r="BJ135" s="213">
        <v>40360</v>
      </c>
      <c r="BK135" s="134">
        <v>143.19999999999999</v>
      </c>
      <c r="BL135" s="232">
        <v>158</v>
      </c>
      <c r="BM135" s="213">
        <v>40701</v>
      </c>
      <c r="BN135" s="134">
        <v>43.3</v>
      </c>
      <c r="BO135" s="168"/>
    </row>
    <row r="136" spans="1:67">
      <c r="A136" s="16" t="s">
        <v>33</v>
      </c>
      <c r="B136" s="65">
        <v>41124</v>
      </c>
      <c r="C136" s="24" t="s">
        <v>87</v>
      </c>
      <c r="D136" s="23">
        <v>105</v>
      </c>
      <c r="E136" s="24">
        <v>121</v>
      </c>
      <c r="F136" s="24">
        <v>131</v>
      </c>
      <c r="G136" s="24">
        <v>99</v>
      </c>
      <c r="H136" s="24"/>
      <c r="I136" s="24">
        <v>71</v>
      </c>
      <c r="J136" s="24">
        <v>76</v>
      </c>
      <c r="K136" s="26">
        <v>108</v>
      </c>
      <c r="L136" s="26">
        <v>127</v>
      </c>
      <c r="M136" s="27">
        <v>101</v>
      </c>
      <c r="N136" s="23">
        <v>3</v>
      </c>
      <c r="O136" s="24">
        <v>3</v>
      </c>
      <c r="P136" s="24">
        <v>3</v>
      </c>
      <c r="Q136" s="24">
        <v>3</v>
      </c>
      <c r="R136" s="24"/>
      <c r="S136" s="24">
        <v>3</v>
      </c>
      <c r="T136" s="24">
        <v>3</v>
      </c>
      <c r="U136" s="26">
        <v>3</v>
      </c>
      <c r="V136" s="26">
        <v>3</v>
      </c>
      <c r="W136" s="27">
        <v>3</v>
      </c>
      <c r="X136" s="23"/>
      <c r="Y136" s="24"/>
      <c r="Z136" s="24"/>
      <c r="AA136" s="24"/>
      <c r="AB136" s="25"/>
      <c r="AC136" s="22"/>
      <c r="AD136" s="23"/>
      <c r="AE136" s="24"/>
      <c r="AF136" s="24"/>
      <c r="AG136" s="24"/>
      <c r="AH136" s="25"/>
      <c r="AI136" s="25"/>
      <c r="AJ136" s="54">
        <f t="shared" si="19"/>
        <v>104.33333333333333</v>
      </c>
      <c r="AK136" s="55">
        <f t="shared" si="20"/>
        <v>3</v>
      </c>
      <c r="AL136" s="55" t="str">
        <f t="shared" si="22"/>
        <v/>
      </c>
      <c r="AM136" s="56"/>
      <c r="AN136" s="168"/>
      <c r="AO136" s="168"/>
      <c r="AP136" s="168"/>
      <c r="AQ136" s="168"/>
      <c r="AR136" s="168"/>
      <c r="AS136" s="168"/>
      <c r="AT136" s="168"/>
      <c r="AU136" s="168"/>
      <c r="AV136" s="334">
        <f t="shared" si="21"/>
        <v>216</v>
      </c>
      <c r="AW136" s="232"/>
      <c r="AX136" s="213"/>
      <c r="AY136" s="134"/>
      <c r="AZ136" s="182"/>
      <c r="BA136" s="213"/>
      <c r="BB136" s="134"/>
      <c r="BC136" s="232"/>
      <c r="BD136" s="182"/>
      <c r="BE136" s="134"/>
      <c r="BF136" s="182"/>
      <c r="BG136" s="213"/>
      <c r="BH136" s="134"/>
      <c r="BI136" s="236">
        <f t="shared" si="18"/>
        <v>187</v>
      </c>
      <c r="BJ136" s="213">
        <v>40365</v>
      </c>
      <c r="BK136" s="134">
        <v>150</v>
      </c>
      <c r="BL136" s="232">
        <v>164</v>
      </c>
      <c r="BM136" s="213">
        <v>40707</v>
      </c>
      <c r="BN136" s="134">
        <v>99.3</v>
      </c>
      <c r="BO136" s="168"/>
    </row>
    <row r="137" spans="1:67">
      <c r="A137" s="16" t="s">
        <v>33</v>
      </c>
      <c r="B137" s="65"/>
      <c r="C137" s="24"/>
      <c r="D137" s="23"/>
      <c r="E137" s="24"/>
      <c r="F137" s="24"/>
      <c r="G137" s="24"/>
      <c r="H137" s="24"/>
      <c r="I137" s="24"/>
      <c r="J137" s="24"/>
      <c r="K137" s="26"/>
      <c r="L137" s="26"/>
      <c r="M137" s="27"/>
      <c r="N137" s="23"/>
      <c r="O137" s="24"/>
      <c r="P137" s="24"/>
      <c r="Q137" s="24"/>
      <c r="R137" s="24"/>
      <c r="S137" s="24"/>
      <c r="T137" s="24"/>
      <c r="U137" s="26"/>
      <c r="V137" s="26"/>
      <c r="W137" s="27"/>
      <c r="X137" s="23"/>
      <c r="Y137" s="24"/>
      <c r="Z137" s="24"/>
      <c r="AA137" s="24"/>
      <c r="AB137" s="25"/>
      <c r="AC137" s="22"/>
      <c r="AD137" s="23"/>
      <c r="AE137" s="24"/>
      <c r="AF137" s="24"/>
      <c r="AG137" s="24"/>
      <c r="AH137" s="25"/>
      <c r="AI137" s="25"/>
      <c r="AJ137" s="54" t="str">
        <f t="shared" si="19"/>
        <v/>
      </c>
      <c r="AK137" s="55" t="str">
        <f t="shared" si="20"/>
        <v/>
      </c>
      <c r="AL137" s="55" t="str">
        <f t="shared" si="22"/>
        <v/>
      </c>
      <c r="AM137" s="56" t="str">
        <f t="shared" ref="AM137:AM154" si="23">IF(COUNT(AD137:AH137)=0,"",AVERAGE(AD137:AH137))</f>
        <v/>
      </c>
      <c r="AN137" s="168"/>
      <c r="AO137" s="168"/>
      <c r="AP137" s="168"/>
      <c r="AQ137" s="168"/>
      <c r="AR137" s="168"/>
      <c r="AS137" s="168"/>
      <c r="AT137" s="168"/>
      <c r="AU137" s="168"/>
      <c r="AV137" s="334">
        <f t="shared" si="21"/>
        <v>216</v>
      </c>
      <c r="AW137" s="232"/>
      <c r="AX137" s="213"/>
      <c r="AY137" s="134"/>
      <c r="AZ137" s="182"/>
      <c r="BA137" s="213"/>
      <c r="BB137" s="134"/>
      <c r="BC137" s="232"/>
      <c r="BD137" s="182"/>
      <c r="BE137" s="134"/>
      <c r="BF137" s="182"/>
      <c r="BG137" s="213"/>
      <c r="BH137" s="134"/>
      <c r="BI137" s="236">
        <f t="shared" si="18"/>
        <v>194</v>
      </c>
      <c r="BJ137" s="213">
        <v>40372</v>
      </c>
      <c r="BK137" s="134">
        <v>150.9</v>
      </c>
      <c r="BL137" s="232">
        <v>174</v>
      </c>
      <c r="BM137" s="213">
        <v>40717</v>
      </c>
      <c r="BN137" s="134">
        <v>125</v>
      </c>
      <c r="BO137" s="168"/>
    </row>
    <row r="138" spans="1:67">
      <c r="A138" s="16" t="s">
        <v>33</v>
      </c>
      <c r="B138" s="65"/>
      <c r="C138" s="24"/>
      <c r="D138" s="23"/>
      <c r="E138" s="24"/>
      <c r="F138" s="24"/>
      <c r="G138" s="24"/>
      <c r="H138" s="24"/>
      <c r="I138" s="24"/>
      <c r="J138" s="24"/>
      <c r="K138" s="26"/>
      <c r="L138" s="26"/>
      <c r="M138" s="27"/>
      <c r="N138" s="23"/>
      <c r="O138" s="24"/>
      <c r="P138" s="24"/>
      <c r="Q138" s="24"/>
      <c r="R138" s="24"/>
      <c r="S138" s="24"/>
      <c r="T138" s="24"/>
      <c r="U138" s="26"/>
      <c r="V138" s="26"/>
      <c r="W138" s="27"/>
      <c r="X138" s="23"/>
      <c r="Y138" s="24"/>
      <c r="Z138" s="24"/>
      <c r="AA138" s="24"/>
      <c r="AB138" s="25"/>
      <c r="AC138" s="22"/>
      <c r="AD138" s="23"/>
      <c r="AE138" s="24"/>
      <c r="AF138" s="24"/>
      <c r="AG138" s="24"/>
      <c r="AH138" s="25"/>
      <c r="AI138" s="25"/>
      <c r="AJ138" s="54" t="str">
        <f t="shared" si="19"/>
        <v/>
      </c>
      <c r="AK138" s="55" t="str">
        <f t="shared" si="20"/>
        <v/>
      </c>
      <c r="AL138" s="55" t="str">
        <f t="shared" si="22"/>
        <v/>
      </c>
      <c r="AM138" s="56" t="str">
        <f t="shared" si="23"/>
        <v/>
      </c>
      <c r="AN138" s="168"/>
      <c r="AO138" s="168"/>
      <c r="AP138" s="168"/>
      <c r="AQ138" s="168"/>
      <c r="AR138" s="168"/>
      <c r="AS138" s="168"/>
      <c r="AT138" s="168"/>
      <c r="AU138" s="168"/>
      <c r="AV138" s="334">
        <f t="shared" si="21"/>
        <v>216</v>
      </c>
      <c r="AW138" s="232"/>
      <c r="AX138" s="213"/>
      <c r="AY138" s="134"/>
      <c r="AZ138" s="182"/>
      <c r="BA138" s="213"/>
      <c r="BB138" s="134"/>
      <c r="BC138" s="232"/>
      <c r="BD138" s="182"/>
      <c r="BE138" s="134"/>
      <c r="BF138" s="182"/>
      <c r="BG138" s="213"/>
      <c r="BH138" s="134"/>
      <c r="BI138" s="236">
        <f t="shared" si="18"/>
        <v>202</v>
      </c>
      <c r="BJ138" s="213">
        <v>40380</v>
      </c>
      <c r="BK138" s="134">
        <v>152.1</v>
      </c>
      <c r="BL138" s="232">
        <v>181</v>
      </c>
      <c r="BM138" s="213">
        <v>40724</v>
      </c>
      <c r="BN138" s="134">
        <v>128.80000000000001</v>
      </c>
      <c r="BO138" s="168"/>
    </row>
    <row r="139" spans="1:67">
      <c r="A139" s="16" t="s">
        <v>33</v>
      </c>
      <c r="B139" s="65"/>
      <c r="C139" s="24"/>
      <c r="D139" s="23"/>
      <c r="E139" s="24"/>
      <c r="F139" s="24"/>
      <c r="G139" s="24"/>
      <c r="H139" s="24"/>
      <c r="I139" s="24"/>
      <c r="J139" s="24"/>
      <c r="K139" s="26"/>
      <c r="L139" s="26"/>
      <c r="M139" s="27"/>
      <c r="N139" s="23"/>
      <c r="O139" s="24"/>
      <c r="P139" s="24"/>
      <c r="Q139" s="24"/>
      <c r="R139" s="24"/>
      <c r="S139" s="24"/>
      <c r="T139" s="24"/>
      <c r="U139" s="26"/>
      <c r="V139" s="26"/>
      <c r="W139" s="27"/>
      <c r="X139" s="23"/>
      <c r="Y139" s="24"/>
      <c r="Z139" s="24"/>
      <c r="AA139" s="24"/>
      <c r="AB139" s="25"/>
      <c r="AC139" s="22"/>
      <c r="AD139" s="23"/>
      <c r="AE139" s="24"/>
      <c r="AF139" s="24"/>
      <c r="AG139" s="24"/>
      <c r="AH139" s="25"/>
      <c r="AI139" s="25"/>
      <c r="AJ139" s="54" t="str">
        <f t="shared" si="19"/>
        <v/>
      </c>
      <c r="AK139" s="55" t="str">
        <f t="shared" si="20"/>
        <v/>
      </c>
      <c r="AL139" s="55" t="str">
        <f t="shared" si="22"/>
        <v/>
      </c>
      <c r="AM139" s="56" t="str">
        <f t="shared" si="23"/>
        <v/>
      </c>
      <c r="AN139" s="168"/>
      <c r="AO139" s="168"/>
      <c r="AP139" s="168"/>
      <c r="AQ139" s="168"/>
      <c r="AR139" s="168"/>
      <c r="AS139" s="168"/>
      <c r="AT139" s="168"/>
      <c r="AU139" s="168"/>
      <c r="AV139" s="334">
        <f t="shared" si="21"/>
        <v>216</v>
      </c>
      <c r="AW139" s="232"/>
      <c r="AX139" s="213"/>
      <c r="AY139" s="134"/>
      <c r="AZ139" s="182"/>
      <c r="BA139" s="213"/>
      <c r="BB139" s="134"/>
      <c r="BC139" s="232"/>
      <c r="BD139" s="182"/>
      <c r="BE139" s="134"/>
      <c r="BF139" s="182"/>
      <c r="BG139" s="213"/>
      <c r="BH139" s="134"/>
      <c r="BI139" s="236">
        <f t="shared" si="18"/>
        <v>208</v>
      </c>
      <c r="BJ139" s="213">
        <v>40386</v>
      </c>
      <c r="BK139" s="134">
        <v>153.30000000000001</v>
      </c>
      <c r="BL139" s="232">
        <v>188</v>
      </c>
      <c r="BM139" s="213">
        <v>40731</v>
      </c>
      <c r="BN139" s="134">
        <v>134.19999999999999</v>
      </c>
      <c r="BO139" s="168"/>
    </row>
    <row r="140" spans="1:67">
      <c r="A140" s="16" t="s">
        <v>33</v>
      </c>
      <c r="B140" s="65"/>
      <c r="C140" s="24"/>
      <c r="D140" s="23"/>
      <c r="E140" s="24"/>
      <c r="F140" s="24"/>
      <c r="G140" s="24"/>
      <c r="H140" s="24"/>
      <c r="I140" s="24"/>
      <c r="J140" s="24"/>
      <c r="K140" s="26"/>
      <c r="L140" s="26"/>
      <c r="M140" s="27"/>
      <c r="N140" s="23"/>
      <c r="O140" s="24"/>
      <c r="P140" s="24"/>
      <c r="Q140" s="24"/>
      <c r="R140" s="24"/>
      <c r="S140" s="24"/>
      <c r="T140" s="24"/>
      <c r="U140" s="26"/>
      <c r="V140" s="26"/>
      <c r="W140" s="27"/>
      <c r="X140" s="23"/>
      <c r="Y140" s="24"/>
      <c r="Z140" s="24"/>
      <c r="AA140" s="24"/>
      <c r="AB140" s="25"/>
      <c r="AC140" s="22"/>
      <c r="AD140" s="23"/>
      <c r="AE140" s="24"/>
      <c r="AF140" s="24"/>
      <c r="AG140" s="24"/>
      <c r="AH140" s="25"/>
      <c r="AI140" s="25"/>
      <c r="AJ140" s="54" t="str">
        <f t="shared" si="19"/>
        <v/>
      </c>
      <c r="AK140" s="55" t="str">
        <f t="shared" si="20"/>
        <v/>
      </c>
      <c r="AL140" s="55" t="str">
        <f t="shared" si="22"/>
        <v/>
      </c>
      <c r="AM140" s="56" t="str">
        <f t="shared" si="23"/>
        <v/>
      </c>
      <c r="AN140" s="168"/>
      <c r="AO140" s="168"/>
      <c r="AP140" s="168"/>
      <c r="AQ140" s="168"/>
      <c r="AR140" s="168"/>
      <c r="AS140" s="168"/>
      <c r="AT140" s="168"/>
      <c r="AU140" s="168"/>
      <c r="AV140" s="334">
        <f t="shared" si="21"/>
        <v>216</v>
      </c>
      <c r="AW140" s="232"/>
      <c r="AX140" s="213"/>
      <c r="AY140" s="134"/>
      <c r="AZ140" s="182"/>
      <c r="BA140" s="213"/>
      <c r="BB140" s="134"/>
      <c r="BC140" s="232"/>
      <c r="BD140" s="182"/>
      <c r="BE140" s="134"/>
      <c r="BF140" s="182"/>
      <c r="BG140" s="213"/>
      <c r="BH140" s="134"/>
      <c r="BI140" s="236">
        <f t="shared" si="18"/>
        <v>215</v>
      </c>
      <c r="BJ140" s="213">
        <v>40393</v>
      </c>
      <c r="BK140" s="134">
        <v>153.4</v>
      </c>
      <c r="BL140" s="232">
        <v>193</v>
      </c>
      <c r="BM140" s="213">
        <v>40736</v>
      </c>
      <c r="BN140" s="134">
        <v>134.9</v>
      </c>
      <c r="BO140" s="168"/>
    </row>
    <row r="141" spans="1:67">
      <c r="A141" s="16" t="s">
        <v>33</v>
      </c>
      <c r="B141" s="65"/>
      <c r="C141" s="24"/>
      <c r="D141" s="23"/>
      <c r="E141" s="24"/>
      <c r="F141" s="24"/>
      <c r="G141" s="24"/>
      <c r="H141" s="24"/>
      <c r="I141" s="24"/>
      <c r="J141" s="24"/>
      <c r="K141" s="26"/>
      <c r="L141" s="26"/>
      <c r="M141" s="27"/>
      <c r="N141" s="23"/>
      <c r="O141" s="24"/>
      <c r="P141" s="24"/>
      <c r="Q141" s="24"/>
      <c r="R141" s="24"/>
      <c r="S141" s="24"/>
      <c r="T141" s="24"/>
      <c r="U141" s="26"/>
      <c r="V141" s="26"/>
      <c r="W141" s="27"/>
      <c r="X141" s="23"/>
      <c r="Y141" s="24"/>
      <c r="Z141" s="24"/>
      <c r="AA141" s="24"/>
      <c r="AB141" s="25"/>
      <c r="AC141" s="22"/>
      <c r="AD141" s="23"/>
      <c r="AE141" s="24"/>
      <c r="AF141" s="24"/>
      <c r="AG141" s="24"/>
      <c r="AH141" s="25"/>
      <c r="AI141" s="25"/>
      <c r="AJ141" s="54" t="str">
        <f t="shared" si="19"/>
        <v/>
      </c>
      <c r="AK141" s="55" t="str">
        <f t="shared" si="20"/>
        <v/>
      </c>
      <c r="AL141" s="55" t="str">
        <f t="shared" si="22"/>
        <v/>
      </c>
      <c r="AM141" s="56" t="str">
        <f t="shared" si="23"/>
        <v/>
      </c>
      <c r="AN141" s="168"/>
      <c r="AO141" s="168"/>
      <c r="AP141" s="168"/>
      <c r="AQ141" s="168"/>
      <c r="AR141" s="168"/>
      <c r="AS141" s="168"/>
      <c r="AT141" s="168"/>
      <c r="AU141" s="168"/>
      <c r="AV141" s="334">
        <f t="shared" si="21"/>
        <v>216</v>
      </c>
      <c r="AW141" s="232"/>
      <c r="AX141" s="213"/>
      <c r="AY141" s="134"/>
      <c r="AZ141" s="182"/>
      <c r="BA141" s="213"/>
      <c r="BB141" s="134"/>
      <c r="BC141" s="232"/>
      <c r="BD141" s="182"/>
      <c r="BE141" s="134"/>
      <c r="BF141" s="182"/>
      <c r="BG141" s="213"/>
      <c r="BH141" s="134"/>
      <c r="BI141" s="236">
        <f t="shared" si="18"/>
        <v>222</v>
      </c>
      <c r="BJ141" s="213">
        <v>40400</v>
      </c>
      <c r="BK141" s="134">
        <v>153.6</v>
      </c>
      <c r="BL141" s="232">
        <v>200</v>
      </c>
      <c r="BM141" s="213">
        <v>40743</v>
      </c>
      <c r="BN141" s="134">
        <v>135.4</v>
      </c>
      <c r="BO141" s="168"/>
    </row>
    <row r="142" spans="1:67">
      <c r="A142" s="16" t="s">
        <v>33</v>
      </c>
      <c r="B142" s="65"/>
      <c r="C142" s="24"/>
      <c r="D142" s="23"/>
      <c r="E142" s="24"/>
      <c r="F142" s="24"/>
      <c r="G142" s="24"/>
      <c r="H142" s="24"/>
      <c r="I142" s="24"/>
      <c r="J142" s="24"/>
      <c r="K142" s="26"/>
      <c r="L142" s="26"/>
      <c r="M142" s="27"/>
      <c r="N142" s="23"/>
      <c r="O142" s="24"/>
      <c r="P142" s="24"/>
      <c r="Q142" s="24"/>
      <c r="R142" s="24"/>
      <c r="S142" s="24"/>
      <c r="T142" s="24"/>
      <c r="U142" s="26"/>
      <c r="V142" s="26"/>
      <c r="W142" s="27"/>
      <c r="X142" s="23"/>
      <c r="Y142" s="24"/>
      <c r="Z142" s="24"/>
      <c r="AA142" s="24"/>
      <c r="AB142" s="25"/>
      <c r="AC142" s="22"/>
      <c r="AD142" s="23"/>
      <c r="AE142" s="24"/>
      <c r="AF142" s="24"/>
      <c r="AG142" s="24"/>
      <c r="AH142" s="25"/>
      <c r="AI142" s="25"/>
      <c r="AJ142" s="54" t="str">
        <f t="shared" si="19"/>
        <v/>
      </c>
      <c r="AK142" s="55" t="str">
        <f t="shared" si="20"/>
        <v/>
      </c>
      <c r="AL142" s="55" t="str">
        <f t="shared" si="22"/>
        <v/>
      </c>
      <c r="AM142" s="56" t="str">
        <f t="shared" si="23"/>
        <v/>
      </c>
      <c r="AN142" s="168"/>
      <c r="AO142" s="168"/>
      <c r="AP142" s="168"/>
      <c r="AQ142" s="168"/>
      <c r="AR142" s="168"/>
      <c r="AS142" s="168"/>
      <c r="AT142" s="168"/>
      <c r="AU142" s="168"/>
      <c r="AV142" s="334">
        <f t="shared" si="21"/>
        <v>216</v>
      </c>
      <c r="AW142" s="232"/>
      <c r="AX142" s="213"/>
      <c r="AY142" s="134"/>
      <c r="AZ142" s="182"/>
      <c r="BA142" s="213"/>
      <c r="BB142" s="134"/>
      <c r="BC142" s="232"/>
      <c r="BD142" s="182"/>
      <c r="BE142" s="134"/>
      <c r="BF142" s="182"/>
      <c r="BG142" s="213"/>
      <c r="BH142" s="134"/>
      <c r="BI142" s="236"/>
      <c r="BJ142" s="213"/>
      <c r="BK142" s="134" t="s">
        <v>59</v>
      </c>
      <c r="BL142" s="232">
        <v>207</v>
      </c>
      <c r="BM142" s="213">
        <v>40750</v>
      </c>
      <c r="BN142" s="134">
        <v>135.6</v>
      </c>
      <c r="BO142" s="168"/>
    </row>
    <row r="143" spans="1:67">
      <c r="A143" s="16" t="s">
        <v>33</v>
      </c>
      <c r="B143" s="65"/>
      <c r="C143" s="24"/>
      <c r="D143" s="23"/>
      <c r="E143" s="24"/>
      <c r="F143" s="24"/>
      <c r="G143" s="24"/>
      <c r="H143" s="24"/>
      <c r="I143" s="24"/>
      <c r="J143" s="24"/>
      <c r="K143" s="26"/>
      <c r="L143" s="26"/>
      <c r="M143" s="27"/>
      <c r="N143" s="23"/>
      <c r="O143" s="24"/>
      <c r="P143" s="24"/>
      <c r="Q143" s="24"/>
      <c r="R143" s="24"/>
      <c r="S143" s="24"/>
      <c r="T143" s="24"/>
      <c r="U143" s="26"/>
      <c r="V143" s="26"/>
      <c r="W143" s="27"/>
      <c r="X143" s="23"/>
      <c r="Y143" s="24"/>
      <c r="Z143" s="24"/>
      <c r="AA143" s="24"/>
      <c r="AB143" s="25"/>
      <c r="AC143" s="22"/>
      <c r="AD143" s="23"/>
      <c r="AE143" s="24"/>
      <c r="AF143" s="24"/>
      <c r="AG143" s="24"/>
      <c r="AH143" s="25"/>
      <c r="AI143" s="25"/>
      <c r="AJ143" s="54" t="str">
        <f t="shared" si="19"/>
        <v/>
      </c>
      <c r="AK143" s="55" t="str">
        <f t="shared" si="20"/>
        <v/>
      </c>
      <c r="AL143" s="55" t="str">
        <f t="shared" si="22"/>
        <v/>
      </c>
      <c r="AM143" s="56" t="str">
        <f t="shared" si="23"/>
        <v/>
      </c>
      <c r="AN143" s="168"/>
      <c r="AO143" s="168"/>
      <c r="AP143" s="168"/>
      <c r="AQ143" s="168"/>
      <c r="AR143" s="168"/>
      <c r="AS143" s="168"/>
      <c r="AT143" s="168"/>
      <c r="AU143" s="168"/>
      <c r="AV143" s="334">
        <f t="shared" si="21"/>
        <v>216</v>
      </c>
      <c r="AW143" s="232"/>
      <c r="AX143" s="213"/>
      <c r="AY143" s="134"/>
      <c r="AZ143" s="182"/>
      <c r="BA143" s="213"/>
      <c r="BB143" s="134"/>
      <c r="BC143" s="232"/>
      <c r="BD143" s="182"/>
      <c r="BE143" s="134"/>
      <c r="BF143" s="182"/>
      <c r="BG143" s="213"/>
      <c r="BH143" s="134"/>
      <c r="BI143" s="236"/>
      <c r="BJ143" s="213"/>
      <c r="BK143" s="134" t="s">
        <v>59</v>
      </c>
      <c r="BL143" s="232">
        <v>214</v>
      </c>
      <c r="BM143" s="213">
        <v>40757</v>
      </c>
      <c r="BN143" s="134">
        <v>135.6</v>
      </c>
      <c r="BO143" s="168"/>
    </row>
    <row r="144" spans="1:67">
      <c r="A144" s="16" t="s">
        <v>33</v>
      </c>
      <c r="B144" s="65"/>
      <c r="C144" s="24"/>
      <c r="D144" s="23"/>
      <c r="E144" s="24"/>
      <c r="F144" s="24"/>
      <c r="G144" s="24"/>
      <c r="H144" s="24"/>
      <c r="I144" s="24"/>
      <c r="J144" s="24"/>
      <c r="K144" s="26"/>
      <c r="L144" s="26"/>
      <c r="M144" s="27"/>
      <c r="N144" s="23"/>
      <c r="O144" s="24"/>
      <c r="P144" s="24"/>
      <c r="Q144" s="24"/>
      <c r="R144" s="24"/>
      <c r="S144" s="24"/>
      <c r="T144" s="24"/>
      <c r="U144" s="26"/>
      <c r="V144" s="26"/>
      <c r="W144" s="27"/>
      <c r="X144" s="23"/>
      <c r="Y144" s="24"/>
      <c r="Z144" s="24"/>
      <c r="AA144" s="24"/>
      <c r="AB144" s="25"/>
      <c r="AC144" s="22"/>
      <c r="AD144" s="23"/>
      <c r="AE144" s="24"/>
      <c r="AF144" s="24"/>
      <c r="AG144" s="24"/>
      <c r="AH144" s="25"/>
      <c r="AI144" s="25"/>
      <c r="AJ144" s="54" t="str">
        <f t="shared" si="19"/>
        <v/>
      </c>
      <c r="AK144" s="55" t="str">
        <f t="shared" si="20"/>
        <v/>
      </c>
      <c r="AL144" s="55" t="str">
        <f t="shared" si="22"/>
        <v/>
      </c>
      <c r="AM144" s="56" t="str">
        <f t="shared" si="23"/>
        <v/>
      </c>
      <c r="AN144" s="168"/>
      <c r="AO144" s="168"/>
      <c r="AP144" s="168"/>
      <c r="AQ144" s="168"/>
      <c r="AR144" s="168"/>
      <c r="AS144" s="168"/>
      <c r="AT144" s="168"/>
      <c r="AU144" s="168"/>
      <c r="AV144" s="334">
        <f t="shared" si="21"/>
        <v>216</v>
      </c>
      <c r="AW144" s="232"/>
      <c r="AX144" s="213"/>
      <c r="AY144" s="134"/>
      <c r="AZ144" s="182"/>
      <c r="BA144" s="213"/>
      <c r="BB144" s="134"/>
      <c r="BC144" s="232"/>
      <c r="BD144" s="182"/>
      <c r="BE144" s="134"/>
      <c r="BF144" s="182"/>
      <c r="BG144" s="213"/>
      <c r="BH144" s="134"/>
      <c r="BI144" s="236"/>
      <c r="BJ144" s="213"/>
      <c r="BK144" s="134" t="s">
        <v>59</v>
      </c>
      <c r="BL144" s="232">
        <v>220</v>
      </c>
      <c r="BM144" s="213">
        <v>40763</v>
      </c>
      <c r="BN144" s="134">
        <v>135.6</v>
      </c>
      <c r="BO144" s="168"/>
    </row>
    <row r="145" spans="1:67">
      <c r="A145" s="16" t="s">
        <v>33</v>
      </c>
      <c r="B145" s="65"/>
      <c r="C145" s="24"/>
      <c r="D145" s="23"/>
      <c r="E145" s="24"/>
      <c r="F145" s="24"/>
      <c r="G145" s="24"/>
      <c r="H145" s="24"/>
      <c r="I145" s="24"/>
      <c r="J145" s="24"/>
      <c r="K145" s="26"/>
      <c r="L145" s="26"/>
      <c r="M145" s="27"/>
      <c r="N145" s="23"/>
      <c r="O145" s="24"/>
      <c r="P145" s="24"/>
      <c r="Q145" s="24"/>
      <c r="R145" s="24"/>
      <c r="S145" s="24"/>
      <c r="T145" s="24"/>
      <c r="U145" s="26"/>
      <c r="V145" s="26"/>
      <c r="W145" s="27"/>
      <c r="X145" s="23"/>
      <c r="Y145" s="24"/>
      <c r="Z145" s="24"/>
      <c r="AA145" s="24"/>
      <c r="AB145" s="25"/>
      <c r="AC145" s="22"/>
      <c r="AD145" s="23"/>
      <c r="AE145" s="24"/>
      <c r="AF145" s="24"/>
      <c r="AG145" s="24"/>
      <c r="AH145" s="25"/>
      <c r="AI145" s="25"/>
      <c r="AJ145" s="54" t="str">
        <f t="shared" si="19"/>
        <v/>
      </c>
      <c r="AK145" s="55" t="str">
        <f t="shared" si="20"/>
        <v/>
      </c>
      <c r="AL145" s="55" t="str">
        <f t="shared" si="22"/>
        <v/>
      </c>
      <c r="AM145" s="56" t="str">
        <f t="shared" si="23"/>
        <v/>
      </c>
      <c r="AN145" s="168"/>
      <c r="AO145" s="168"/>
      <c r="AP145" s="168"/>
      <c r="AQ145" s="168"/>
      <c r="AR145" s="168"/>
      <c r="AS145" s="168"/>
      <c r="AT145" s="168"/>
      <c r="AU145" s="168"/>
      <c r="AV145" s="334">
        <f t="shared" si="21"/>
        <v>216</v>
      </c>
      <c r="AW145" s="232"/>
      <c r="AX145" s="213"/>
      <c r="AY145" s="134"/>
      <c r="AZ145" s="182"/>
      <c r="BA145" s="213"/>
      <c r="BB145" s="134"/>
      <c r="BC145" s="232"/>
      <c r="BD145" s="182"/>
      <c r="BE145" s="134"/>
      <c r="BF145" s="182"/>
      <c r="BG145" s="213"/>
      <c r="BH145" s="134"/>
      <c r="BI145" s="236"/>
      <c r="BJ145" s="213"/>
      <c r="BK145" s="134" t="s">
        <v>59</v>
      </c>
      <c r="BL145" s="232">
        <v>220</v>
      </c>
      <c r="BM145" s="213"/>
      <c r="BN145" s="134" t="s">
        <v>59</v>
      </c>
      <c r="BO145" s="168"/>
    </row>
    <row r="146" spans="1:67">
      <c r="A146" s="16" t="s">
        <v>33</v>
      </c>
      <c r="B146" s="65"/>
      <c r="C146" s="24"/>
      <c r="D146" s="23"/>
      <c r="E146" s="24"/>
      <c r="F146" s="24"/>
      <c r="G146" s="24"/>
      <c r="H146" s="24"/>
      <c r="I146" s="24"/>
      <c r="J146" s="24"/>
      <c r="K146" s="26"/>
      <c r="L146" s="26"/>
      <c r="M146" s="27"/>
      <c r="N146" s="23"/>
      <c r="O146" s="24"/>
      <c r="P146" s="24"/>
      <c r="Q146" s="24"/>
      <c r="R146" s="24"/>
      <c r="S146" s="24"/>
      <c r="T146" s="24"/>
      <c r="U146" s="26"/>
      <c r="V146" s="26"/>
      <c r="W146" s="27"/>
      <c r="X146" s="23"/>
      <c r="Y146" s="24"/>
      <c r="Z146" s="24"/>
      <c r="AA146" s="24"/>
      <c r="AB146" s="25"/>
      <c r="AC146" s="22"/>
      <c r="AD146" s="23"/>
      <c r="AE146" s="24"/>
      <c r="AF146" s="24"/>
      <c r="AG146" s="24"/>
      <c r="AH146" s="25"/>
      <c r="AI146" s="25"/>
      <c r="AJ146" s="54" t="str">
        <f t="shared" si="19"/>
        <v/>
      </c>
      <c r="AK146" s="55" t="str">
        <f t="shared" si="20"/>
        <v/>
      </c>
      <c r="AL146" s="55" t="str">
        <f t="shared" si="22"/>
        <v/>
      </c>
      <c r="AM146" s="56" t="str">
        <f t="shared" si="23"/>
        <v/>
      </c>
      <c r="AN146" s="168"/>
      <c r="AO146" s="168"/>
      <c r="AP146" s="168"/>
      <c r="AQ146" s="168"/>
      <c r="AR146" s="168"/>
      <c r="AS146" s="168"/>
      <c r="AT146" s="168"/>
      <c r="AU146" s="168"/>
      <c r="AV146" s="334">
        <f t="shared" si="21"/>
        <v>216</v>
      </c>
      <c r="AW146" s="232"/>
      <c r="AX146" s="213"/>
      <c r="AY146" s="134"/>
      <c r="AZ146" s="182"/>
      <c r="BA146" s="213"/>
      <c r="BB146" s="134"/>
      <c r="BC146" s="232"/>
      <c r="BD146" s="182"/>
      <c r="BE146" s="134"/>
      <c r="BF146" s="182"/>
      <c r="BG146" s="213"/>
      <c r="BH146" s="134"/>
      <c r="BI146" s="236"/>
      <c r="BJ146" s="213"/>
      <c r="BK146" s="134" t="s">
        <v>59</v>
      </c>
      <c r="BL146" s="232">
        <v>220</v>
      </c>
      <c r="BM146" s="213"/>
      <c r="BN146" s="134" t="s">
        <v>59</v>
      </c>
      <c r="BO146" s="168"/>
    </row>
    <row r="147" spans="1:67">
      <c r="A147" s="16" t="s">
        <v>33</v>
      </c>
      <c r="B147" s="65"/>
      <c r="C147" s="24"/>
      <c r="D147" s="23"/>
      <c r="E147" s="24"/>
      <c r="F147" s="24"/>
      <c r="G147" s="24"/>
      <c r="H147" s="24"/>
      <c r="I147" s="24"/>
      <c r="J147" s="24"/>
      <c r="K147" s="26"/>
      <c r="L147" s="26"/>
      <c r="M147" s="27"/>
      <c r="N147" s="23"/>
      <c r="O147" s="24"/>
      <c r="P147" s="24"/>
      <c r="Q147" s="24"/>
      <c r="R147" s="24"/>
      <c r="S147" s="24"/>
      <c r="T147" s="24"/>
      <c r="U147" s="26"/>
      <c r="V147" s="26"/>
      <c r="W147" s="27"/>
      <c r="X147" s="23"/>
      <c r="Y147" s="24"/>
      <c r="Z147" s="24"/>
      <c r="AA147" s="24"/>
      <c r="AB147" s="25"/>
      <c r="AC147" s="22"/>
      <c r="AD147" s="23"/>
      <c r="AE147" s="24"/>
      <c r="AF147" s="24"/>
      <c r="AG147" s="24"/>
      <c r="AH147" s="25"/>
      <c r="AI147" s="25"/>
      <c r="AJ147" s="54" t="str">
        <f t="shared" si="19"/>
        <v/>
      </c>
      <c r="AK147" s="55" t="str">
        <f t="shared" si="20"/>
        <v/>
      </c>
      <c r="AL147" s="55" t="str">
        <f t="shared" si="22"/>
        <v/>
      </c>
      <c r="AM147" s="56" t="str">
        <f t="shared" si="23"/>
        <v/>
      </c>
      <c r="AN147" s="168"/>
      <c r="AO147" s="168"/>
      <c r="AP147" s="168"/>
      <c r="AQ147" s="168"/>
      <c r="AR147" s="168"/>
      <c r="AS147" s="168"/>
      <c r="AT147" s="168"/>
      <c r="AU147" s="168"/>
      <c r="AV147" s="334">
        <f t="shared" si="21"/>
        <v>216</v>
      </c>
      <c r="AW147" s="232"/>
      <c r="AX147" s="213"/>
      <c r="AY147" s="134"/>
      <c r="AZ147" s="182"/>
      <c r="BA147" s="213"/>
      <c r="BB147" s="134"/>
      <c r="BC147" s="232"/>
      <c r="BD147" s="182"/>
      <c r="BE147" s="134"/>
      <c r="BF147" s="182"/>
      <c r="BG147" s="213"/>
      <c r="BH147" s="134"/>
      <c r="BI147" s="236"/>
      <c r="BJ147" s="213"/>
      <c r="BK147" s="134" t="s">
        <v>59</v>
      </c>
      <c r="BL147" s="232">
        <v>220</v>
      </c>
      <c r="BM147" s="213"/>
      <c r="BN147" s="134" t="s">
        <v>59</v>
      </c>
      <c r="BO147" s="168"/>
    </row>
    <row r="148" spans="1:67">
      <c r="A148" s="16" t="s">
        <v>33</v>
      </c>
      <c r="B148" s="65"/>
      <c r="C148" s="24"/>
      <c r="D148" s="23"/>
      <c r="E148" s="24"/>
      <c r="F148" s="24"/>
      <c r="G148" s="24"/>
      <c r="H148" s="24"/>
      <c r="I148" s="24"/>
      <c r="J148" s="24"/>
      <c r="K148" s="26"/>
      <c r="L148" s="26"/>
      <c r="M148" s="27"/>
      <c r="N148" s="23"/>
      <c r="O148" s="24"/>
      <c r="P148" s="24"/>
      <c r="Q148" s="24"/>
      <c r="R148" s="24"/>
      <c r="S148" s="24"/>
      <c r="T148" s="24"/>
      <c r="U148" s="26"/>
      <c r="V148" s="26"/>
      <c r="W148" s="27"/>
      <c r="X148" s="23"/>
      <c r="Y148" s="24"/>
      <c r="Z148" s="24"/>
      <c r="AA148" s="24"/>
      <c r="AB148" s="25"/>
      <c r="AC148" s="22"/>
      <c r="AD148" s="23"/>
      <c r="AE148" s="24"/>
      <c r="AF148" s="24"/>
      <c r="AG148" s="24"/>
      <c r="AH148" s="25"/>
      <c r="AI148" s="25"/>
      <c r="AJ148" s="54" t="str">
        <f t="shared" si="19"/>
        <v/>
      </c>
      <c r="AK148" s="55" t="str">
        <f t="shared" si="20"/>
        <v/>
      </c>
      <c r="AL148" s="55" t="str">
        <f t="shared" si="22"/>
        <v/>
      </c>
      <c r="AM148" s="56" t="str">
        <f t="shared" si="23"/>
        <v/>
      </c>
      <c r="AN148" s="168"/>
      <c r="AO148" s="168"/>
      <c r="AP148" s="168"/>
      <c r="AQ148" s="168"/>
      <c r="AR148" s="168"/>
      <c r="AS148" s="168"/>
      <c r="AT148" s="168"/>
      <c r="AU148" s="168"/>
      <c r="AV148" s="334">
        <f t="shared" si="21"/>
        <v>216</v>
      </c>
      <c r="AW148" s="232"/>
      <c r="AX148" s="213"/>
      <c r="AY148" s="134"/>
      <c r="AZ148" s="182"/>
      <c r="BA148" s="213"/>
      <c r="BB148" s="134"/>
      <c r="BC148" s="232"/>
      <c r="BD148" s="182"/>
      <c r="BE148" s="134"/>
      <c r="BF148" s="182"/>
      <c r="BG148" s="213"/>
      <c r="BH148" s="134"/>
      <c r="BI148" s="236"/>
      <c r="BJ148" s="213"/>
      <c r="BK148" s="134" t="s">
        <v>59</v>
      </c>
      <c r="BL148" s="232">
        <v>220</v>
      </c>
      <c r="BM148" s="213"/>
      <c r="BN148" s="134" t="s">
        <v>59</v>
      </c>
      <c r="BO148" s="168"/>
    </row>
    <row r="149" spans="1:67">
      <c r="A149" s="16" t="s">
        <v>33</v>
      </c>
      <c r="B149" s="65"/>
      <c r="C149" s="24"/>
      <c r="D149" s="23"/>
      <c r="E149" s="24"/>
      <c r="F149" s="24"/>
      <c r="G149" s="24"/>
      <c r="H149" s="24"/>
      <c r="I149" s="24"/>
      <c r="J149" s="24"/>
      <c r="K149" s="26"/>
      <c r="L149" s="26"/>
      <c r="M149" s="27"/>
      <c r="N149" s="23"/>
      <c r="O149" s="24"/>
      <c r="P149" s="24"/>
      <c r="Q149" s="24"/>
      <c r="R149" s="24"/>
      <c r="S149" s="24"/>
      <c r="T149" s="24"/>
      <c r="U149" s="26"/>
      <c r="V149" s="26"/>
      <c r="W149" s="27"/>
      <c r="X149" s="23"/>
      <c r="Y149" s="24"/>
      <c r="Z149" s="24"/>
      <c r="AA149" s="24"/>
      <c r="AB149" s="25"/>
      <c r="AC149" s="22"/>
      <c r="AD149" s="23"/>
      <c r="AE149" s="24"/>
      <c r="AF149" s="24"/>
      <c r="AG149" s="24"/>
      <c r="AH149" s="25"/>
      <c r="AI149" s="25"/>
      <c r="AJ149" s="54" t="str">
        <f t="shared" si="19"/>
        <v/>
      </c>
      <c r="AK149" s="55" t="str">
        <f t="shared" si="20"/>
        <v/>
      </c>
      <c r="AL149" s="55" t="str">
        <f t="shared" si="22"/>
        <v/>
      </c>
      <c r="AM149" s="56" t="str">
        <f t="shared" si="23"/>
        <v/>
      </c>
      <c r="AN149" s="168"/>
      <c r="AO149" s="168"/>
      <c r="AP149" s="168"/>
      <c r="AQ149" s="168"/>
      <c r="AR149" s="168"/>
      <c r="AS149" s="168"/>
      <c r="AT149" s="168"/>
      <c r="AU149" s="168"/>
      <c r="AV149" s="334">
        <f t="shared" si="21"/>
        <v>216</v>
      </c>
      <c r="AW149" s="232"/>
      <c r="AX149" s="213"/>
      <c r="AY149" s="134"/>
      <c r="AZ149" s="182"/>
      <c r="BA149" s="213"/>
      <c r="BB149" s="134"/>
      <c r="BC149" s="232"/>
      <c r="BD149" s="182"/>
      <c r="BE149" s="134"/>
      <c r="BF149" s="182"/>
      <c r="BG149" s="213"/>
      <c r="BH149" s="134"/>
      <c r="BI149" s="236"/>
      <c r="BJ149" s="213"/>
      <c r="BK149" s="134" t="s">
        <v>59</v>
      </c>
      <c r="BL149" s="232">
        <v>220</v>
      </c>
      <c r="BM149" s="213"/>
      <c r="BN149" s="134" t="s">
        <v>59</v>
      </c>
      <c r="BO149" s="168"/>
    </row>
    <row r="150" spans="1:67">
      <c r="A150" s="16" t="s">
        <v>33</v>
      </c>
      <c r="B150" s="65"/>
      <c r="C150" s="24"/>
      <c r="D150" s="23"/>
      <c r="E150" s="24"/>
      <c r="F150" s="24"/>
      <c r="G150" s="24"/>
      <c r="H150" s="24"/>
      <c r="I150" s="24"/>
      <c r="J150" s="24"/>
      <c r="K150" s="26"/>
      <c r="L150" s="26"/>
      <c r="M150" s="27"/>
      <c r="N150" s="23"/>
      <c r="O150" s="24"/>
      <c r="P150" s="24"/>
      <c r="Q150" s="24"/>
      <c r="R150" s="24"/>
      <c r="S150" s="24"/>
      <c r="T150" s="24"/>
      <c r="U150" s="26"/>
      <c r="V150" s="26"/>
      <c r="W150" s="27"/>
      <c r="X150" s="23"/>
      <c r="Y150" s="24"/>
      <c r="Z150" s="24"/>
      <c r="AA150" s="24"/>
      <c r="AB150" s="25"/>
      <c r="AC150" s="22"/>
      <c r="AD150" s="23"/>
      <c r="AE150" s="24"/>
      <c r="AF150" s="24"/>
      <c r="AG150" s="24"/>
      <c r="AH150" s="25"/>
      <c r="AI150" s="25"/>
      <c r="AJ150" s="54" t="str">
        <f t="shared" si="19"/>
        <v/>
      </c>
      <c r="AK150" s="55" t="str">
        <f t="shared" si="20"/>
        <v/>
      </c>
      <c r="AL150" s="55" t="str">
        <f t="shared" si="22"/>
        <v/>
      </c>
      <c r="AM150" s="56" t="str">
        <f t="shared" si="23"/>
        <v/>
      </c>
      <c r="AN150" s="168"/>
      <c r="AO150" s="168"/>
      <c r="AP150" s="168"/>
      <c r="AQ150" s="168"/>
      <c r="AR150" s="168"/>
      <c r="AS150" s="168"/>
      <c r="AT150" s="168"/>
      <c r="AU150" s="168"/>
      <c r="AV150" s="334">
        <f t="shared" si="21"/>
        <v>216</v>
      </c>
      <c r="AW150" s="232"/>
      <c r="AX150" s="213"/>
      <c r="AY150" s="134"/>
      <c r="AZ150" s="182"/>
      <c r="BA150" s="213"/>
      <c r="BB150" s="134"/>
      <c r="BC150" s="232"/>
      <c r="BD150" s="182"/>
      <c r="BE150" s="134"/>
      <c r="BF150" s="182"/>
      <c r="BG150" s="213"/>
      <c r="BH150" s="134"/>
      <c r="BI150" s="236"/>
      <c r="BJ150" s="213"/>
      <c r="BK150" s="134" t="s">
        <v>59</v>
      </c>
      <c r="BL150" s="232">
        <v>220</v>
      </c>
      <c r="BM150" s="213"/>
      <c r="BN150" s="134" t="s">
        <v>59</v>
      </c>
      <c r="BO150" s="168"/>
    </row>
    <row r="151" spans="1:67">
      <c r="A151" s="16" t="s">
        <v>33</v>
      </c>
      <c r="B151" s="65"/>
      <c r="C151" s="24"/>
      <c r="D151" s="23"/>
      <c r="E151" s="24"/>
      <c r="F151" s="24"/>
      <c r="G151" s="24"/>
      <c r="H151" s="24"/>
      <c r="I151" s="24"/>
      <c r="J151" s="24"/>
      <c r="K151" s="26"/>
      <c r="L151" s="26"/>
      <c r="M151" s="27"/>
      <c r="N151" s="23"/>
      <c r="O151" s="24"/>
      <c r="P151" s="24"/>
      <c r="Q151" s="24"/>
      <c r="R151" s="24"/>
      <c r="S151" s="24"/>
      <c r="T151" s="24"/>
      <c r="U151" s="26"/>
      <c r="V151" s="26"/>
      <c r="W151" s="27"/>
      <c r="X151" s="23"/>
      <c r="Y151" s="24"/>
      <c r="Z151" s="24"/>
      <c r="AA151" s="24"/>
      <c r="AB151" s="25"/>
      <c r="AC151" s="22"/>
      <c r="AD151" s="23"/>
      <c r="AE151" s="24"/>
      <c r="AF151" s="24"/>
      <c r="AG151" s="24"/>
      <c r="AH151" s="25"/>
      <c r="AI151" s="25"/>
      <c r="AJ151" s="54" t="str">
        <f t="shared" si="19"/>
        <v/>
      </c>
      <c r="AK151" s="55" t="str">
        <f t="shared" si="20"/>
        <v/>
      </c>
      <c r="AL151" s="55" t="str">
        <f t="shared" si="22"/>
        <v/>
      </c>
      <c r="AM151" s="56" t="str">
        <f t="shared" si="23"/>
        <v/>
      </c>
      <c r="AN151" s="168"/>
      <c r="AO151" s="168"/>
      <c r="AP151" s="168"/>
      <c r="AQ151" s="168"/>
      <c r="AR151" s="168"/>
      <c r="AS151" s="168"/>
      <c r="AT151" s="168"/>
      <c r="AU151" s="168"/>
      <c r="AV151" s="334">
        <f t="shared" si="21"/>
        <v>216</v>
      </c>
      <c r="AW151" s="232"/>
      <c r="AX151" s="213"/>
      <c r="AY151" s="134"/>
      <c r="AZ151" s="182"/>
      <c r="BA151" s="213"/>
      <c r="BB151" s="134"/>
      <c r="BC151" s="232"/>
      <c r="BD151" s="182"/>
      <c r="BE151" s="134"/>
      <c r="BF151" s="182"/>
      <c r="BG151" s="213"/>
      <c r="BH151" s="134"/>
      <c r="BI151" s="236"/>
      <c r="BJ151" s="213"/>
      <c r="BK151" s="134" t="s">
        <v>59</v>
      </c>
      <c r="BL151" s="232">
        <v>220</v>
      </c>
      <c r="BM151" s="213"/>
      <c r="BN151" s="134" t="s">
        <v>59</v>
      </c>
      <c r="BO151" s="168"/>
    </row>
    <row r="152" spans="1:67">
      <c r="A152" s="16" t="s">
        <v>33</v>
      </c>
      <c r="B152" s="65"/>
      <c r="C152" s="24"/>
      <c r="D152" s="23"/>
      <c r="E152" s="24"/>
      <c r="F152" s="24"/>
      <c r="G152" s="24"/>
      <c r="H152" s="24"/>
      <c r="I152" s="24"/>
      <c r="J152" s="24"/>
      <c r="K152" s="26"/>
      <c r="L152" s="26"/>
      <c r="M152" s="27"/>
      <c r="N152" s="23"/>
      <c r="O152" s="24"/>
      <c r="P152" s="24"/>
      <c r="Q152" s="24"/>
      <c r="R152" s="24"/>
      <c r="S152" s="24"/>
      <c r="T152" s="24"/>
      <c r="U152" s="26"/>
      <c r="V152" s="26"/>
      <c r="W152" s="27"/>
      <c r="X152" s="23"/>
      <c r="Y152" s="24"/>
      <c r="Z152" s="24"/>
      <c r="AA152" s="24"/>
      <c r="AB152" s="25"/>
      <c r="AC152" s="22"/>
      <c r="AD152" s="23"/>
      <c r="AE152" s="24"/>
      <c r="AF152" s="24"/>
      <c r="AG152" s="24"/>
      <c r="AH152" s="25"/>
      <c r="AI152" s="25"/>
      <c r="AJ152" s="54" t="str">
        <f t="shared" si="19"/>
        <v/>
      </c>
      <c r="AK152" s="55" t="str">
        <f t="shared" si="20"/>
        <v/>
      </c>
      <c r="AL152" s="55" t="str">
        <f t="shared" si="22"/>
        <v/>
      </c>
      <c r="AM152" s="56" t="str">
        <f t="shared" si="23"/>
        <v/>
      </c>
      <c r="AN152" s="168"/>
      <c r="AO152" s="168"/>
      <c r="AP152" s="168"/>
      <c r="AQ152" s="168"/>
      <c r="AR152" s="168"/>
      <c r="AS152" s="168"/>
      <c r="AT152" s="168"/>
      <c r="AU152" s="168"/>
      <c r="AV152" s="334">
        <f t="shared" si="21"/>
        <v>216</v>
      </c>
      <c r="AW152" s="232"/>
      <c r="AX152" s="213"/>
      <c r="AY152" s="134"/>
      <c r="AZ152" s="182"/>
      <c r="BA152" s="213"/>
      <c r="BB152" s="134"/>
      <c r="BC152" s="232"/>
      <c r="BD152" s="182"/>
      <c r="BE152" s="134"/>
      <c r="BF152" s="182"/>
      <c r="BG152" s="213"/>
      <c r="BH152" s="134"/>
      <c r="BI152" s="236"/>
      <c r="BJ152" s="213"/>
      <c r="BK152" s="134" t="s">
        <v>59</v>
      </c>
      <c r="BL152" s="232">
        <v>220</v>
      </c>
      <c r="BM152" s="213"/>
      <c r="BN152" s="134" t="s">
        <v>59</v>
      </c>
      <c r="BO152" s="168"/>
    </row>
    <row r="153" spans="1:67">
      <c r="A153" s="16" t="s">
        <v>33</v>
      </c>
      <c r="B153" s="65"/>
      <c r="C153" s="24"/>
      <c r="D153" s="23"/>
      <c r="E153" s="24"/>
      <c r="F153" s="24"/>
      <c r="G153" s="24"/>
      <c r="H153" s="24"/>
      <c r="I153" s="24"/>
      <c r="J153" s="24"/>
      <c r="K153" s="26"/>
      <c r="L153" s="26"/>
      <c r="M153" s="27"/>
      <c r="N153" s="23"/>
      <c r="O153" s="24"/>
      <c r="P153" s="24"/>
      <c r="Q153" s="24"/>
      <c r="R153" s="24"/>
      <c r="S153" s="24"/>
      <c r="T153" s="24"/>
      <c r="U153" s="26"/>
      <c r="V153" s="26"/>
      <c r="W153" s="27"/>
      <c r="X153" s="23"/>
      <c r="Y153" s="24"/>
      <c r="Z153" s="24"/>
      <c r="AA153" s="24"/>
      <c r="AB153" s="25"/>
      <c r="AC153" s="22"/>
      <c r="AD153" s="23"/>
      <c r="AE153" s="24"/>
      <c r="AF153" s="24"/>
      <c r="AG153" s="24"/>
      <c r="AH153" s="25"/>
      <c r="AI153" s="25"/>
      <c r="AJ153" s="54" t="str">
        <f t="shared" si="19"/>
        <v/>
      </c>
      <c r="AK153" s="55" t="str">
        <f t="shared" si="20"/>
        <v/>
      </c>
      <c r="AL153" s="55" t="str">
        <f t="shared" si="22"/>
        <v/>
      </c>
      <c r="AM153" s="56" t="str">
        <f t="shared" si="23"/>
        <v/>
      </c>
      <c r="AN153" s="168"/>
      <c r="AO153" s="168"/>
      <c r="AP153" s="168"/>
      <c r="AQ153" s="168"/>
      <c r="AR153" s="168"/>
      <c r="AS153" s="168"/>
      <c r="AT153" s="168"/>
      <c r="AU153" s="168"/>
      <c r="AV153" s="334">
        <f t="shared" si="21"/>
        <v>216</v>
      </c>
      <c r="AW153" s="232"/>
      <c r="AX153" s="213"/>
      <c r="AY153" s="134"/>
      <c r="AZ153" s="182"/>
      <c r="BA153" s="213"/>
      <c r="BB153" s="134"/>
      <c r="BC153" s="232"/>
      <c r="BD153" s="182"/>
      <c r="BE153" s="134"/>
      <c r="BF153" s="182"/>
      <c r="BG153" s="213"/>
      <c r="BH153" s="134"/>
      <c r="BI153" s="236"/>
      <c r="BJ153" s="213"/>
      <c r="BK153" s="134" t="s">
        <v>59</v>
      </c>
      <c r="BL153" s="232">
        <v>220</v>
      </c>
      <c r="BM153" s="213"/>
      <c r="BN153" s="134" t="s">
        <v>59</v>
      </c>
      <c r="BO153" s="168"/>
    </row>
    <row r="154" spans="1:67" ht="13" thickBot="1">
      <c r="A154" s="17" t="s">
        <v>33</v>
      </c>
      <c r="B154" s="66"/>
      <c r="C154" s="32"/>
      <c r="D154" s="31"/>
      <c r="E154" s="32"/>
      <c r="F154" s="32"/>
      <c r="G154" s="32"/>
      <c r="H154" s="32"/>
      <c r="I154" s="32"/>
      <c r="J154" s="32"/>
      <c r="K154" s="34"/>
      <c r="L154" s="34"/>
      <c r="M154" s="35"/>
      <c r="N154" s="31"/>
      <c r="O154" s="32"/>
      <c r="P154" s="32"/>
      <c r="Q154" s="32"/>
      <c r="R154" s="32"/>
      <c r="S154" s="32"/>
      <c r="T154" s="32"/>
      <c r="U154" s="34"/>
      <c r="V154" s="34"/>
      <c r="W154" s="35"/>
      <c r="X154" s="31"/>
      <c r="Y154" s="32"/>
      <c r="Z154" s="32"/>
      <c r="AA154" s="32"/>
      <c r="AB154" s="33"/>
      <c r="AC154" s="30"/>
      <c r="AD154" s="31"/>
      <c r="AE154" s="32"/>
      <c r="AF154" s="32"/>
      <c r="AG154" s="32"/>
      <c r="AH154" s="33"/>
      <c r="AI154" s="33"/>
      <c r="AJ154" s="57" t="str">
        <f t="shared" si="19"/>
        <v/>
      </c>
      <c r="AK154" s="58" t="str">
        <f t="shared" si="20"/>
        <v/>
      </c>
      <c r="AL154" s="58" t="str">
        <f t="shared" si="22"/>
        <v/>
      </c>
      <c r="AM154" s="59" t="str">
        <f t="shared" si="23"/>
        <v/>
      </c>
      <c r="AN154" s="168"/>
      <c r="AO154" s="168"/>
      <c r="AP154" s="168"/>
      <c r="AQ154" s="168"/>
      <c r="AR154" s="168"/>
      <c r="AS154" s="168"/>
      <c r="AT154" s="168"/>
      <c r="AU154" s="168"/>
      <c r="AV154" s="335">
        <f t="shared" si="21"/>
        <v>216</v>
      </c>
      <c r="AW154" s="328"/>
      <c r="AX154" s="329"/>
      <c r="AY154" s="331"/>
      <c r="AZ154" s="330"/>
      <c r="BA154" s="329"/>
      <c r="BB154" s="331"/>
      <c r="BC154" s="328"/>
      <c r="BD154" s="330"/>
      <c r="BE154" s="331"/>
      <c r="BF154" s="330"/>
      <c r="BG154" s="329"/>
      <c r="BH154" s="331"/>
      <c r="BI154" s="339"/>
      <c r="BJ154" s="329"/>
      <c r="BK154" s="331" t="s">
        <v>59</v>
      </c>
      <c r="BL154" s="328">
        <v>220</v>
      </c>
      <c r="BM154" s="329"/>
      <c r="BN154" s="331" t="s">
        <v>59</v>
      </c>
      <c r="BO154" s="168"/>
    </row>
    <row r="155" spans="1:67">
      <c r="A155" s="168"/>
      <c r="B155" s="167"/>
      <c r="C155" s="167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  <c r="AB155" s="168"/>
      <c r="AC155" s="168"/>
      <c r="AD155" s="168"/>
      <c r="AE155" s="168"/>
      <c r="AF155" s="168"/>
      <c r="AG155" s="168"/>
      <c r="AH155" s="168"/>
      <c r="AI155" s="168"/>
      <c r="AJ155" s="197"/>
      <c r="AK155" s="197"/>
      <c r="AL155" s="197"/>
      <c r="AM155" s="197"/>
      <c r="AN155" s="168"/>
      <c r="AO155" s="168"/>
      <c r="AP155" s="168"/>
      <c r="AQ155" s="168"/>
      <c r="AR155" s="168"/>
      <c r="AS155" s="168"/>
      <c r="AT155" s="168"/>
      <c r="AU155" s="168"/>
      <c r="AV155" s="168"/>
      <c r="AW155" s="197"/>
      <c r="AX155" s="233"/>
      <c r="AY155" s="168"/>
      <c r="AZ155" s="168"/>
      <c r="BA155" s="233"/>
      <c r="BB155" s="168"/>
      <c r="BC155" s="197"/>
      <c r="BD155" s="168"/>
      <c r="BE155" s="168"/>
      <c r="BF155" s="182"/>
      <c r="BG155" s="168"/>
      <c r="BH155" s="168"/>
      <c r="BI155" s="168"/>
      <c r="BJ155" s="168"/>
      <c r="BK155" s="168"/>
      <c r="BL155" s="168"/>
      <c r="BM155" s="168"/>
      <c r="BN155" s="168"/>
      <c r="BO155" s="168"/>
    </row>
    <row r="156" spans="1:67">
      <c r="A156" s="168"/>
      <c r="B156" s="167"/>
      <c r="C156" s="167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8"/>
      <c r="AB156" s="168"/>
      <c r="AC156" s="168"/>
      <c r="AD156" s="168"/>
      <c r="AE156" s="168"/>
      <c r="AF156" s="168"/>
      <c r="AG156" s="168"/>
      <c r="AH156" s="168"/>
      <c r="AI156" s="168"/>
      <c r="AJ156" s="197"/>
      <c r="AK156" s="197"/>
      <c r="AL156" s="197"/>
      <c r="AM156" s="197"/>
      <c r="AN156" s="168"/>
      <c r="AO156" s="168"/>
      <c r="AP156" s="168"/>
      <c r="AQ156" s="168"/>
      <c r="AR156" s="168"/>
      <c r="AS156" s="168"/>
      <c r="AT156" s="168"/>
      <c r="AU156" s="168"/>
      <c r="AV156" s="168"/>
      <c r="AW156" s="197"/>
      <c r="AX156" s="233"/>
      <c r="AY156" s="168"/>
      <c r="AZ156" s="168"/>
      <c r="BA156" s="233"/>
      <c r="BB156" s="168"/>
      <c r="BC156" s="197"/>
      <c r="BD156" s="168"/>
      <c r="BE156" s="168"/>
      <c r="BF156" s="168"/>
      <c r="BG156" s="168"/>
      <c r="BH156" s="168"/>
      <c r="BI156" s="168"/>
      <c r="BJ156" s="168"/>
      <c r="BK156" s="168"/>
      <c r="BL156" s="168"/>
      <c r="BM156" s="168"/>
      <c r="BN156" s="168"/>
      <c r="BO156" s="168"/>
    </row>
    <row r="157" spans="1:67">
      <c r="A157" s="168"/>
      <c r="B157" s="167"/>
      <c r="C157" s="167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  <c r="AB157" s="168"/>
      <c r="AC157" s="168"/>
      <c r="AD157" s="168"/>
      <c r="AE157" s="168"/>
      <c r="AF157" s="168"/>
      <c r="AG157" s="168"/>
      <c r="AH157" s="168"/>
      <c r="AI157" s="168"/>
      <c r="AJ157" s="197"/>
      <c r="AK157" s="197"/>
      <c r="AL157" s="197"/>
      <c r="AM157" s="197"/>
      <c r="AN157" s="168"/>
      <c r="AO157" s="168"/>
      <c r="AP157" s="168"/>
      <c r="AQ157" s="168"/>
      <c r="AR157" s="168"/>
      <c r="AS157" s="168"/>
      <c r="AT157" s="168"/>
      <c r="AU157" s="168"/>
      <c r="AV157" s="168"/>
      <c r="AW157" s="197"/>
      <c r="AX157" s="233"/>
      <c r="AY157" s="168"/>
      <c r="AZ157" s="168"/>
      <c r="BA157" s="233"/>
      <c r="BB157" s="168"/>
      <c r="BC157" s="197"/>
      <c r="BD157" s="168"/>
      <c r="BE157" s="168"/>
      <c r="BF157" s="168"/>
      <c r="BG157" s="168"/>
      <c r="BH157" s="168"/>
      <c r="BI157" s="168"/>
      <c r="BJ157" s="168"/>
      <c r="BK157" s="168"/>
      <c r="BL157" s="168"/>
      <c r="BM157" s="168"/>
      <c r="BN157" s="168"/>
      <c r="BO157" s="168"/>
    </row>
    <row r="158" spans="1:67">
      <c r="A158" s="168"/>
      <c r="B158" s="167"/>
      <c r="C158" s="167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  <c r="AB158" s="168"/>
      <c r="AC158" s="168"/>
      <c r="AD158" s="168"/>
      <c r="AE158" s="168"/>
      <c r="AF158" s="168"/>
      <c r="AG158" s="168"/>
      <c r="AH158" s="168"/>
      <c r="AI158" s="168"/>
      <c r="AJ158" s="197"/>
      <c r="AK158" s="197"/>
      <c r="AL158" s="197"/>
      <c r="AM158" s="197"/>
      <c r="AN158" s="168"/>
      <c r="AO158" s="168"/>
      <c r="AP158" s="168"/>
      <c r="AQ158" s="168"/>
      <c r="AR158" s="168"/>
      <c r="AS158" s="168"/>
      <c r="AT158" s="168"/>
      <c r="AU158" s="168"/>
      <c r="AV158" s="168"/>
      <c r="AW158" s="197"/>
      <c r="AX158" s="233"/>
      <c r="AY158" s="168"/>
      <c r="AZ158" s="168"/>
      <c r="BA158" s="233"/>
      <c r="BB158" s="168"/>
      <c r="BC158" s="197"/>
      <c r="BD158" s="168"/>
      <c r="BE158" s="168"/>
      <c r="BF158" s="168"/>
      <c r="BG158" s="168"/>
      <c r="BH158" s="168"/>
      <c r="BI158" s="168"/>
      <c r="BJ158" s="168"/>
      <c r="BK158" s="168"/>
      <c r="BL158" s="168"/>
      <c r="BM158" s="168"/>
      <c r="BN158" s="168"/>
      <c r="BO158" s="168"/>
    </row>
    <row r="159" spans="1:67">
      <c r="A159" s="168"/>
      <c r="B159" s="167"/>
      <c r="C159" s="167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  <c r="AC159" s="168"/>
      <c r="AD159" s="168"/>
      <c r="AE159" s="168"/>
      <c r="AF159" s="168"/>
      <c r="AG159" s="168"/>
      <c r="AH159" s="168"/>
      <c r="AI159" s="168"/>
      <c r="AJ159" s="197"/>
      <c r="AK159" s="197"/>
      <c r="AL159" s="197"/>
      <c r="AM159" s="197"/>
      <c r="AN159" s="168"/>
      <c r="AO159" s="168"/>
      <c r="AP159" s="168"/>
      <c r="AQ159" s="168"/>
      <c r="AR159" s="168"/>
      <c r="AS159" s="168"/>
      <c r="AT159" s="168"/>
      <c r="AU159" s="168"/>
      <c r="AV159" s="168"/>
      <c r="AW159" s="197"/>
      <c r="AX159" s="233"/>
      <c r="AY159" s="168"/>
      <c r="AZ159" s="168"/>
      <c r="BA159" s="233"/>
      <c r="BB159" s="168"/>
      <c r="BC159" s="197"/>
      <c r="BD159" s="168"/>
      <c r="BE159" s="168"/>
      <c r="BF159" s="168"/>
      <c r="BG159" s="168"/>
      <c r="BH159" s="168"/>
      <c r="BI159" s="168"/>
      <c r="BJ159" s="168"/>
      <c r="BK159" s="168"/>
      <c r="BL159" s="168"/>
      <c r="BM159" s="168"/>
      <c r="BN159" s="168"/>
      <c r="BO159" s="168"/>
    </row>
    <row r="160" spans="1:67">
      <c r="A160" s="168"/>
      <c r="B160" s="167"/>
      <c r="C160" s="167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8"/>
      <c r="AJ160" s="197"/>
      <c r="AK160" s="197"/>
      <c r="AL160" s="197"/>
      <c r="AM160" s="197"/>
      <c r="AN160" s="168"/>
      <c r="AO160" s="168"/>
      <c r="AP160" s="168"/>
      <c r="AQ160" s="168"/>
      <c r="AR160" s="168"/>
      <c r="AS160" s="168"/>
      <c r="AT160" s="168"/>
      <c r="AU160" s="168"/>
      <c r="AV160" s="168"/>
      <c r="AW160" s="197"/>
      <c r="AX160" s="233"/>
      <c r="AY160" s="168"/>
      <c r="AZ160" s="168"/>
      <c r="BA160" s="233"/>
      <c r="BB160" s="168"/>
      <c r="BC160" s="197"/>
      <c r="BD160" s="168"/>
      <c r="BE160" s="168"/>
      <c r="BF160" s="168"/>
      <c r="BG160" s="168"/>
      <c r="BH160" s="168"/>
      <c r="BI160" s="168"/>
      <c r="BJ160" s="168"/>
      <c r="BK160" s="168"/>
      <c r="BL160" s="168"/>
      <c r="BM160" s="168"/>
      <c r="BN160" s="168"/>
      <c r="BO160" s="168"/>
    </row>
    <row r="161" spans="1:67">
      <c r="A161" s="168"/>
      <c r="B161" s="167"/>
      <c r="C161" s="167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  <c r="AB161" s="168"/>
      <c r="AC161" s="168"/>
      <c r="AD161" s="168"/>
      <c r="AE161" s="168"/>
      <c r="AF161" s="168"/>
      <c r="AG161" s="168"/>
      <c r="AH161" s="168"/>
      <c r="AI161" s="168"/>
      <c r="AJ161" s="197"/>
      <c r="AK161" s="197"/>
      <c r="AL161" s="197"/>
      <c r="AM161" s="197"/>
      <c r="AN161" s="168"/>
      <c r="AO161" s="168"/>
      <c r="AP161" s="168"/>
      <c r="AQ161" s="168"/>
      <c r="AR161" s="168"/>
      <c r="AS161" s="168"/>
      <c r="AT161" s="168"/>
      <c r="AU161" s="168"/>
      <c r="AV161" s="168"/>
      <c r="AW161" s="197"/>
      <c r="AX161" s="233"/>
      <c r="AY161" s="168"/>
      <c r="AZ161" s="168"/>
      <c r="BA161" s="233"/>
      <c r="BB161" s="168"/>
      <c r="BC161" s="197"/>
      <c r="BD161" s="168"/>
      <c r="BE161" s="168"/>
      <c r="BF161" s="168"/>
      <c r="BG161" s="168"/>
      <c r="BH161" s="168"/>
      <c r="BI161" s="168"/>
      <c r="BJ161" s="168"/>
      <c r="BK161" s="168"/>
      <c r="BL161" s="168"/>
      <c r="BM161" s="168"/>
      <c r="BN161" s="168"/>
      <c r="BO161" s="168"/>
    </row>
    <row r="162" spans="1:67">
      <c r="A162" s="168"/>
      <c r="B162" s="167"/>
      <c r="C162" s="167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8"/>
      <c r="AB162" s="168"/>
      <c r="AC162" s="168"/>
      <c r="AD162" s="168"/>
      <c r="AE162" s="168"/>
      <c r="AF162" s="168"/>
      <c r="AG162" s="168"/>
      <c r="AH162" s="168"/>
      <c r="AI162" s="168"/>
      <c r="AJ162" s="197"/>
      <c r="AK162" s="197"/>
      <c r="AL162" s="197"/>
      <c r="AM162" s="197"/>
      <c r="AN162" s="168"/>
      <c r="AO162" s="168"/>
      <c r="AP162" s="168"/>
      <c r="AQ162" s="168"/>
      <c r="AR162" s="168"/>
      <c r="AS162" s="168"/>
      <c r="AT162" s="168"/>
      <c r="AU162" s="168"/>
      <c r="AV162" s="168"/>
      <c r="AW162" s="197"/>
      <c r="AX162" s="233"/>
      <c r="AY162" s="168"/>
      <c r="AZ162" s="168"/>
      <c r="BA162" s="233"/>
      <c r="BB162" s="168"/>
      <c r="BC162" s="197"/>
      <c r="BD162" s="168"/>
      <c r="BE162" s="168"/>
      <c r="BF162" s="168"/>
      <c r="BG162" s="168"/>
      <c r="BH162" s="168"/>
      <c r="BI162" s="168"/>
      <c r="BJ162" s="168"/>
      <c r="BK162" s="168"/>
      <c r="BL162" s="168"/>
      <c r="BM162" s="168"/>
      <c r="BN162" s="168"/>
      <c r="BO162" s="168"/>
    </row>
    <row r="163" spans="1:67">
      <c r="A163" s="168"/>
      <c r="B163" s="167"/>
      <c r="C163" s="167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  <c r="AB163" s="168"/>
      <c r="AC163" s="168"/>
      <c r="AD163" s="168"/>
      <c r="AE163" s="168"/>
      <c r="AF163" s="168"/>
      <c r="AG163" s="168"/>
      <c r="AH163" s="168"/>
      <c r="AI163" s="168"/>
      <c r="AJ163" s="197"/>
      <c r="AK163" s="197"/>
      <c r="AL163" s="197"/>
      <c r="AM163" s="197"/>
      <c r="AN163" s="168"/>
      <c r="AO163" s="168"/>
      <c r="AP163" s="168"/>
      <c r="AQ163" s="168"/>
      <c r="AR163" s="168"/>
      <c r="AS163" s="168"/>
      <c r="AT163" s="168"/>
      <c r="AU163" s="168"/>
      <c r="AV163" s="168"/>
      <c r="AW163" s="197"/>
      <c r="AX163" s="233"/>
      <c r="AY163" s="168"/>
      <c r="AZ163" s="168"/>
      <c r="BA163" s="233"/>
      <c r="BB163" s="168"/>
      <c r="BC163" s="197"/>
      <c r="BD163" s="168"/>
      <c r="BE163" s="168"/>
      <c r="BF163" s="168"/>
      <c r="BG163" s="168"/>
      <c r="BH163" s="168"/>
      <c r="BI163" s="168"/>
      <c r="BJ163" s="168"/>
      <c r="BK163" s="168"/>
      <c r="BL163" s="168"/>
      <c r="BM163" s="168"/>
      <c r="BN163" s="168"/>
      <c r="BO163" s="168"/>
    </row>
    <row r="164" spans="1:67">
      <c r="A164" s="168"/>
      <c r="B164" s="167"/>
      <c r="C164" s="167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  <c r="AB164" s="168"/>
      <c r="AC164" s="168"/>
      <c r="AD164" s="168"/>
      <c r="AE164" s="168"/>
      <c r="AF164" s="168"/>
      <c r="AG164" s="168"/>
      <c r="AH164" s="168"/>
      <c r="AI164" s="168"/>
      <c r="AJ164" s="197"/>
      <c r="AK164" s="197"/>
      <c r="AL164" s="197"/>
      <c r="AM164" s="197"/>
      <c r="AN164" s="168"/>
      <c r="AO164" s="168"/>
      <c r="AP164" s="168"/>
      <c r="AQ164" s="168"/>
      <c r="AR164" s="168"/>
      <c r="AS164" s="168"/>
      <c r="AT164" s="168"/>
      <c r="AU164" s="168"/>
      <c r="AV164" s="168"/>
      <c r="AW164" s="197"/>
      <c r="AX164" s="233"/>
      <c r="AY164" s="168"/>
      <c r="AZ164" s="168"/>
      <c r="BA164" s="233"/>
      <c r="BB164" s="168"/>
      <c r="BC164" s="197"/>
      <c r="BD164" s="168"/>
      <c r="BE164" s="168"/>
      <c r="BF164" s="168"/>
      <c r="BG164" s="168"/>
      <c r="BH164" s="168"/>
      <c r="BI164" s="168"/>
      <c r="BJ164" s="168"/>
      <c r="BK164" s="168"/>
      <c r="BL164" s="168"/>
      <c r="BM164" s="168"/>
      <c r="BN164" s="168"/>
      <c r="BO164" s="168"/>
    </row>
    <row r="165" spans="1:67">
      <c r="A165" s="168"/>
      <c r="B165" s="167"/>
      <c r="C165" s="167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  <c r="AB165" s="168"/>
      <c r="AC165" s="168"/>
      <c r="AD165" s="168"/>
      <c r="AE165" s="168"/>
      <c r="AF165" s="168"/>
      <c r="AG165" s="168"/>
      <c r="AH165" s="168"/>
      <c r="AI165" s="168"/>
      <c r="AJ165" s="197"/>
      <c r="AK165" s="197"/>
      <c r="AL165" s="197"/>
      <c r="AM165" s="197"/>
      <c r="AN165" s="168"/>
      <c r="AO165" s="168"/>
      <c r="AP165" s="168"/>
      <c r="AQ165" s="168"/>
      <c r="AR165" s="168"/>
      <c r="AS165" s="168"/>
      <c r="AT165" s="168"/>
      <c r="AU165" s="168"/>
      <c r="AV165" s="168"/>
      <c r="AW165" s="197"/>
      <c r="AX165" s="233"/>
      <c r="AY165" s="168"/>
      <c r="AZ165" s="168"/>
      <c r="BA165" s="233"/>
      <c r="BB165" s="168"/>
      <c r="BC165" s="197"/>
      <c r="BD165" s="168"/>
      <c r="BE165" s="168"/>
      <c r="BF165" s="168"/>
      <c r="BG165" s="168"/>
      <c r="BH165" s="168"/>
      <c r="BI165" s="168"/>
      <c r="BJ165" s="168"/>
      <c r="BK165" s="168"/>
      <c r="BL165" s="168"/>
      <c r="BM165" s="168"/>
      <c r="BN165" s="168"/>
      <c r="BO165" s="168"/>
    </row>
    <row r="166" spans="1:67">
      <c r="A166" s="168"/>
      <c r="B166" s="167"/>
      <c r="C166" s="167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  <c r="AB166" s="168"/>
      <c r="AC166" s="168"/>
      <c r="AD166" s="168"/>
      <c r="AE166" s="168"/>
      <c r="AF166" s="168"/>
      <c r="AG166" s="168"/>
      <c r="AH166" s="168"/>
      <c r="AI166" s="168"/>
      <c r="AJ166" s="197"/>
      <c r="AK166" s="197"/>
      <c r="AL166" s="197"/>
      <c r="AM166" s="197"/>
      <c r="AN166" s="168"/>
      <c r="AO166" s="168"/>
      <c r="AP166" s="168"/>
      <c r="AQ166" s="168"/>
      <c r="AR166" s="168"/>
      <c r="AS166" s="168"/>
      <c r="AT166" s="168"/>
      <c r="AU166" s="168"/>
      <c r="AV166" s="168"/>
      <c r="AW166" s="197"/>
      <c r="AX166" s="233"/>
      <c r="AY166" s="168"/>
      <c r="AZ166" s="168"/>
      <c r="BA166" s="233"/>
      <c r="BB166" s="168"/>
      <c r="BC166" s="197"/>
      <c r="BD166" s="168"/>
      <c r="BE166" s="168"/>
      <c r="BF166" s="168"/>
      <c r="BG166" s="168"/>
      <c r="BH166" s="168"/>
      <c r="BI166" s="168"/>
      <c r="BJ166" s="168"/>
      <c r="BK166" s="168"/>
      <c r="BL166" s="168"/>
      <c r="BM166" s="168"/>
      <c r="BN166" s="168"/>
      <c r="BO166" s="168"/>
    </row>
  </sheetData>
  <sheetProtection sheet="1" objects="1" scenarios="1" selectLockedCells="1" autoFilter="0"/>
  <autoFilter ref="A4:A154"/>
  <mergeCells count="15">
    <mergeCell ref="B3:B4"/>
    <mergeCell ref="C3:C4"/>
    <mergeCell ref="AC3:AC4"/>
    <mergeCell ref="AJ3:AM3"/>
    <mergeCell ref="D3:M3"/>
    <mergeCell ref="N3:W3"/>
    <mergeCell ref="X3:AB3"/>
    <mergeCell ref="AI3:AI4"/>
    <mergeCell ref="AD3:AH3"/>
    <mergeCell ref="BL3:BN3"/>
    <mergeCell ref="BI3:BK3"/>
    <mergeCell ref="AW3:AY3"/>
    <mergeCell ref="AZ3:BB3"/>
    <mergeCell ref="BF3:BH3"/>
    <mergeCell ref="BC3:BE3"/>
  </mergeCells>
  <phoneticPr fontId="0" type="noConversion"/>
  <dataValidations count="4">
    <dataValidation type="date" operator="greaterThan" allowBlank="1" showInputMessage="1" showErrorMessage="1" sqref="B5:B154">
      <formula1>40634</formula1>
    </dataValidation>
    <dataValidation type="whole" operator="greaterThanOrEqual" allowBlank="1" showInputMessage="1" showErrorMessage="1" sqref="G43:K94 D43:F154 D5:M41 K95 G95:I95 L43:M154 G96:K154">
      <formula1>0</formula1>
    </dataValidation>
    <dataValidation type="whole" allowBlank="1" showInputMessage="1" showErrorMessage="1" sqref="AI5:AI154 N5:AC154">
      <formula1>0</formula1>
      <formula2>3</formula2>
    </dataValidation>
    <dataValidation type="whole" allowBlank="1" showInputMessage="1" showErrorMessage="1" sqref="AD5:AH154">
      <formula1>0</formula1>
      <formula2>1</formula2>
    </dataValidation>
  </dataValidations>
  <printOptions horizontalCentered="1"/>
  <pageMargins left="0.31496062992125984" right="0.27559055118110237" top="0.55118110236220474" bottom="0.39370078740157483" header="0.51181102362204722" footer="0.31496062992125984"/>
  <pageSetup paperSize="9" scale="95" orientation="landscape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Blad4" enableFormatConditionsCalculation="0">
    <pageSetUpPr autoPageBreaks="0"/>
  </sheetPr>
  <dimension ref="A1:BX181"/>
  <sheetViews>
    <sheetView showGridLines="0" zoomScale="90" zoomScaleNormal="90" zoomScalePageLayoutView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F96" sqref="AF96:AJ99"/>
    </sheetView>
  </sheetViews>
  <sheetFormatPr baseColWidth="10" defaultColWidth="8.83203125" defaultRowHeight="12" x14ac:dyDescent="0"/>
  <cols>
    <col min="1" max="1" width="7.5" customWidth="1"/>
    <col min="2" max="2" width="11.33203125" style="1" bestFit="1" customWidth="1"/>
    <col min="3" max="3" width="5.5" style="1" customWidth="1"/>
    <col min="4" max="45" width="2.6640625" customWidth="1"/>
    <col min="46" max="46" width="6.33203125" customWidth="1"/>
    <col min="47" max="47" width="5.83203125" bestFit="1" customWidth="1"/>
    <col min="56" max="56" width="10.83203125" bestFit="1" customWidth="1"/>
    <col min="57" max="57" width="5.5" bestFit="1" customWidth="1"/>
    <col min="58" max="58" width="5.5" style="315" bestFit="1" customWidth="1"/>
    <col min="59" max="59" width="10.83203125" bestFit="1" customWidth="1"/>
    <col min="60" max="60" width="5.5" bestFit="1" customWidth="1"/>
    <col min="61" max="61" width="5.5" style="315" bestFit="1" customWidth="1"/>
    <col min="62" max="62" width="10.83203125" bestFit="1" customWidth="1"/>
    <col min="63" max="63" width="5.5" bestFit="1" customWidth="1"/>
    <col min="64" max="64" width="5.5" style="315" bestFit="1" customWidth="1"/>
    <col min="65" max="65" width="10.83203125" style="226" bestFit="1" customWidth="1"/>
    <col min="66" max="67" width="5.5" style="226" bestFit="1" customWidth="1"/>
    <col min="68" max="68" width="10.83203125" style="226" bestFit="1" customWidth="1"/>
    <col min="69" max="70" width="5.5" style="226" bestFit="1" customWidth="1"/>
    <col min="71" max="71" width="10.83203125" style="226" bestFit="1" customWidth="1"/>
    <col min="72" max="73" width="5.5" style="226" bestFit="1" customWidth="1"/>
    <col min="74" max="76" width="9.1640625" style="226" customWidth="1"/>
  </cols>
  <sheetData>
    <row r="1" spans="1:76" ht="23">
      <c r="A1" s="165" t="s">
        <v>43</v>
      </c>
      <c r="B1" s="167"/>
      <c r="C1" s="167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78"/>
      <c r="AM1" s="168"/>
      <c r="AN1" s="168"/>
      <c r="AO1" s="168"/>
      <c r="AP1" s="168"/>
      <c r="AQ1" s="168"/>
      <c r="AR1" s="168"/>
      <c r="AS1" s="179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310"/>
      <c r="BG1" s="168"/>
      <c r="BH1" s="168"/>
      <c r="BI1" s="310"/>
      <c r="BJ1" s="168"/>
      <c r="BK1" s="168"/>
      <c r="BL1" s="310"/>
      <c r="BM1" s="182"/>
      <c r="BN1" s="182"/>
      <c r="BO1" s="182"/>
      <c r="BP1" s="182"/>
      <c r="BQ1" s="182"/>
      <c r="BR1" s="182"/>
      <c r="BS1" s="182"/>
      <c r="BT1" s="182"/>
      <c r="BU1" s="182"/>
      <c r="BV1" s="182"/>
      <c r="BW1" s="182"/>
      <c r="BX1" s="182"/>
    </row>
    <row r="2" spans="1:76" ht="66.75" customHeight="1" thickBot="1">
      <c r="A2" s="180" t="s">
        <v>5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2"/>
      <c r="N2" s="182"/>
      <c r="O2" s="182"/>
      <c r="P2" s="168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83"/>
      <c r="AT2" s="168"/>
      <c r="AU2" s="168"/>
      <c r="AV2" s="168"/>
      <c r="AW2" s="168"/>
      <c r="AX2" s="168"/>
      <c r="AY2" s="168"/>
      <c r="AZ2" s="168"/>
      <c r="BA2" s="168"/>
      <c r="BB2" s="168"/>
      <c r="BC2" s="168"/>
      <c r="BD2" s="168"/>
      <c r="BE2" s="168"/>
      <c r="BF2" s="310"/>
      <c r="BG2" s="168"/>
      <c r="BH2" s="168"/>
      <c r="BI2" s="310"/>
      <c r="BJ2" s="168"/>
      <c r="BK2" s="168"/>
      <c r="BL2" s="310"/>
      <c r="BM2" s="182"/>
      <c r="BN2" s="182"/>
      <c r="BO2" s="182"/>
      <c r="BP2" s="182"/>
      <c r="BQ2" s="182"/>
      <c r="BR2" s="182"/>
      <c r="BS2" s="182"/>
      <c r="BT2" s="182"/>
      <c r="BU2" s="182"/>
      <c r="BV2" s="182"/>
      <c r="BW2" s="182"/>
      <c r="BX2" s="182"/>
    </row>
    <row r="3" spans="1:76" ht="17.25" customHeight="1" thickBot="1">
      <c r="A3" s="133"/>
      <c r="B3" s="411" t="s">
        <v>1</v>
      </c>
      <c r="C3" s="431" t="s">
        <v>0</v>
      </c>
      <c r="D3" s="418" t="s">
        <v>6</v>
      </c>
      <c r="E3" s="419"/>
      <c r="F3" s="419"/>
      <c r="G3" s="419"/>
      <c r="H3" s="419"/>
      <c r="I3" s="419"/>
      <c r="J3" s="419"/>
      <c r="K3" s="419"/>
      <c r="L3" s="419"/>
      <c r="M3" s="419"/>
      <c r="N3" s="419"/>
      <c r="O3" s="419"/>
      <c r="P3" s="419"/>
      <c r="Q3" s="419"/>
      <c r="R3" s="419"/>
      <c r="S3" s="419"/>
      <c r="T3" s="419"/>
      <c r="U3" s="419"/>
      <c r="V3" s="419"/>
      <c r="W3" s="419"/>
      <c r="X3" s="419"/>
      <c r="Y3" s="419"/>
      <c r="Z3" s="419"/>
      <c r="AA3" s="419"/>
      <c r="AB3" s="419"/>
      <c r="AC3" s="419"/>
      <c r="AD3" s="419"/>
      <c r="AE3" s="419"/>
      <c r="AF3" s="419"/>
      <c r="AG3" s="419"/>
      <c r="AH3" s="419"/>
      <c r="AI3" s="419"/>
      <c r="AJ3" s="419"/>
      <c r="AK3" s="419"/>
      <c r="AL3" s="419"/>
      <c r="AM3" s="419"/>
      <c r="AN3" s="419"/>
      <c r="AO3" s="419"/>
      <c r="AP3" s="419"/>
      <c r="AQ3" s="419"/>
      <c r="AR3" s="419"/>
      <c r="AS3" s="420"/>
      <c r="AT3" s="438" t="s">
        <v>35</v>
      </c>
      <c r="AU3" s="434" t="s">
        <v>71</v>
      </c>
      <c r="AV3" s="168"/>
      <c r="AW3" s="168"/>
      <c r="AX3" s="168"/>
      <c r="AY3" s="168"/>
      <c r="AZ3" s="168"/>
      <c r="BA3" s="168"/>
      <c r="BB3" s="168"/>
      <c r="BC3" s="168"/>
      <c r="BD3" s="436">
        <v>2006</v>
      </c>
      <c r="BE3" s="426"/>
      <c r="BF3" s="427"/>
      <c r="BG3" s="426">
        <v>2007</v>
      </c>
      <c r="BH3" s="426"/>
      <c r="BI3" s="427"/>
      <c r="BJ3" s="426">
        <v>2008</v>
      </c>
      <c r="BK3" s="426"/>
      <c r="BL3" s="427"/>
      <c r="BM3" s="426">
        <v>2009</v>
      </c>
      <c r="BN3" s="426"/>
      <c r="BO3" s="427"/>
      <c r="BP3" s="426">
        <v>2010</v>
      </c>
      <c r="BQ3" s="426"/>
      <c r="BR3" s="427"/>
      <c r="BS3" s="426">
        <v>2011</v>
      </c>
      <c r="BT3" s="426"/>
      <c r="BU3" s="427"/>
      <c r="BV3" s="182"/>
      <c r="BW3" s="182"/>
      <c r="BX3" s="182"/>
    </row>
    <row r="4" spans="1:76">
      <c r="A4" s="134"/>
      <c r="B4" s="430"/>
      <c r="C4" s="432"/>
      <c r="D4" s="423" t="s">
        <v>23</v>
      </c>
      <c r="E4" s="424"/>
      <c r="F4" s="424"/>
      <c r="G4" s="424"/>
      <c r="H4" s="424"/>
      <c r="I4" s="424"/>
      <c r="J4" s="425"/>
      <c r="K4" s="423" t="s">
        <v>24</v>
      </c>
      <c r="L4" s="424"/>
      <c r="M4" s="424"/>
      <c r="N4" s="424"/>
      <c r="O4" s="424"/>
      <c r="P4" s="424"/>
      <c r="Q4" s="425"/>
      <c r="R4" s="423" t="s">
        <v>25</v>
      </c>
      <c r="S4" s="424"/>
      <c r="T4" s="424"/>
      <c r="U4" s="424"/>
      <c r="V4" s="424"/>
      <c r="W4" s="424"/>
      <c r="X4" s="425"/>
      <c r="Y4" s="423" t="s">
        <v>26</v>
      </c>
      <c r="Z4" s="424"/>
      <c r="AA4" s="424"/>
      <c r="AB4" s="424"/>
      <c r="AC4" s="424"/>
      <c r="AD4" s="424"/>
      <c r="AE4" s="425"/>
      <c r="AF4" s="423" t="s">
        <v>27</v>
      </c>
      <c r="AG4" s="424"/>
      <c r="AH4" s="424"/>
      <c r="AI4" s="424"/>
      <c r="AJ4" s="424"/>
      <c r="AK4" s="424"/>
      <c r="AL4" s="425"/>
      <c r="AM4" s="441" t="s">
        <v>28</v>
      </c>
      <c r="AN4" s="442"/>
      <c r="AO4" s="442"/>
      <c r="AP4" s="442"/>
      <c r="AQ4" s="442"/>
      <c r="AR4" s="442"/>
      <c r="AS4" s="443"/>
      <c r="AT4" s="439"/>
      <c r="AU4" s="435"/>
      <c r="AV4" s="168"/>
      <c r="AW4" s="168"/>
      <c r="AX4" s="168"/>
      <c r="AY4" s="168"/>
      <c r="AZ4" s="168"/>
      <c r="BA4" s="168"/>
      <c r="BB4" s="168"/>
      <c r="BC4" s="168"/>
      <c r="BD4" s="437"/>
      <c r="BE4" s="428"/>
      <c r="BF4" s="429"/>
      <c r="BG4" s="428"/>
      <c r="BH4" s="428"/>
      <c r="BI4" s="429"/>
      <c r="BJ4" s="428"/>
      <c r="BK4" s="428"/>
      <c r="BL4" s="429"/>
      <c r="BM4" s="428"/>
      <c r="BN4" s="428"/>
      <c r="BO4" s="429"/>
      <c r="BP4" s="428"/>
      <c r="BQ4" s="428"/>
      <c r="BR4" s="429"/>
      <c r="BS4" s="428"/>
      <c r="BT4" s="428"/>
      <c r="BU4" s="429"/>
      <c r="BV4" s="182"/>
      <c r="BW4" s="182"/>
      <c r="BX4" s="182"/>
    </row>
    <row r="5" spans="1:76" ht="13" thickBot="1">
      <c r="A5" s="126" t="s">
        <v>29</v>
      </c>
      <c r="B5" s="412"/>
      <c r="C5" s="433"/>
      <c r="D5" s="90">
        <v>1</v>
      </c>
      <c r="E5" s="91">
        <v>2</v>
      </c>
      <c r="F5" s="91">
        <v>3</v>
      </c>
      <c r="G5" s="91">
        <v>4</v>
      </c>
      <c r="H5" s="91">
        <v>5</v>
      </c>
      <c r="I5" s="91">
        <v>6</v>
      </c>
      <c r="J5" s="2">
        <v>7</v>
      </c>
      <c r="K5" s="90">
        <v>1</v>
      </c>
      <c r="L5" s="91">
        <v>2</v>
      </c>
      <c r="M5" s="91">
        <v>3</v>
      </c>
      <c r="N5" s="91">
        <v>4</v>
      </c>
      <c r="O5" s="91">
        <v>5</v>
      </c>
      <c r="P5" s="91">
        <v>6</v>
      </c>
      <c r="Q5" s="2">
        <v>7</v>
      </c>
      <c r="R5" s="90">
        <v>1</v>
      </c>
      <c r="S5" s="91">
        <v>2</v>
      </c>
      <c r="T5" s="91">
        <v>3</v>
      </c>
      <c r="U5" s="91">
        <v>4</v>
      </c>
      <c r="V5" s="91">
        <v>5</v>
      </c>
      <c r="W5" s="91">
        <v>6</v>
      </c>
      <c r="X5" s="2">
        <v>7</v>
      </c>
      <c r="Y5" s="90">
        <v>1</v>
      </c>
      <c r="Z5" s="91">
        <v>2</v>
      </c>
      <c r="AA5" s="91">
        <v>3</v>
      </c>
      <c r="AB5" s="91">
        <v>4</v>
      </c>
      <c r="AC5" s="91">
        <v>5</v>
      </c>
      <c r="AD5" s="91">
        <v>6</v>
      </c>
      <c r="AE5" s="2">
        <v>7</v>
      </c>
      <c r="AF5" s="90">
        <v>1</v>
      </c>
      <c r="AG5" s="91">
        <v>2</v>
      </c>
      <c r="AH5" s="91">
        <v>3</v>
      </c>
      <c r="AI5" s="91">
        <v>4</v>
      </c>
      <c r="AJ5" s="91">
        <v>5</v>
      </c>
      <c r="AK5" s="91">
        <v>6</v>
      </c>
      <c r="AL5" s="2">
        <v>7</v>
      </c>
      <c r="AM5" s="90">
        <v>1</v>
      </c>
      <c r="AN5" s="91">
        <v>2</v>
      </c>
      <c r="AO5" s="91">
        <v>3</v>
      </c>
      <c r="AP5" s="91">
        <v>4</v>
      </c>
      <c r="AQ5" s="91">
        <v>5</v>
      </c>
      <c r="AR5" s="91">
        <v>6</v>
      </c>
      <c r="AS5" s="2">
        <v>7</v>
      </c>
      <c r="AT5" s="440"/>
      <c r="AU5" s="189" t="s">
        <v>52</v>
      </c>
      <c r="AV5" s="168"/>
      <c r="AW5" s="168"/>
      <c r="AX5" s="168"/>
      <c r="AY5" s="168"/>
      <c r="AZ5" s="168"/>
      <c r="BA5" s="168"/>
      <c r="BB5" s="168"/>
      <c r="BC5" s="168"/>
      <c r="BD5" s="311" t="s">
        <v>53</v>
      </c>
      <c r="BE5" s="309" t="s">
        <v>54</v>
      </c>
      <c r="BF5" s="314" t="s">
        <v>57</v>
      </c>
      <c r="BG5" s="309" t="s">
        <v>53</v>
      </c>
      <c r="BH5" s="309" t="s">
        <v>54</v>
      </c>
      <c r="BI5" s="314" t="s">
        <v>57</v>
      </c>
      <c r="BJ5" s="309" t="s">
        <v>53</v>
      </c>
      <c r="BK5" s="309" t="s">
        <v>54</v>
      </c>
      <c r="BL5" s="314" t="s">
        <v>57</v>
      </c>
      <c r="BM5" s="309" t="s">
        <v>53</v>
      </c>
      <c r="BN5" s="309" t="s">
        <v>54</v>
      </c>
      <c r="BO5" s="314" t="s">
        <v>57</v>
      </c>
      <c r="BP5" s="309" t="s">
        <v>53</v>
      </c>
      <c r="BQ5" s="309" t="s">
        <v>54</v>
      </c>
      <c r="BR5" s="314" t="s">
        <v>57</v>
      </c>
      <c r="BS5" s="309" t="s">
        <v>53</v>
      </c>
      <c r="BT5" s="309" t="s">
        <v>54</v>
      </c>
      <c r="BU5" s="314" t="s">
        <v>57</v>
      </c>
      <c r="BV5" s="182"/>
      <c r="BW5" s="182"/>
      <c r="BX5" s="182"/>
    </row>
    <row r="6" spans="1:76">
      <c r="A6" s="135" t="s">
        <v>30</v>
      </c>
      <c r="B6" s="130">
        <v>41032</v>
      </c>
      <c r="C6" s="83" t="s">
        <v>73</v>
      </c>
      <c r="D6" s="84">
        <v>0</v>
      </c>
      <c r="E6" s="83">
        <v>0</v>
      </c>
      <c r="F6" s="83">
        <v>0</v>
      </c>
      <c r="G6" s="83">
        <v>0</v>
      </c>
      <c r="H6" s="83">
        <v>0</v>
      </c>
      <c r="I6" s="85"/>
      <c r="J6" s="86"/>
      <c r="K6" s="84">
        <v>0</v>
      </c>
      <c r="L6" s="83">
        <v>0</v>
      </c>
      <c r="M6" s="83">
        <v>0</v>
      </c>
      <c r="N6" s="83">
        <v>0</v>
      </c>
      <c r="O6" s="83">
        <v>0</v>
      </c>
      <c r="P6" s="85"/>
      <c r="Q6" s="86"/>
      <c r="R6" s="84">
        <v>0</v>
      </c>
      <c r="S6" s="83">
        <v>0</v>
      </c>
      <c r="T6" s="83">
        <v>0</v>
      </c>
      <c r="U6" s="83">
        <v>0</v>
      </c>
      <c r="V6" s="83">
        <v>0</v>
      </c>
      <c r="W6" s="85"/>
      <c r="X6" s="86"/>
      <c r="Y6" s="84">
        <v>0</v>
      </c>
      <c r="Z6" s="83">
        <v>0</v>
      </c>
      <c r="AA6" s="83">
        <v>0</v>
      </c>
      <c r="AB6" s="83">
        <v>0</v>
      </c>
      <c r="AC6" s="83">
        <v>0</v>
      </c>
      <c r="AD6" s="85"/>
      <c r="AE6" s="86"/>
      <c r="AF6" s="84">
        <v>0</v>
      </c>
      <c r="AG6" s="83">
        <v>0</v>
      </c>
      <c r="AH6" s="83">
        <v>0</v>
      </c>
      <c r="AI6" s="83">
        <v>0</v>
      </c>
      <c r="AJ6" s="83">
        <v>0</v>
      </c>
      <c r="AK6" s="85"/>
      <c r="AL6" s="86"/>
      <c r="AM6" s="87">
        <v>0</v>
      </c>
      <c r="AN6" s="85">
        <v>0</v>
      </c>
      <c r="AO6" s="85">
        <v>0</v>
      </c>
      <c r="AP6" s="85">
        <v>0</v>
      </c>
      <c r="AQ6" s="85">
        <v>0</v>
      </c>
      <c r="AR6" s="88"/>
      <c r="AS6" s="89"/>
      <c r="AT6" s="187">
        <f t="shared" ref="AT6:AT20" si="0">IF(COUNT(D6:AL6)=0,AT5,AVERAGE(D6:AL6))</f>
        <v>0</v>
      </c>
      <c r="AU6" s="228">
        <f t="shared" ref="AU6:AU20" si="1">IF(B6=0,AU5,B6-DATE(YEAR(B6)-1,12,31))</f>
        <v>124</v>
      </c>
      <c r="AV6" s="168"/>
      <c r="AW6" s="168"/>
      <c r="AX6" s="168"/>
      <c r="AY6" s="168"/>
      <c r="AZ6" s="168"/>
      <c r="BA6" s="168"/>
      <c r="BB6" s="168"/>
      <c r="BC6" s="168"/>
      <c r="BD6" s="340">
        <v>38845</v>
      </c>
      <c r="BE6" s="182">
        <f t="shared" ref="BE6:BE27" si="2">BD6-DATE(YEAR(BD6)-1,12,31)</f>
        <v>128</v>
      </c>
      <c r="BF6" s="336">
        <v>0</v>
      </c>
      <c r="BG6" s="213">
        <v>39197</v>
      </c>
      <c r="BH6" s="182">
        <f t="shared" ref="BH6:BH24" si="3">BG6-DATE(YEAR(BG6)-1,12,31)</f>
        <v>115</v>
      </c>
      <c r="BI6" s="336">
        <v>0</v>
      </c>
      <c r="BJ6" s="213">
        <v>39563</v>
      </c>
      <c r="BK6" s="182">
        <f t="shared" ref="BK6:BK69" si="4">BJ6-DATE(YEAR(BJ6)-1,12,31)</f>
        <v>116</v>
      </c>
      <c r="BL6" s="336">
        <v>0.36</v>
      </c>
      <c r="BM6" s="213">
        <v>39920</v>
      </c>
      <c r="BN6" s="182">
        <v>107</v>
      </c>
      <c r="BO6" s="336">
        <v>0</v>
      </c>
      <c r="BP6" s="213">
        <v>40312</v>
      </c>
      <c r="BQ6" s="182">
        <v>134</v>
      </c>
      <c r="BR6" s="336">
        <v>0</v>
      </c>
      <c r="BS6" s="213">
        <v>40666</v>
      </c>
      <c r="BT6" s="182">
        <v>123</v>
      </c>
      <c r="BU6" s="336">
        <v>0</v>
      </c>
      <c r="BV6" s="182"/>
      <c r="BW6" s="182"/>
      <c r="BX6" s="182"/>
    </row>
    <row r="7" spans="1:76">
      <c r="A7" s="16" t="s">
        <v>30</v>
      </c>
      <c r="B7" s="131">
        <v>41040</v>
      </c>
      <c r="C7" s="68" t="s">
        <v>73</v>
      </c>
      <c r="D7" s="69">
        <v>0</v>
      </c>
      <c r="E7" s="68">
        <v>0</v>
      </c>
      <c r="F7" s="68">
        <v>0</v>
      </c>
      <c r="G7" s="68">
        <v>0</v>
      </c>
      <c r="H7" s="68">
        <v>0</v>
      </c>
      <c r="I7" s="70"/>
      <c r="J7" s="71"/>
      <c r="K7" s="69">
        <v>0</v>
      </c>
      <c r="L7" s="68">
        <v>0</v>
      </c>
      <c r="M7" s="68">
        <v>0</v>
      </c>
      <c r="N7" s="68">
        <v>0</v>
      </c>
      <c r="O7" s="68">
        <v>0</v>
      </c>
      <c r="P7" s="70"/>
      <c r="Q7" s="71"/>
      <c r="R7" s="69">
        <v>1</v>
      </c>
      <c r="S7" s="68">
        <v>1</v>
      </c>
      <c r="T7" s="68">
        <v>1</v>
      </c>
      <c r="U7" s="68">
        <v>1</v>
      </c>
      <c r="V7" s="68">
        <v>1</v>
      </c>
      <c r="W7" s="70"/>
      <c r="X7" s="71"/>
      <c r="Y7" s="69">
        <v>1</v>
      </c>
      <c r="Z7" s="68">
        <v>1</v>
      </c>
      <c r="AA7" s="68">
        <v>1</v>
      </c>
      <c r="AB7" s="68">
        <v>1</v>
      </c>
      <c r="AC7" s="68">
        <v>1</v>
      </c>
      <c r="AD7" s="70"/>
      <c r="AE7" s="71"/>
      <c r="AF7" s="69">
        <v>1</v>
      </c>
      <c r="AG7" s="68">
        <v>1</v>
      </c>
      <c r="AH7" s="68">
        <v>1</v>
      </c>
      <c r="AI7" s="68">
        <v>1</v>
      </c>
      <c r="AJ7" s="68">
        <v>1</v>
      </c>
      <c r="AK7" s="70"/>
      <c r="AL7" s="71"/>
      <c r="AM7" s="72">
        <v>2</v>
      </c>
      <c r="AN7" s="70">
        <v>2</v>
      </c>
      <c r="AO7" s="70">
        <v>2</v>
      </c>
      <c r="AP7" s="70">
        <v>2</v>
      </c>
      <c r="AQ7" s="70">
        <v>2</v>
      </c>
      <c r="AR7" s="73"/>
      <c r="AS7" s="80"/>
      <c r="AT7" s="187">
        <f t="shared" si="0"/>
        <v>0.6</v>
      </c>
      <c r="AU7" s="228">
        <f t="shared" si="1"/>
        <v>132</v>
      </c>
      <c r="AV7" s="168"/>
      <c r="AW7" s="168"/>
      <c r="AX7" s="168"/>
      <c r="AY7" s="168"/>
      <c r="AZ7" s="168"/>
      <c r="BA7" s="168"/>
      <c r="BB7" s="168"/>
      <c r="BC7" s="168"/>
      <c r="BD7" s="340">
        <v>38849</v>
      </c>
      <c r="BE7" s="182">
        <f t="shared" si="2"/>
        <v>132</v>
      </c>
      <c r="BF7" s="336">
        <v>0</v>
      </c>
      <c r="BG7" s="213">
        <v>39199</v>
      </c>
      <c r="BH7" s="182">
        <f t="shared" si="3"/>
        <v>117</v>
      </c>
      <c r="BI7" s="336">
        <v>0.2</v>
      </c>
      <c r="BJ7" s="213">
        <v>39570</v>
      </c>
      <c r="BK7" s="182">
        <f t="shared" si="4"/>
        <v>123</v>
      </c>
      <c r="BL7" s="336">
        <v>0.36</v>
      </c>
      <c r="BM7" s="213">
        <v>39927</v>
      </c>
      <c r="BN7" s="182">
        <v>114</v>
      </c>
      <c r="BO7" s="336">
        <v>0</v>
      </c>
      <c r="BP7" s="213">
        <v>40318</v>
      </c>
      <c r="BQ7" s="182">
        <v>140</v>
      </c>
      <c r="BR7" s="336">
        <v>0.4</v>
      </c>
      <c r="BS7" s="213">
        <v>40673</v>
      </c>
      <c r="BT7" s="182">
        <v>130</v>
      </c>
      <c r="BU7" s="336">
        <v>0.4</v>
      </c>
      <c r="BV7" s="182"/>
      <c r="BW7" s="182"/>
      <c r="BX7" s="182"/>
    </row>
    <row r="8" spans="1:76">
      <c r="A8" s="16" t="s">
        <v>30</v>
      </c>
      <c r="B8" s="131">
        <v>41047</v>
      </c>
      <c r="C8" s="68" t="s">
        <v>73</v>
      </c>
      <c r="D8" s="69">
        <v>0</v>
      </c>
      <c r="E8" s="68">
        <v>0</v>
      </c>
      <c r="F8" s="68">
        <v>0</v>
      </c>
      <c r="G8" s="68">
        <v>0</v>
      </c>
      <c r="H8" s="68">
        <v>0</v>
      </c>
      <c r="I8" s="70"/>
      <c r="J8" s="71"/>
      <c r="K8" s="69">
        <v>0</v>
      </c>
      <c r="L8" s="68">
        <v>0</v>
      </c>
      <c r="M8" s="68">
        <v>0</v>
      </c>
      <c r="N8" s="68">
        <v>0</v>
      </c>
      <c r="O8" s="68">
        <v>0</v>
      </c>
      <c r="P8" s="70"/>
      <c r="Q8" s="71"/>
      <c r="R8" s="69">
        <v>1</v>
      </c>
      <c r="S8" s="68">
        <v>2</v>
      </c>
      <c r="T8" s="68">
        <v>2</v>
      </c>
      <c r="U8" s="68">
        <v>2</v>
      </c>
      <c r="V8" s="68">
        <v>2</v>
      </c>
      <c r="W8" s="70"/>
      <c r="X8" s="71"/>
      <c r="Y8" s="69">
        <v>1</v>
      </c>
      <c r="Z8" s="68">
        <v>1</v>
      </c>
      <c r="AA8" s="68">
        <v>1</v>
      </c>
      <c r="AB8" s="68">
        <v>1</v>
      </c>
      <c r="AC8" s="68">
        <v>1</v>
      </c>
      <c r="AD8" s="70"/>
      <c r="AE8" s="71"/>
      <c r="AF8" s="69">
        <v>1</v>
      </c>
      <c r="AG8" s="68">
        <v>1</v>
      </c>
      <c r="AH8" s="68">
        <v>1</v>
      </c>
      <c r="AI8" s="68">
        <v>1</v>
      </c>
      <c r="AJ8" s="68">
        <v>1</v>
      </c>
      <c r="AK8" s="70"/>
      <c r="AL8" s="71"/>
      <c r="AM8" s="72">
        <v>3</v>
      </c>
      <c r="AN8" s="70">
        <v>3</v>
      </c>
      <c r="AO8" s="70">
        <v>3</v>
      </c>
      <c r="AP8" s="70">
        <v>3</v>
      </c>
      <c r="AQ8" s="70">
        <v>3</v>
      </c>
      <c r="AR8" s="73"/>
      <c r="AS8" s="80"/>
      <c r="AT8" s="187">
        <f t="shared" si="0"/>
        <v>0.76</v>
      </c>
      <c r="AU8" s="228">
        <f t="shared" si="1"/>
        <v>139</v>
      </c>
      <c r="AV8" s="168"/>
      <c r="AW8" s="168"/>
      <c r="AX8" s="168"/>
      <c r="AY8" s="168"/>
      <c r="AZ8" s="168"/>
      <c r="BA8" s="168"/>
      <c r="BB8" s="168"/>
      <c r="BC8" s="168"/>
      <c r="BD8" s="340">
        <v>38853</v>
      </c>
      <c r="BE8" s="182">
        <f t="shared" si="2"/>
        <v>136</v>
      </c>
      <c r="BF8" s="336">
        <v>0.4</v>
      </c>
      <c r="BG8" s="213">
        <v>39204</v>
      </c>
      <c r="BH8" s="182">
        <f t="shared" si="3"/>
        <v>122</v>
      </c>
      <c r="BI8" s="336">
        <v>0.76</v>
      </c>
      <c r="BJ8" s="213">
        <v>39577</v>
      </c>
      <c r="BK8" s="182">
        <f t="shared" si="4"/>
        <v>130</v>
      </c>
      <c r="BL8" s="336">
        <v>0.68</v>
      </c>
      <c r="BM8" s="213">
        <v>39933</v>
      </c>
      <c r="BN8" s="182">
        <v>120</v>
      </c>
      <c r="BO8" s="336">
        <v>0</v>
      </c>
      <c r="BP8" s="213">
        <v>40326</v>
      </c>
      <c r="BQ8" s="182">
        <v>148</v>
      </c>
      <c r="BR8" s="336">
        <v>1.8</v>
      </c>
      <c r="BS8" s="213">
        <v>40681</v>
      </c>
      <c r="BT8" s="182">
        <v>138</v>
      </c>
      <c r="BU8" s="336">
        <v>1.4</v>
      </c>
      <c r="BV8" s="182"/>
      <c r="BW8" s="182"/>
      <c r="BX8" s="182"/>
    </row>
    <row r="9" spans="1:76">
      <c r="A9" s="16" t="s">
        <v>30</v>
      </c>
      <c r="B9" s="131">
        <v>41054</v>
      </c>
      <c r="C9" s="68" t="s">
        <v>73</v>
      </c>
      <c r="D9" s="69">
        <v>1</v>
      </c>
      <c r="E9" s="68">
        <v>1</v>
      </c>
      <c r="F9" s="68">
        <v>1</v>
      </c>
      <c r="G9" s="68">
        <v>1</v>
      </c>
      <c r="H9" s="68">
        <v>1</v>
      </c>
      <c r="I9" s="70"/>
      <c r="J9" s="71"/>
      <c r="K9" s="69">
        <v>1</v>
      </c>
      <c r="L9" s="68">
        <v>1</v>
      </c>
      <c r="M9" s="68">
        <v>1</v>
      </c>
      <c r="N9" s="68">
        <v>1</v>
      </c>
      <c r="O9" s="68">
        <v>1</v>
      </c>
      <c r="P9" s="70"/>
      <c r="Q9" s="71"/>
      <c r="R9" s="69">
        <v>3</v>
      </c>
      <c r="S9" s="68">
        <v>3</v>
      </c>
      <c r="T9" s="68">
        <v>3</v>
      </c>
      <c r="U9" s="68">
        <v>3</v>
      </c>
      <c r="V9" s="68">
        <v>3</v>
      </c>
      <c r="W9" s="70"/>
      <c r="X9" s="71"/>
      <c r="Y9" s="69">
        <v>2</v>
      </c>
      <c r="Z9" s="68">
        <v>2</v>
      </c>
      <c r="AA9" s="68">
        <v>2</v>
      </c>
      <c r="AB9" s="68">
        <v>2</v>
      </c>
      <c r="AC9" s="68">
        <v>2</v>
      </c>
      <c r="AD9" s="70"/>
      <c r="AE9" s="71"/>
      <c r="AF9" s="69">
        <v>2</v>
      </c>
      <c r="AG9" s="68">
        <v>2</v>
      </c>
      <c r="AH9" s="68">
        <v>2</v>
      </c>
      <c r="AI9" s="68">
        <v>2</v>
      </c>
      <c r="AJ9" s="68">
        <v>2</v>
      </c>
      <c r="AK9" s="70"/>
      <c r="AL9" s="71"/>
      <c r="AM9" s="72">
        <v>4</v>
      </c>
      <c r="AN9" s="70">
        <v>4</v>
      </c>
      <c r="AO9" s="70">
        <v>4</v>
      </c>
      <c r="AP9" s="70">
        <v>4</v>
      </c>
      <c r="AQ9" s="70">
        <v>4</v>
      </c>
      <c r="AR9" s="73"/>
      <c r="AS9" s="80"/>
      <c r="AT9" s="187">
        <f t="shared" si="0"/>
        <v>1.8</v>
      </c>
      <c r="AU9" s="228">
        <f t="shared" si="1"/>
        <v>146</v>
      </c>
      <c r="AV9" s="168"/>
      <c r="AW9" s="168"/>
      <c r="AX9" s="168"/>
      <c r="AY9" s="168"/>
      <c r="AZ9" s="168"/>
      <c r="BA9" s="168"/>
      <c r="BB9" s="168"/>
      <c r="BC9" s="168"/>
      <c r="BD9" s="340">
        <v>38855</v>
      </c>
      <c r="BE9" s="182">
        <f t="shared" si="2"/>
        <v>138</v>
      </c>
      <c r="BF9" s="336">
        <v>0.68</v>
      </c>
      <c r="BG9" s="213">
        <v>39206</v>
      </c>
      <c r="BH9" s="182">
        <f t="shared" si="3"/>
        <v>124</v>
      </c>
      <c r="BI9" s="336">
        <v>1</v>
      </c>
      <c r="BJ9" s="213">
        <v>39584</v>
      </c>
      <c r="BK9" s="182">
        <f t="shared" si="4"/>
        <v>137</v>
      </c>
      <c r="BL9" s="336">
        <v>2</v>
      </c>
      <c r="BM9" s="213">
        <v>39941</v>
      </c>
      <c r="BN9" s="182">
        <v>128</v>
      </c>
      <c r="BO9" s="336">
        <v>0.2</v>
      </c>
      <c r="BP9" s="213">
        <v>40333</v>
      </c>
      <c r="BQ9" s="182">
        <v>155</v>
      </c>
      <c r="BR9" s="336">
        <v>3.4</v>
      </c>
      <c r="BS9" s="213">
        <v>40688</v>
      </c>
      <c r="BT9" s="182">
        <v>145</v>
      </c>
      <c r="BU9" s="336">
        <v>2.8</v>
      </c>
      <c r="BV9" s="182"/>
      <c r="BW9" s="182"/>
      <c r="BX9" s="182"/>
    </row>
    <row r="10" spans="1:76">
      <c r="A10" s="16" t="s">
        <v>30</v>
      </c>
      <c r="B10" s="131">
        <v>41061</v>
      </c>
      <c r="C10" s="68" t="s">
        <v>73</v>
      </c>
      <c r="D10" s="69">
        <v>3</v>
      </c>
      <c r="E10" s="68">
        <v>3</v>
      </c>
      <c r="F10" s="68">
        <v>3</v>
      </c>
      <c r="G10" s="68">
        <v>3</v>
      </c>
      <c r="H10" s="68">
        <v>3</v>
      </c>
      <c r="I10" s="70"/>
      <c r="J10" s="71"/>
      <c r="K10" s="69">
        <v>2</v>
      </c>
      <c r="L10" s="68">
        <v>2</v>
      </c>
      <c r="M10" s="68">
        <v>2</v>
      </c>
      <c r="N10" s="68">
        <v>2</v>
      </c>
      <c r="O10" s="68">
        <v>2</v>
      </c>
      <c r="P10" s="70"/>
      <c r="Q10" s="71"/>
      <c r="R10" s="69">
        <v>5</v>
      </c>
      <c r="S10" s="68">
        <v>5</v>
      </c>
      <c r="T10" s="68">
        <v>5</v>
      </c>
      <c r="U10" s="68">
        <v>5</v>
      </c>
      <c r="V10" s="68">
        <v>5</v>
      </c>
      <c r="W10" s="70"/>
      <c r="X10" s="71"/>
      <c r="Y10" s="69">
        <v>3</v>
      </c>
      <c r="Z10" s="68">
        <v>3</v>
      </c>
      <c r="AA10" s="68">
        <v>3</v>
      </c>
      <c r="AB10" s="68">
        <v>3</v>
      </c>
      <c r="AC10" s="68">
        <v>3</v>
      </c>
      <c r="AD10" s="70"/>
      <c r="AE10" s="71"/>
      <c r="AF10" s="69">
        <v>3</v>
      </c>
      <c r="AG10" s="68">
        <v>3</v>
      </c>
      <c r="AH10" s="68">
        <v>3</v>
      </c>
      <c r="AI10" s="68">
        <v>3</v>
      </c>
      <c r="AJ10" s="68">
        <v>3</v>
      </c>
      <c r="AK10" s="70"/>
      <c r="AL10" s="71"/>
      <c r="AM10" s="72">
        <v>7</v>
      </c>
      <c r="AN10" s="70">
        <v>7</v>
      </c>
      <c r="AO10" s="70">
        <v>7</v>
      </c>
      <c r="AP10" s="70">
        <v>7</v>
      </c>
      <c r="AQ10" s="70">
        <v>7</v>
      </c>
      <c r="AR10" s="73"/>
      <c r="AS10" s="80"/>
      <c r="AT10" s="187">
        <f t="shared" si="0"/>
        <v>3.2</v>
      </c>
      <c r="AU10" s="228">
        <f t="shared" si="1"/>
        <v>153</v>
      </c>
      <c r="AV10" s="168"/>
      <c r="AW10" s="168"/>
      <c r="AX10" s="168"/>
      <c r="AY10" s="168"/>
      <c r="AZ10" s="168"/>
      <c r="BA10" s="168"/>
      <c r="BB10" s="168"/>
      <c r="BC10" s="168"/>
      <c r="BD10" s="340">
        <v>38856</v>
      </c>
      <c r="BE10" s="182">
        <f t="shared" si="2"/>
        <v>139</v>
      </c>
      <c r="BF10" s="336">
        <v>0.8</v>
      </c>
      <c r="BG10" s="213">
        <v>39210</v>
      </c>
      <c r="BH10" s="182">
        <f t="shared" si="3"/>
        <v>128</v>
      </c>
      <c r="BI10" s="336">
        <v>1.56</v>
      </c>
      <c r="BJ10" s="213">
        <v>39591</v>
      </c>
      <c r="BK10" s="182">
        <f t="shared" si="4"/>
        <v>144</v>
      </c>
      <c r="BL10" s="336">
        <v>2.96</v>
      </c>
      <c r="BM10" s="213">
        <v>39948</v>
      </c>
      <c r="BN10" s="182">
        <v>135</v>
      </c>
      <c r="BO10" s="336">
        <v>0.8</v>
      </c>
      <c r="BP10" s="213">
        <v>40340</v>
      </c>
      <c r="BQ10" s="182">
        <v>162</v>
      </c>
      <c r="BR10" s="336">
        <v>5.2</v>
      </c>
      <c r="BS10" s="213">
        <v>40693</v>
      </c>
      <c r="BT10" s="182">
        <v>150</v>
      </c>
      <c r="BU10" s="336">
        <v>4.08</v>
      </c>
      <c r="BV10" s="182"/>
      <c r="BW10" s="182"/>
      <c r="BX10" s="182"/>
    </row>
    <row r="11" spans="1:76">
      <c r="A11" s="16" t="s">
        <v>30</v>
      </c>
      <c r="B11" s="131">
        <v>41068</v>
      </c>
      <c r="C11" s="68" t="s">
        <v>73</v>
      </c>
      <c r="D11" s="69">
        <v>4</v>
      </c>
      <c r="E11" s="68">
        <v>4</v>
      </c>
      <c r="F11" s="68">
        <v>4</v>
      </c>
      <c r="G11" s="68">
        <v>4</v>
      </c>
      <c r="H11" s="68">
        <v>4</v>
      </c>
      <c r="I11" s="70"/>
      <c r="J11" s="71"/>
      <c r="K11" s="69">
        <v>4</v>
      </c>
      <c r="L11" s="68">
        <v>4</v>
      </c>
      <c r="M11" s="68">
        <v>4</v>
      </c>
      <c r="N11" s="68">
        <v>4</v>
      </c>
      <c r="O11" s="68">
        <v>4</v>
      </c>
      <c r="P11" s="70"/>
      <c r="Q11" s="71"/>
      <c r="R11" s="69">
        <v>6</v>
      </c>
      <c r="S11" s="68">
        <v>6</v>
      </c>
      <c r="T11" s="68">
        <v>6</v>
      </c>
      <c r="U11" s="68">
        <v>6</v>
      </c>
      <c r="V11" s="68">
        <v>6</v>
      </c>
      <c r="W11" s="70"/>
      <c r="X11" s="71"/>
      <c r="Y11" s="69">
        <v>5</v>
      </c>
      <c r="Z11" s="68">
        <v>5</v>
      </c>
      <c r="AA11" s="68">
        <v>5</v>
      </c>
      <c r="AB11" s="68">
        <v>5</v>
      </c>
      <c r="AC11" s="68">
        <v>5</v>
      </c>
      <c r="AD11" s="70"/>
      <c r="AE11" s="71"/>
      <c r="AF11" s="69">
        <v>5</v>
      </c>
      <c r="AG11" s="68">
        <v>5</v>
      </c>
      <c r="AH11" s="68">
        <v>5</v>
      </c>
      <c r="AI11" s="68">
        <v>5</v>
      </c>
      <c r="AJ11" s="68">
        <v>5</v>
      </c>
      <c r="AK11" s="70"/>
      <c r="AL11" s="71"/>
      <c r="AM11" s="72">
        <v>7</v>
      </c>
      <c r="AN11" s="70">
        <v>7</v>
      </c>
      <c r="AO11" s="70">
        <v>7</v>
      </c>
      <c r="AP11" s="70">
        <v>7</v>
      </c>
      <c r="AQ11" s="70">
        <v>7</v>
      </c>
      <c r="AR11" s="73"/>
      <c r="AS11" s="80"/>
      <c r="AT11" s="187">
        <f t="shared" si="0"/>
        <v>4.8</v>
      </c>
      <c r="AU11" s="228">
        <f t="shared" si="1"/>
        <v>160</v>
      </c>
      <c r="AV11" s="168"/>
      <c r="AW11" s="168"/>
      <c r="AX11" s="168"/>
      <c r="AY11" s="168"/>
      <c r="AZ11" s="168"/>
      <c r="BA11" s="168"/>
      <c r="BB11" s="168"/>
      <c r="BC11" s="168"/>
      <c r="BD11" s="340">
        <v>38859</v>
      </c>
      <c r="BE11" s="182">
        <f t="shared" si="2"/>
        <v>142</v>
      </c>
      <c r="BF11" s="336">
        <v>1.04</v>
      </c>
      <c r="BG11" s="213">
        <v>39213</v>
      </c>
      <c r="BH11" s="182">
        <f t="shared" si="3"/>
        <v>131</v>
      </c>
      <c r="BI11" s="336">
        <v>1.68</v>
      </c>
      <c r="BJ11" s="213">
        <v>39598</v>
      </c>
      <c r="BK11" s="182">
        <f t="shared" si="4"/>
        <v>151</v>
      </c>
      <c r="BL11" s="336">
        <v>3.8</v>
      </c>
      <c r="BM11" s="213">
        <v>39953</v>
      </c>
      <c r="BN11" s="182">
        <v>140</v>
      </c>
      <c r="BO11" s="336">
        <v>1.4</v>
      </c>
      <c r="BP11" s="213">
        <v>40351</v>
      </c>
      <c r="BQ11" s="182">
        <v>173</v>
      </c>
      <c r="BR11" s="336">
        <v>6.2</v>
      </c>
      <c r="BS11" s="213">
        <v>40701</v>
      </c>
      <c r="BT11" s="182">
        <v>158</v>
      </c>
      <c r="BU11" s="336">
        <v>6.8</v>
      </c>
      <c r="BV11" s="182"/>
      <c r="BW11" s="182"/>
      <c r="BX11" s="182"/>
    </row>
    <row r="12" spans="1:76">
      <c r="A12" s="16" t="s">
        <v>30</v>
      </c>
      <c r="B12" s="131">
        <v>41074</v>
      </c>
      <c r="C12" s="68" t="s">
        <v>74</v>
      </c>
      <c r="D12" s="69">
        <v>6</v>
      </c>
      <c r="E12" s="68">
        <v>6</v>
      </c>
      <c r="F12" s="68">
        <v>6</v>
      </c>
      <c r="G12" s="68">
        <v>6</v>
      </c>
      <c r="H12" s="68">
        <v>6</v>
      </c>
      <c r="I12" s="70"/>
      <c r="J12" s="71"/>
      <c r="K12" s="69">
        <v>5</v>
      </c>
      <c r="L12" s="68">
        <v>5</v>
      </c>
      <c r="M12" s="68">
        <v>5</v>
      </c>
      <c r="N12" s="68">
        <v>5</v>
      </c>
      <c r="O12" s="68">
        <v>5</v>
      </c>
      <c r="P12" s="70"/>
      <c r="Q12" s="71"/>
      <c r="R12" s="69">
        <v>7</v>
      </c>
      <c r="S12" s="68">
        <v>7</v>
      </c>
      <c r="T12" s="68">
        <v>7</v>
      </c>
      <c r="U12" s="68">
        <v>7</v>
      </c>
      <c r="V12" s="68">
        <v>7</v>
      </c>
      <c r="W12" s="70"/>
      <c r="X12" s="71"/>
      <c r="Y12" s="69">
        <v>6</v>
      </c>
      <c r="Z12" s="68">
        <v>6</v>
      </c>
      <c r="AA12" s="68">
        <v>6</v>
      </c>
      <c r="AB12" s="68">
        <v>6</v>
      </c>
      <c r="AC12" s="68">
        <v>6</v>
      </c>
      <c r="AD12" s="70"/>
      <c r="AE12" s="71"/>
      <c r="AF12" s="69">
        <v>6</v>
      </c>
      <c r="AG12" s="68">
        <v>6</v>
      </c>
      <c r="AH12" s="68">
        <v>6</v>
      </c>
      <c r="AI12" s="68">
        <v>6</v>
      </c>
      <c r="AJ12" s="68">
        <v>6</v>
      </c>
      <c r="AK12" s="70"/>
      <c r="AL12" s="71"/>
      <c r="AM12" s="72">
        <v>8</v>
      </c>
      <c r="AN12" s="70">
        <v>8</v>
      </c>
      <c r="AO12" s="70">
        <v>8</v>
      </c>
      <c r="AP12" s="70">
        <v>8</v>
      </c>
      <c r="AQ12" s="70">
        <v>8</v>
      </c>
      <c r="AR12" s="73"/>
      <c r="AS12" s="80"/>
      <c r="AT12" s="187">
        <f t="shared" si="0"/>
        <v>6</v>
      </c>
      <c r="AU12" s="228">
        <f t="shared" si="1"/>
        <v>166</v>
      </c>
      <c r="AV12" s="168"/>
      <c r="AW12" s="168"/>
      <c r="AX12" s="168"/>
      <c r="AY12" s="168"/>
      <c r="AZ12" s="168"/>
      <c r="BA12" s="168"/>
      <c r="BB12" s="168"/>
      <c r="BC12" s="168"/>
      <c r="BD12" s="340">
        <v>38861</v>
      </c>
      <c r="BE12" s="182">
        <f t="shared" si="2"/>
        <v>144</v>
      </c>
      <c r="BF12" s="336">
        <v>1.24</v>
      </c>
      <c r="BG12" s="213">
        <v>39217</v>
      </c>
      <c r="BH12" s="182">
        <f t="shared" si="3"/>
        <v>135</v>
      </c>
      <c r="BI12" s="336">
        <v>2.12</v>
      </c>
      <c r="BJ12" s="213">
        <v>39604</v>
      </c>
      <c r="BK12" s="182">
        <f t="shared" si="4"/>
        <v>157</v>
      </c>
      <c r="BL12" s="336">
        <v>4.5999999999999996</v>
      </c>
      <c r="BM12" s="213">
        <v>39962</v>
      </c>
      <c r="BN12" s="182">
        <v>149</v>
      </c>
      <c r="BO12" s="336">
        <v>2.16</v>
      </c>
      <c r="BP12" s="213">
        <v>40361</v>
      </c>
      <c r="BQ12" s="182">
        <v>183</v>
      </c>
      <c r="BR12" s="336">
        <v>7</v>
      </c>
      <c r="BS12" s="213">
        <v>40710</v>
      </c>
      <c r="BT12" s="182">
        <v>167</v>
      </c>
      <c r="BU12" s="336">
        <v>7.8</v>
      </c>
      <c r="BV12" s="182"/>
      <c r="BW12" s="182"/>
      <c r="BX12" s="182"/>
    </row>
    <row r="13" spans="1:76">
      <c r="A13" s="16" t="s">
        <v>30</v>
      </c>
      <c r="B13" s="131">
        <v>41079</v>
      </c>
      <c r="C13" s="68" t="s">
        <v>73</v>
      </c>
      <c r="D13" s="69">
        <v>7</v>
      </c>
      <c r="E13" s="68">
        <v>7</v>
      </c>
      <c r="F13" s="68">
        <v>7</v>
      </c>
      <c r="G13" s="68">
        <v>7</v>
      </c>
      <c r="H13" s="68">
        <v>7</v>
      </c>
      <c r="I13" s="70"/>
      <c r="J13" s="71"/>
      <c r="K13" s="69">
        <v>7</v>
      </c>
      <c r="L13" s="68">
        <v>7</v>
      </c>
      <c r="M13" s="68">
        <v>7</v>
      </c>
      <c r="N13" s="68">
        <v>7</v>
      </c>
      <c r="O13" s="68">
        <v>7</v>
      </c>
      <c r="P13" s="70"/>
      <c r="Q13" s="71"/>
      <c r="R13" s="69">
        <v>7</v>
      </c>
      <c r="S13" s="68">
        <v>7</v>
      </c>
      <c r="T13" s="68">
        <v>7</v>
      </c>
      <c r="U13" s="68">
        <v>7</v>
      </c>
      <c r="V13" s="68">
        <v>7</v>
      </c>
      <c r="W13" s="70"/>
      <c r="X13" s="71"/>
      <c r="Y13" s="69">
        <v>7</v>
      </c>
      <c r="Z13" s="68">
        <v>7</v>
      </c>
      <c r="AA13" s="68">
        <v>7</v>
      </c>
      <c r="AB13" s="68">
        <v>7</v>
      </c>
      <c r="AC13" s="68">
        <v>7</v>
      </c>
      <c r="AD13" s="70"/>
      <c r="AE13" s="71"/>
      <c r="AF13" s="69">
        <v>7</v>
      </c>
      <c r="AG13" s="68">
        <v>7</v>
      </c>
      <c r="AH13" s="68">
        <v>7</v>
      </c>
      <c r="AI13" s="68">
        <v>7</v>
      </c>
      <c r="AJ13" s="68">
        <v>7</v>
      </c>
      <c r="AK13" s="70"/>
      <c r="AL13" s="71"/>
      <c r="AM13" s="72">
        <v>8</v>
      </c>
      <c r="AN13" s="70">
        <v>8</v>
      </c>
      <c r="AO13" s="70">
        <v>8</v>
      </c>
      <c r="AP13" s="70">
        <v>8</v>
      </c>
      <c r="AQ13" s="70">
        <v>8</v>
      </c>
      <c r="AR13" s="73"/>
      <c r="AS13" s="80"/>
      <c r="AT13" s="187">
        <f t="shared" si="0"/>
        <v>7</v>
      </c>
      <c r="AU13" s="228">
        <f t="shared" si="1"/>
        <v>171</v>
      </c>
      <c r="AV13" s="168"/>
      <c r="AW13" s="168"/>
      <c r="AX13" s="168"/>
      <c r="AY13" s="168"/>
      <c r="AZ13" s="168"/>
      <c r="BA13" s="168"/>
      <c r="BB13" s="168"/>
      <c r="BC13" s="168"/>
      <c r="BD13" s="340">
        <v>38863</v>
      </c>
      <c r="BE13" s="182">
        <f t="shared" si="2"/>
        <v>146</v>
      </c>
      <c r="BF13" s="336">
        <v>1.24</v>
      </c>
      <c r="BG13" s="213">
        <v>39220</v>
      </c>
      <c r="BH13" s="182">
        <f t="shared" si="3"/>
        <v>138</v>
      </c>
      <c r="BI13" s="336">
        <v>2.72</v>
      </c>
      <c r="BJ13" s="213">
        <v>39612</v>
      </c>
      <c r="BK13" s="182">
        <f t="shared" si="4"/>
        <v>165</v>
      </c>
      <c r="BL13" s="336">
        <v>5.04</v>
      </c>
      <c r="BM13" s="213">
        <v>39968</v>
      </c>
      <c r="BN13" s="182">
        <v>155</v>
      </c>
      <c r="BO13" s="336">
        <v>2.8</v>
      </c>
      <c r="BP13" s="213">
        <v>40368</v>
      </c>
      <c r="BQ13" s="182">
        <v>190</v>
      </c>
      <c r="BR13" s="336">
        <v>7.96</v>
      </c>
      <c r="BS13" s="213">
        <v>40717</v>
      </c>
      <c r="BT13" s="182">
        <v>174</v>
      </c>
      <c r="BU13" s="336">
        <v>8</v>
      </c>
      <c r="BV13" s="182"/>
      <c r="BW13" s="182"/>
      <c r="BX13" s="182"/>
    </row>
    <row r="14" spans="1:76">
      <c r="A14" s="16" t="s">
        <v>30</v>
      </c>
      <c r="B14" s="131">
        <v>41088</v>
      </c>
      <c r="C14" s="68" t="s">
        <v>84</v>
      </c>
      <c r="D14" s="69">
        <v>8</v>
      </c>
      <c r="E14" s="68">
        <v>8</v>
      </c>
      <c r="F14" s="68">
        <v>8</v>
      </c>
      <c r="G14" s="68">
        <v>8</v>
      </c>
      <c r="H14" s="68">
        <v>8</v>
      </c>
      <c r="I14" s="70"/>
      <c r="J14" s="71"/>
      <c r="K14" s="69">
        <v>8</v>
      </c>
      <c r="L14" s="68">
        <v>8</v>
      </c>
      <c r="M14" s="68">
        <v>8</v>
      </c>
      <c r="N14" s="68">
        <v>8</v>
      </c>
      <c r="O14" s="68">
        <v>8</v>
      </c>
      <c r="P14" s="70"/>
      <c r="Q14" s="71"/>
      <c r="R14" s="69">
        <v>8</v>
      </c>
      <c r="S14" s="68">
        <v>8</v>
      </c>
      <c r="T14" s="68">
        <v>8</v>
      </c>
      <c r="U14" s="68">
        <v>8</v>
      </c>
      <c r="V14" s="68">
        <v>8</v>
      </c>
      <c r="W14" s="70"/>
      <c r="X14" s="71"/>
      <c r="Y14" s="69">
        <v>8</v>
      </c>
      <c r="Z14" s="68">
        <v>8</v>
      </c>
      <c r="AA14" s="68">
        <v>8</v>
      </c>
      <c r="AB14" s="68">
        <v>8</v>
      </c>
      <c r="AC14" s="68">
        <v>8</v>
      </c>
      <c r="AD14" s="70"/>
      <c r="AE14" s="71"/>
      <c r="AF14" s="69">
        <v>8</v>
      </c>
      <c r="AG14" s="68">
        <v>8</v>
      </c>
      <c r="AH14" s="68">
        <v>8</v>
      </c>
      <c r="AI14" s="68">
        <v>8</v>
      </c>
      <c r="AJ14" s="68">
        <v>8</v>
      </c>
      <c r="AK14" s="70"/>
      <c r="AL14" s="71"/>
      <c r="AM14" s="72"/>
      <c r="AN14" s="70"/>
      <c r="AO14" s="70"/>
      <c r="AP14" s="70"/>
      <c r="AQ14" s="70"/>
      <c r="AR14" s="73"/>
      <c r="AS14" s="80"/>
      <c r="AT14" s="187">
        <f t="shared" si="0"/>
        <v>8</v>
      </c>
      <c r="AU14" s="228">
        <f t="shared" si="1"/>
        <v>180</v>
      </c>
      <c r="AV14" s="168"/>
      <c r="AW14" s="168"/>
      <c r="AX14" s="168"/>
      <c r="AY14" s="168"/>
      <c r="AZ14" s="168"/>
      <c r="BA14" s="168"/>
      <c r="BB14" s="168"/>
      <c r="BC14" s="168"/>
      <c r="BD14" s="340">
        <v>38866</v>
      </c>
      <c r="BE14" s="182">
        <f t="shared" si="2"/>
        <v>149</v>
      </c>
      <c r="BF14" s="336">
        <v>1.44</v>
      </c>
      <c r="BG14" s="213">
        <v>39224</v>
      </c>
      <c r="BH14" s="182">
        <f t="shared" si="3"/>
        <v>142</v>
      </c>
      <c r="BI14" s="336">
        <v>3.12</v>
      </c>
      <c r="BJ14" s="213">
        <v>39618</v>
      </c>
      <c r="BK14" s="182">
        <f t="shared" si="4"/>
        <v>171</v>
      </c>
      <c r="BL14" s="336">
        <v>5.541666666666667</v>
      </c>
      <c r="BM14" s="213">
        <v>39976</v>
      </c>
      <c r="BN14" s="182">
        <v>163</v>
      </c>
      <c r="BO14" s="336">
        <v>5.24</v>
      </c>
      <c r="BP14" s="213">
        <v>40375</v>
      </c>
      <c r="BQ14" s="182">
        <v>197</v>
      </c>
      <c r="BR14" s="336">
        <v>8</v>
      </c>
      <c r="BS14" s="213"/>
      <c r="BT14" s="182"/>
      <c r="BU14" s="336"/>
      <c r="BV14" s="182"/>
      <c r="BW14" s="182"/>
      <c r="BX14" s="182"/>
    </row>
    <row r="15" spans="1:76">
      <c r="A15" s="16" t="s">
        <v>30</v>
      </c>
      <c r="B15" s="131"/>
      <c r="C15" s="68"/>
      <c r="D15" s="69"/>
      <c r="E15" s="68"/>
      <c r="F15" s="68"/>
      <c r="G15" s="68"/>
      <c r="H15" s="68"/>
      <c r="I15" s="70"/>
      <c r="J15" s="71"/>
      <c r="K15" s="69"/>
      <c r="L15" s="68"/>
      <c r="M15" s="68"/>
      <c r="N15" s="68"/>
      <c r="O15" s="68"/>
      <c r="P15" s="70"/>
      <c r="Q15" s="71"/>
      <c r="R15" s="69"/>
      <c r="S15" s="68"/>
      <c r="T15" s="68"/>
      <c r="U15" s="68"/>
      <c r="V15" s="68"/>
      <c r="W15" s="70"/>
      <c r="X15" s="71"/>
      <c r="Y15" s="69"/>
      <c r="Z15" s="68"/>
      <c r="AA15" s="68"/>
      <c r="AB15" s="68"/>
      <c r="AC15" s="68"/>
      <c r="AD15" s="70"/>
      <c r="AE15" s="71"/>
      <c r="AF15" s="69"/>
      <c r="AG15" s="68"/>
      <c r="AH15" s="68"/>
      <c r="AI15" s="68"/>
      <c r="AJ15" s="68"/>
      <c r="AK15" s="70"/>
      <c r="AL15" s="71"/>
      <c r="AM15" s="72"/>
      <c r="AN15" s="70"/>
      <c r="AO15" s="70"/>
      <c r="AP15" s="70"/>
      <c r="AQ15" s="70"/>
      <c r="AR15" s="73"/>
      <c r="AS15" s="80"/>
      <c r="AT15" s="187">
        <f t="shared" si="0"/>
        <v>8</v>
      </c>
      <c r="AU15" s="228">
        <f t="shared" si="1"/>
        <v>180</v>
      </c>
      <c r="AV15" s="168"/>
      <c r="AW15" s="168"/>
      <c r="AX15" s="168"/>
      <c r="AY15" s="168"/>
      <c r="AZ15" s="168"/>
      <c r="BA15" s="168"/>
      <c r="BB15" s="168"/>
      <c r="BC15" s="168"/>
      <c r="BD15" s="340">
        <v>38868</v>
      </c>
      <c r="BE15" s="182">
        <f t="shared" si="2"/>
        <v>151</v>
      </c>
      <c r="BF15" s="336">
        <v>2.08</v>
      </c>
      <c r="BG15" s="213">
        <v>39227</v>
      </c>
      <c r="BH15" s="182">
        <f t="shared" si="3"/>
        <v>145</v>
      </c>
      <c r="BI15" s="336">
        <v>3.88</v>
      </c>
      <c r="BJ15" s="213">
        <v>39626</v>
      </c>
      <c r="BK15" s="182">
        <f t="shared" si="4"/>
        <v>179</v>
      </c>
      <c r="BL15" s="336">
        <v>6.458333333333333</v>
      </c>
      <c r="BM15" s="213">
        <v>39982</v>
      </c>
      <c r="BN15" s="182">
        <v>169</v>
      </c>
      <c r="BO15" s="336">
        <v>5.64</v>
      </c>
      <c r="BP15" s="213"/>
      <c r="BQ15" s="182"/>
      <c r="BR15" s="336"/>
      <c r="BS15" s="213"/>
      <c r="BT15" s="182"/>
      <c r="BU15" s="336"/>
      <c r="BV15" s="182"/>
      <c r="BW15" s="182"/>
      <c r="BX15" s="182"/>
    </row>
    <row r="16" spans="1:76">
      <c r="A16" s="16" t="s">
        <v>30</v>
      </c>
      <c r="B16" s="131"/>
      <c r="C16" s="68"/>
      <c r="D16" s="69"/>
      <c r="E16" s="68"/>
      <c r="F16" s="68"/>
      <c r="G16" s="68"/>
      <c r="H16" s="68"/>
      <c r="I16" s="70"/>
      <c r="J16" s="71"/>
      <c r="K16" s="69"/>
      <c r="L16" s="68"/>
      <c r="M16" s="68"/>
      <c r="N16" s="68"/>
      <c r="O16" s="68"/>
      <c r="P16" s="70"/>
      <c r="Q16" s="71"/>
      <c r="R16" s="69"/>
      <c r="S16" s="68"/>
      <c r="T16" s="68"/>
      <c r="U16" s="68"/>
      <c r="V16" s="68"/>
      <c r="W16" s="70"/>
      <c r="X16" s="71"/>
      <c r="Y16" s="69"/>
      <c r="Z16" s="68"/>
      <c r="AA16" s="68"/>
      <c r="AB16" s="68"/>
      <c r="AC16" s="68"/>
      <c r="AD16" s="70"/>
      <c r="AE16" s="71"/>
      <c r="AF16" s="69"/>
      <c r="AG16" s="68"/>
      <c r="AH16" s="68"/>
      <c r="AI16" s="68"/>
      <c r="AJ16" s="68"/>
      <c r="AK16" s="70"/>
      <c r="AL16" s="71"/>
      <c r="AM16" s="72"/>
      <c r="AN16" s="70"/>
      <c r="AO16" s="70"/>
      <c r="AP16" s="70"/>
      <c r="AQ16" s="70"/>
      <c r="AR16" s="73"/>
      <c r="AS16" s="80"/>
      <c r="AT16" s="187">
        <f t="shared" si="0"/>
        <v>8</v>
      </c>
      <c r="AU16" s="228">
        <f t="shared" si="1"/>
        <v>180</v>
      </c>
      <c r="AV16" s="168"/>
      <c r="AW16" s="168"/>
      <c r="AX16" s="168"/>
      <c r="AY16" s="168"/>
      <c r="AZ16" s="168"/>
      <c r="BA16" s="168"/>
      <c r="BB16" s="168"/>
      <c r="BC16" s="168"/>
      <c r="BD16" s="340">
        <v>38870</v>
      </c>
      <c r="BE16" s="182">
        <f t="shared" si="2"/>
        <v>153</v>
      </c>
      <c r="BF16" s="336">
        <v>2.44</v>
      </c>
      <c r="BG16" s="213">
        <v>39233</v>
      </c>
      <c r="BH16" s="182">
        <f t="shared" si="3"/>
        <v>151</v>
      </c>
      <c r="BI16" s="336">
        <v>4.5199999999999996</v>
      </c>
      <c r="BJ16" s="213">
        <v>39636</v>
      </c>
      <c r="BK16" s="182">
        <f t="shared" si="4"/>
        <v>189</v>
      </c>
      <c r="BL16" s="336">
        <v>7</v>
      </c>
      <c r="BM16" s="213">
        <v>39989</v>
      </c>
      <c r="BN16" s="182">
        <v>176</v>
      </c>
      <c r="BO16" s="336">
        <v>6.92</v>
      </c>
      <c r="BP16" s="213"/>
      <c r="BQ16" s="182"/>
      <c r="BR16" s="336"/>
      <c r="BS16" s="213"/>
      <c r="BT16" s="182"/>
      <c r="BU16" s="336"/>
      <c r="BV16" s="182"/>
      <c r="BW16" s="182"/>
      <c r="BX16" s="182"/>
    </row>
    <row r="17" spans="1:76">
      <c r="A17" s="16" t="s">
        <v>30</v>
      </c>
      <c r="B17" s="131"/>
      <c r="C17" s="68"/>
      <c r="D17" s="69"/>
      <c r="E17" s="68"/>
      <c r="F17" s="68"/>
      <c r="G17" s="68"/>
      <c r="H17" s="68"/>
      <c r="I17" s="70"/>
      <c r="J17" s="71"/>
      <c r="K17" s="69"/>
      <c r="L17" s="68"/>
      <c r="M17" s="68"/>
      <c r="N17" s="68"/>
      <c r="O17" s="68"/>
      <c r="P17" s="70"/>
      <c r="Q17" s="71"/>
      <c r="R17" s="69"/>
      <c r="S17" s="68"/>
      <c r="T17" s="68"/>
      <c r="U17" s="68"/>
      <c r="V17" s="68"/>
      <c r="W17" s="70"/>
      <c r="X17" s="71"/>
      <c r="Y17" s="69"/>
      <c r="Z17" s="68"/>
      <c r="AA17" s="68"/>
      <c r="AB17" s="68"/>
      <c r="AC17" s="68"/>
      <c r="AD17" s="70"/>
      <c r="AE17" s="71"/>
      <c r="AF17" s="69"/>
      <c r="AG17" s="68"/>
      <c r="AH17" s="68"/>
      <c r="AI17" s="68"/>
      <c r="AJ17" s="68"/>
      <c r="AK17" s="70"/>
      <c r="AL17" s="71"/>
      <c r="AM17" s="72"/>
      <c r="AN17" s="70"/>
      <c r="AO17" s="70"/>
      <c r="AP17" s="70"/>
      <c r="AQ17" s="70"/>
      <c r="AR17" s="73"/>
      <c r="AS17" s="80"/>
      <c r="AT17" s="187">
        <f t="shared" si="0"/>
        <v>8</v>
      </c>
      <c r="AU17" s="228">
        <f t="shared" si="1"/>
        <v>180</v>
      </c>
      <c r="AV17" s="168"/>
      <c r="AW17" s="168"/>
      <c r="AX17" s="168"/>
      <c r="AY17" s="168"/>
      <c r="AZ17" s="168"/>
      <c r="BA17" s="168"/>
      <c r="BB17" s="168"/>
      <c r="BC17" s="168"/>
      <c r="BD17" s="340">
        <v>38873</v>
      </c>
      <c r="BE17" s="182">
        <f t="shared" si="2"/>
        <v>156</v>
      </c>
      <c r="BF17" s="336">
        <v>3.2</v>
      </c>
      <c r="BG17" s="213">
        <v>39234</v>
      </c>
      <c r="BH17" s="182">
        <f t="shared" si="3"/>
        <v>152</v>
      </c>
      <c r="BI17" s="336">
        <v>5</v>
      </c>
      <c r="BJ17" s="213">
        <v>39640</v>
      </c>
      <c r="BK17" s="182">
        <f t="shared" si="4"/>
        <v>193</v>
      </c>
      <c r="BL17" s="336">
        <v>7.416666666666667</v>
      </c>
      <c r="BM17" s="213">
        <v>39995</v>
      </c>
      <c r="BN17" s="182">
        <v>182</v>
      </c>
      <c r="BO17" s="336">
        <v>7.52</v>
      </c>
      <c r="BP17" s="213"/>
      <c r="BQ17" s="182"/>
      <c r="BR17" s="336"/>
      <c r="BS17" s="213"/>
      <c r="BT17" s="182"/>
      <c r="BU17" s="336"/>
      <c r="BV17" s="182"/>
      <c r="BW17" s="182"/>
      <c r="BX17" s="182"/>
    </row>
    <row r="18" spans="1:76">
      <c r="A18" s="16" t="s">
        <v>30</v>
      </c>
      <c r="B18" s="131"/>
      <c r="C18" s="68"/>
      <c r="D18" s="69"/>
      <c r="E18" s="68"/>
      <c r="F18" s="68"/>
      <c r="G18" s="68"/>
      <c r="H18" s="68"/>
      <c r="I18" s="70"/>
      <c r="J18" s="71"/>
      <c r="K18" s="69"/>
      <c r="L18" s="68"/>
      <c r="M18" s="68"/>
      <c r="N18" s="68"/>
      <c r="O18" s="68"/>
      <c r="P18" s="70"/>
      <c r="Q18" s="71"/>
      <c r="R18" s="69"/>
      <c r="S18" s="68"/>
      <c r="T18" s="68"/>
      <c r="U18" s="68"/>
      <c r="V18" s="68"/>
      <c r="W18" s="70"/>
      <c r="X18" s="71"/>
      <c r="Y18" s="69"/>
      <c r="Z18" s="68"/>
      <c r="AA18" s="68"/>
      <c r="AB18" s="68"/>
      <c r="AC18" s="68"/>
      <c r="AD18" s="70"/>
      <c r="AE18" s="71"/>
      <c r="AF18" s="69"/>
      <c r="AG18" s="68"/>
      <c r="AH18" s="68"/>
      <c r="AI18" s="68"/>
      <c r="AJ18" s="68"/>
      <c r="AK18" s="70"/>
      <c r="AL18" s="71"/>
      <c r="AM18" s="72"/>
      <c r="AN18" s="70"/>
      <c r="AO18" s="70"/>
      <c r="AP18" s="70"/>
      <c r="AQ18" s="70"/>
      <c r="AR18" s="73"/>
      <c r="AS18" s="80"/>
      <c r="AT18" s="187">
        <f t="shared" si="0"/>
        <v>8</v>
      </c>
      <c r="AU18" s="228">
        <f t="shared" si="1"/>
        <v>180</v>
      </c>
      <c r="AV18" s="168"/>
      <c r="AW18" s="168"/>
      <c r="AX18" s="168"/>
      <c r="AY18" s="168"/>
      <c r="AZ18" s="168"/>
      <c r="BA18" s="168"/>
      <c r="BB18" s="168"/>
      <c r="BC18" s="168"/>
      <c r="BD18" s="340">
        <v>38875</v>
      </c>
      <c r="BE18" s="182">
        <f t="shared" si="2"/>
        <v>158</v>
      </c>
      <c r="BF18" s="336">
        <v>3.52</v>
      </c>
      <c r="BG18" s="213">
        <v>39238</v>
      </c>
      <c r="BH18" s="182">
        <f t="shared" si="3"/>
        <v>156</v>
      </c>
      <c r="BI18" s="336">
        <v>5.64</v>
      </c>
      <c r="BJ18" s="213">
        <v>39647</v>
      </c>
      <c r="BK18" s="182">
        <f t="shared" si="4"/>
        <v>200</v>
      </c>
      <c r="BL18" s="336">
        <v>7.833333333333333</v>
      </c>
      <c r="BM18" s="213">
        <v>40004</v>
      </c>
      <c r="BN18" s="182">
        <v>191</v>
      </c>
      <c r="BO18" s="336">
        <v>7.92</v>
      </c>
      <c r="BP18" s="213"/>
      <c r="BQ18" s="182"/>
      <c r="BR18" s="336"/>
      <c r="BS18" s="213"/>
      <c r="BT18" s="182"/>
      <c r="BU18" s="336"/>
      <c r="BV18" s="182"/>
      <c r="BW18" s="182"/>
      <c r="BX18" s="182"/>
    </row>
    <row r="19" spans="1:76">
      <c r="A19" s="16" t="s">
        <v>30</v>
      </c>
      <c r="B19" s="131"/>
      <c r="C19" s="68"/>
      <c r="D19" s="69"/>
      <c r="E19" s="68"/>
      <c r="F19" s="68"/>
      <c r="G19" s="68"/>
      <c r="H19" s="68"/>
      <c r="I19" s="70"/>
      <c r="J19" s="71"/>
      <c r="K19" s="69"/>
      <c r="L19" s="68"/>
      <c r="M19" s="68"/>
      <c r="N19" s="68"/>
      <c r="O19" s="68"/>
      <c r="P19" s="70"/>
      <c r="Q19" s="71"/>
      <c r="R19" s="69"/>
      <c r="S19" s="68"/>
      <c r="T19" s="68"/>
      <c r="U19" s="68"/>
      <c r="V19" s="68"/>
      <c r="W19" s="70"/>
      <c r="X19" s="71"/>
      <c r="Y19" s="69"/>
      <c r="Z19" s="68"/>
      <c r="AA19" s="68"/>
      <c r="AB19" s="68"/>
      <c r="AC19" s="68"/>
      <c r="AD19" s="70"/>
      <c r="AE19" s="71"/>
      <c r="AF19" s="69"/>
      <c r="AG19" s="68"/>
      <c r="AH19" s="68"/>
      <c r="AI19" s="68"/>
      <c r="AJ19" s="68"/>
      <c r="AK19" s="70"/>
      <c r="AL19" s="71"/>
      <c r="AM19" s="72"/>
      <c r="AN19" s="70"/>
      <c r="AO19" s="70"/>
      <c r="AP19" s="70"/>
      <c r="AQ19" s="70"/>
      <c r="AR19" s="73"/>
      <c r="AS19" s="80"/>
      <c r="AT19" s="187">
        <f t="shared" si="0"/>
        <v>8</v>
      </c>
      <c r="AU19" s="228">
        <f t="shared" si="1"/>
        <v>180</v>
      </c>
      <c r="AV19" s="168"/>
      <c r="AW19" s="168"/>
      <c r="AX19" s="168"/>
      <c r="AY19" s="168"/>
      <c r="AZ19" s="168"/>
      <c r="BA19" s="168"/>
      <c r="BB19" s="168"/>
      <c r="BC19" s="168"/>
      <c r="BD19" s="340">
        <v>38877</v>
      </c>
      <c r="BE19" s="182">
        <f t="shared" si="2"/>
        <v>160</v>
      </c>
      <c r="BF19" s="336">
        <v>3.84</v>
      </c>
      <c r="BG19" s="213">
        <v>39240</v>
      </c>
      <c r="BH19" s="182">
        <f t="shared" si="3"/>
        <v>158</v>
      </c>
      <c r="BI19" s="336">
        <v>6.48</v>
      </c>
      <c r="BJ19" s="213">
        <v>39654</v>
      </c>
      <c r="BK19" s="182">
        <f t="shared" si="4"/>
        <v>207</v>
      </c>
      <c r="BL19" s="336">
        <v>8</v>
      </c>
      <c r="BM19" s="213">
        <v>40011</v>
      </c>
      <c r="BN19" s="182">
        <v>198</v>
      </c>
      <c r="BO19" s="336">
        <v>8</v>
      </c>
      <c r="BP19" s="213"/>
      <c r="BQ19" s="182"/>
      <c r="BR19" s="336"/>
      <c r="BS19" s="213"/>
      <c r="BT19" s="182"/>
      <c r="BU19" s="336"/>
      <c r="BV19" s="182"/>
      <c r="BW19" s="182"/>
      <c r="BX19" s="182"/>
    </row>
    <row r="20" spans="1:76">
      <c r="A20" s="16" t="s">
        <v>30</v>
      </c>
      <c r="B20" s="131"/>
      <c r="C20" s="68"/>
      <c r="D20" s="69"/>
      <c r="E20" s="68"/>
      <c r="F20" s="68"/>
      <c r="G20" s="68"/>
      <c r="H20" s="68"/>
      <c r="I20" s="70"/>
      <c r="J20" s="71"/>
      <c r="K20" s="69"/>
      <c r="L20" s="68"/>
      <c r="M20" s="68"/>
      <c r="N20" s="68"/>
      <c r="O20" s="68"/>
      <c r="P20" s="70"/>
      <c r="Q20" s="71"/>
      <c r="R20" s="69"/>
      <c r="S20" s="68"/>
      <c r="T20" s="68"/>
      <c r="U20" s="68"/>
      <c r="V20" s="68"/>
      <c r="W20" s="70"/>
      <c r="X20" s="71"/>
      <c r="Y20" s="69"/>
      <c r="Z20" s="68"/>
      <c r="AA20" s="68"/>
      <c r="AB20" s="68"/>
      <c r="AC20" s="68"/>
      <c r="AD20" s="70"/>
      <c r="AE20" s="71"/>
      <c r="AF20" s="69"/>
      <c r="AG20" s="68"/>
      <c r="AH20" s="68"/>
      <c r="AI20" s="68"/>
      <c r="AJ20" s="68"/>
      <c r="AK20" s="70"/>
      <c r="AL20" s="71"/>
      <c r="AM20" s="72"/>
      <c r="AN20" s="70"/>
      <c r="AO20" s="70"/>
      <c r="AP20" s="70"/>
      <c r="AQ20" s="70"/>
      <c r="AR20" s="73"/>
      <c r="AS20" s="80"/>
      <c r="AT20" s="187">
        <f t="shared" si="0"/>
        <v>8</v>
      </c>
      <c r="AU20" s="228">
        <f t="shared" si="1"/>
        <v>180</v>
      </c>
      <c r="AV20" s="168"/>
      <c r="AW20" s="168"/>
      <c r="AX20" s="168"/>
      <c r="AY20" s="168"/>
      <c r="AZ20" s="168"/>
      <c r="BA20" s="168"/>
      <c r="BB20" s="168"/>
      <c r="BC20" s="168"/>
      <c r="BD20" s="340">
        <v>38880</v>
      </c>
      <c r="BE20" s="182">
        <f t="shared" si="2"/>
        <v>163</v>
      </c>
      <c r="BF20" s="336">
        <v>4.96</v>
      </c>
      <c r="BG20" s="213">
        <v>39248</v>
      </c>
      <c r="BH20" s="182">
        <f t="shared" si="3"/>
        <v>166</v>
      </c>
      <c r="BI20" s="336">
        <v>6.72</v>
      </c>
      <c r="BJ20" s="213">
        <v>39661</v>
      </c>
      <c r="BK20" s="182">
        <f t="shared" si="4"/>
        <v>214</v>
      </c>
      <c r="BL20" s="336">
        <v>8</v>
      </c>
      <c r="BM20" s="213"/>
      <c r="BN20" s="182"/>
      <c r="BO20" s="336"/>
      <c r="BP20" s="213"/>
      <c r="BQ20" s="182"/>
      <c r="BR20" s="336"/>
      <c r="BS20" s="213"/>
      <c r="BT20" s="182"/>
      <c r="BU20" s="336"/>
      <c r="BV20" s="182"/>
      <c r="BW20" s="182"/>
      <c r="BX20" s="182"/>
    </row>
    <row r="21" spans="1:76">
      <c r="A21" s="16" t="s">
        <v>30</v>
      </c>
      <c r="B21" s="131"/>
      <c r="C21" s="68"/>
      <c r="D21" s="69"/>
      <c r="E21" s="68"/>
      <c r="F21" s="68"/>
      <c r="G21" s="68"/>
      <c r="H21" s="68"/>
      <c r="I21" s="70"/>
      <c r="J21" s="71"/>
      <c r="K21" s="69"/>
      <c r="L21" s="68"/>
      <c r="M21" s="68"/>
      <c r="N21" s="68"/>
      <c r="O21" s="68"/>
      <c r="P21" s="70"/>
      <c r="Q21" s="71"/>
      <c r="R21" s="69"/>
      <c r="S21" s="68"/>
      <c r="T21" s="68"/>
      <c r="U21" s="68"/>
      <c r="V21" s="68"/>
      <c r="W21" s="70"/>
      <c r="X21" s="71"/>
      <c r="Y21" s="69"/>
      <c r="Z21" s="68"/>
      <c r="AA21" s="68"/>
      <c r="AB21" s="68"/>
      <c r="AC21" s="68"/>
      <c r="AD21" s="70"/>
      <c r="AE21" s="71"/>
      <c r="AF21" s="69"/>
      <c r="AG21" s="68"/>
      <c r="AH21" s="68"/>
      <c r="AI21" s="68"/>
      <c r="AJ21" s="68"/>
      <c r="AK21" s="70"/>
      <c r="AL21" s="71"/>
      <c r="AM21" s="72"/>
      <c r="AN21" s="70"/>
      <c r="AO21" s="70"/>
      <c r="AP21" s="70"/>
      <c r="AQ21" s="70"/>
      <c r="AR21" s="73"/>
      <c r="AS21" s="80"/>
      <c r="AT21" s="187">
        <f t="shared" ref="AT21:AT34" si="5">IF(COUNT(D21:AL21)=0,AT20,AVERAGE(D21:AL21))</f>
        <v>8</v>
      </c>
      <c r="AU21" s="228">
        <f t="shared" ref="AU21:AU34" si="6">IF(B21=0,AU20,B21-DATE(YEAR(B21)-1,12,31))</f>
        <v>180</v>
      </c>
      <c r="AV21" s="168"/>
      <c r="AW21" s="168"/>
      <c r="AX21" s="168"/>
      <c r="AY21" s="168"/>
      <c r="AZ21" s="168"/>
      <c r="BA21" s="168"/>
      <c r="BB21" s="168"/>
      <c r="BC21" s="168"/>
      <c r="BD21" s="340">
        <v>38883</v>
      </c>
      <c r="BE21" s="182">
        <f t="shared" si="2"/>
        <v>166</v>
      </c>
      <c r="BF21" s="336">
        <v>5.36</v>
      </c>
      <c r="BG21" s="213">
        <v>39253</v>
      </c>
      <c r="BH21" s="182">
        <f t="shared" si="3"/>
        <v>171</v>
      </c>
      <c r="BI21" s="336">
        <v>6.96</v>
      </c>
      <c r="BJ21" s="213"/>
      <c r="BK21" s="182"/>
      <c r="BL21" s="336"/>
      <c r="BM21" s="213"/>
      <c r="BN21" s="182"/>
      <c r="BO21" s="336"/>
      <c r="BP21" s="213"/>
      <c r="BQ21" s="182"/>
      <c r="BR21" s="336"/>
      <c r="BS21" s="213"/>
      <c r="BT21" s="182"/>
      <c r="BU21" s="336"/>
      <c r="BV21" s="182"/>
      <c r="BW21" s="182"/>
      <c r="BX21" s="182"/>
    </row>
    <row r="22" spans="1:76">
      <c r="A22" s="16" t="s">
        <v>30</v>
      </c>
      <c r="B22" s="131"/>
      <c r="C22" s="68"/>
      <c r="D22" s="69"/>
      <c r="E22" s="68"/>
      <c r="F22" s="68"/>
      <c r="G22" s="68"/>
      <c r="H22" s="68"/>
      <c r="I22" s="70"/>
      <c r="J22" s="71"/>
      <c r="K22" s="69"/>
      <c r="L22" s="68"/>
      <c r="M22" s="68"/>
      <c r="N22" s="68"/>
      <c r="O22" s="68"/>
      <c r="P22" s="70"/>
      <c r="Q22" s="71"/>
      <c r="R22" s="69"/>
      <c r="S22" s="68"/>
      <c r="T22" s="68"/>
      <c r="U22" s="68"/>
      <c r="V22" s="68"/>
      <c r="W22" s="70"/>
      <c r="X22" s="71"/>
      <c r="Y22" s="69"/>
      <c r="Z22" s="68"/>
      <c r="AA22" s="68"/>
      <c r="AB22" s="68"/>
      <c r="AC22" s="68"/>
      <c r="AD22" s="70"/>
      <c r="AE22" s="71"/>
      <c r="AF22" s="69"/>
      <c r="AG22" s="68"/>
      <c r="AH22" s="68"/>
      <c r="AI22" s="68"/>
      <c r="AJ22" s="68"/>
      <c r="AK22" s="70"/>
      <c r="AL22" s="71"/>
      <c r="AM22" s="72"/>
      <c r="AN22" s="70"/>
      <c r="AO22" s="70"/>
      <c r="AP22" s="70"/>
      <c r="AQ22" s="70"/>
      <c r="AR22" s="73"/>
      <c r="AS22" s="80"/>
      <c r="AT22" s="187">
        <f t="shared" si="5"/>
        <v>8</v>
      </c>
      <c r="AU22" s="228">
        <f t="shared" si="6"/>
        <v>180</v>
      </c>
      <c r="AV22" s="168"/>
      <c r="AW22" s="168"/>
      <c r="AX22" s="168"/>
      <c r="AY22" s="168"/>
      <c r="AZ22" s="168"/>
      <c r="BA22" s="168"/>
      <c r="BB22" s="168"/>
      <c r="BC22" s="168"/>
      <c r="BD22" s="340">
        <v>38887</v>
      </c>
      <c r="BE22" s="182">
        <f t="shared" si="2"/>
        <v>170</v>
      </c>
      <c r="BF22" s="336">
        <v>6</v>
      </c>
      <c r="BG22" s="213">
        <v>39262</v>
      </c>
      <c r="BH22" s="182">
        <f t="shared" si="3"/>
        <v>180</v>
      </c>
      <c r="BI22" s="336">
        <v>7.84</v>
      </c>
      <c r="BJ22" s="213"/>
      <c r="BK22" s="182"/>
      <c r="BL22" s="336"/>
      <c r="BM22" s="213"/>
      <c r="BN22" s="182"/>
      <c r="BO22" s="336"/>
      <c r="BP22" s="213"/>
      <c r="BQ22" s="182"/>
      <c r="BR22" s="336"/>
      <c r="BS22" s="213"/>
      <c r="BT22" s="182"/>
      <c r="BU22" s="336"/>
      <c r="BV22" s="182"/>
      <c r="BW22" s="182"/>
      <c r="BX22" s="182"/>
    </row>
    <row r="23" spans="1:76">
      <c r="A23" s="16" t="s">
        <v>30</v>
      </c>
      <c r="B23" s="131"/>
      <c r="C23" s="68"/>
      <c r="D23" s="69"/>
      <c r="E23" s="68"/>
      <c r="F23" s="68"/>
      <c r="G23" s="68"/>
      <c r="H23" s="68"/>
      <c r="I23" s="70"/>
      <c r="J23" s="71"/>
      <c r="K23" s="69"/>
      <c r="L23" s="68"/>
      <c r="M23" s="68"/>
      <c r="N23" s="68"/>
      <c r="O23" s="68"/>
      <c r="P23" s="70"/>
      <c r="Q23" s="71"/>
      <c r="R23" s="69"/>
      <c r="S23" s="68"/>
      <c r="T23" s="68"/>
      <c r="U23" s="68"/>
      <c r="V23" s="68"/>
      <c r="W23" s="70"/>
      <c r="X23" s="71"/>
      <c r="Y23" s="69"/>
      <c r="Z23" s="68"/>
      <c r="AA23" s="68"/>
      <c r="AB23" s="68"/>
      <c r="AC23" s="68"/>
      <c r="AD23" s="70"/>
      <c r="AE23" s="71"/>
      <c r="AF23" s="69"/>
      <c r="AG23" s="68"/>
      <c r="AH23" s="68"/>
      <c r="AI23" s="68"/>
      <c r="AJ23" s="68"/>
      <c r="AK23" s="70"/>
      <c r="AL23" s="71"/>
      <c r="AM23" s="72"/>
      <c r="AN23" s="70"/>
      <c r="AO23" s="70"/>
      <c r="AP23" s="70"/>
      <c r="AQ23" s="70"/>
      <c r="AR23" s="73"/>
      <c r="AS23" s="80"/>
      <c r="AT23" s="187">
        <f t="shared" si="5"/>
        <v>8</v>
      </c>
      <c r="AU23" s="228">
        <f t="shared" si="6"/>
        <v>180</v>
      </c>
      <c r="AV23" s="168"/>
      <c r="AW23" s="168"/>
      <c r="AX23" s="168"/>
      <c r="AY23" s="168"/>
      <c r="AZ23" s="168"/>
      <c r="BA23" s="168"/>
      <c r="BB23" s="168"/>
      <c r="BC23" s="168"/>
      <c r="BD23" s="340">
        <v>38889</v>
      </c>
      <c r="BE23" s="182">
        <f t="shared" si="2"/>
        <v>172</v>
      </c>
      <c r="BF23" s="336">
        <v>6.4</v>
      </c>
      <c r="BG23" s="213">
        <v>39269</v>
      </c>
      <c r="BH23" s="182">
        <f t="shared" si="3"/>
        <v>187</v>
      </c>
      <c r="BI23" s="336">
        <v>7.92</v>
      </c>
      <c r="BJ23" s="213"/>
      <c r="BK23" s="182"/>
      <c r="BL23" s="336"/>
      <c r="BM23" s="213"/>
      <c r="BN23" s="182"/>
      <c r="BO23" s="336"/>
      <c r="BP23" s="213"/>
      <c r="BQ23" s="182"/>
      <c r="BR23" s="336"/>
      <c r="BS23" s="213"/>
      <c r="BT23" s="182"/>
      <c r="BU23" s="336"/>
      <c r="BV23" s="182"/>
      <c r="BW23" s="182"/>
      <c r="BX23" s="182"/>
    </row>
    <row r="24" spans="1:76">
      <c r="A24" s="16" t="s">
        <v>30</v>
      </c>
      <c r="B24" s="131"/>
      <c r="C24" s="68"/>
      <c r="D24" s="69"/>
      <c r="E24" s="68"/>
      <c r="F24" s="68"/>
      <c r="G24" s="68"/>
      <c r="H24" s="68"/>
      <c r="I24" s="70"/>
      <c r="J24" s="71"/>
      <c r="K24" s="69"/>
      <c r="L24" s="68"/>
      <c r="M24" s="68"/>
      <c r="N24" s="68"/>
      <c r="O24" s="68"/>
      <c r="P24" s="70"/>
      <c r="Q24" s="71"/>
      <c r="R24" s="69"/>
      <c r="S24" s="68"/>
      <c r="T24" s="68"/>
      <c r="U24" s="68"/>
      <c r="V24" s="68"/>
      <c r="W24" s="70"/>
      <c r="X24" s="71"/>
      <c r="Y24" s="69"/>
      <c r="Z24" s="68"/>
      <c r="AA24" s="68"/>
      <c r="AB24" s="68"/>
      <c r="AC24" s="68"/>
      <c r="AD24" s="70"/>
      <c r="AE24" s="71"/>
      <c r="AF24" s="69"/>
      <c r="AG24" s="68"/>
      <c r="AH24" s="68"/>
      <c r="AI24" s="68"/>
      <c r="AJ24" s="68"/>
      <c r="AK24" s="70"/>
      <c r="AL24" s="71"/>
      <c r="AM24" s="72"/>
      <c r="AN24" s="70"/>
      <c r="AO24" s="70"/>
      <c r="AP24" s="70"/>
      <c r="AQ24" s="70"/>
      <c r="AR24" s="73"/>
      <c r="AS24" s="80"/>
      <c r="AT24" s="187">
        <f t="shared" si="5"/>
        <v>8</v>
      </c>
      <c r="AU24" s="228">
        <f t="shared" si="6"/>
        <v>180</v>
      </c>
      <c r="AV24" s="168"/>
      <c r="AW24" s="168"/>
      <c r="AX24" s="168"/>
      <c r="AY24" s="168"/>
      <c r="AZ24" s="168"/>
      <c r="BA24" s="168"/>
      <c r="BB24" s="168"/>
      <c r="BC24" s="168"/>
      <c r="BD24" s="340">
        <v>38894</v>
      </c>
      <c r="BE24" s="182">
        <f t="shared" si="2"/>
        <v>177</v>
      </c>
      <c r="BF24" s="336">
        <v>6.4</v>
      </c>
      <c r="BG24" s="213">
        <v>39276</v>
      </c>
      <c r="BH24" s="182">
        <f t="shared" si="3"/>
        <v>194</v>
      </c>
      <c r="BI24" s="336">
        <v>7.92</v>
      </c>
      <c r="BJ24" s="213"/>
      <c r="BK24" s="182"/>
      <c r="BL24" s="336"/>
      <c r="BM24" s="213"/>
      <c r="BN24" s="182"/>
      <c r="BO24" s="336"/>
      <c r="BP24" s="213"/>
      <c r="BQ24" s="182"/>
      <c r="BR24" s="336"/>
      <c r="BS24" s="213"/>
      <c r="BT24" s="182"/>
      <c r="BU24" s="336"/>
      <c r="BV24" s="182"/>
      <c r="BW24" s="182"/>
      <c r="BX24" s="182"/>
    </row>
    <row r="25" spans="1:76">
      <c r="A25" s="16" t="s">
        <v>30</v>
      </c>
      <c r="B25" s="131"/>
      <c r="C25" s="68"/>
      <c r="D25" s="69"/>
      <c r="E25" s="68"/>
      <c r="F25" s="68"/>
      <c r="G25" s="68"/>
      <c r="H25" s="68"/>
      <c r="I25" s="70"/>
      <c r="J25" s="71"/>
      <c r="K25" s="69"/>
      <c r="L25" s="68"/>
      <c r="M25" s="68"/>
      <c r="N25" s="68"/>
      <c r="O25" s="68"/>
      <c r="P25" s="70"/>
      <c r="Q25" s="71"/>
      <c r="R25" s="69"/>
      <c r="S25" s="68"/>
      <c r="T25" s="68"/>
      <c r="U25" s="68"/>
      <c r="V25" s="68"/>
      <c r="W25" s="70"/>
      <c r="X25" s="71"/>
      <c r="Y25" s="69"/>
      <c r="Z25" s="68"/>
      <c r="AA25" s="68"/>
      <c r="AB25" s="68"/>
      <c r="AC25" s="68"/>
      <c r="AD25" s="70"/>
      <c r="AE25" s="71"/>
      <c r="AF25" s="69"/>
      <c r="AG25" s="68"/>
      <c r="AH25" s="68"/>
      <c r="AI25" s="68"/>
      <c r="AJ25" s="68"/>
      <c r="AK25" s="70"/>
      <c r="AL25" s="71"/>
      <c r="AM25" s="72"/>
      <c r="AN25" s="70"/>
      <c r="AO25" s="70"/>
      <c r="AP25" s="70"/>
      <c r="AQ25" s="70"/>
      <c r="AR25" s="73"/>
      <c r="AS25" s="80"/>
      <c r="AT25" s="187">
        <f t="shared" si="5"/>
        <v>8</v>
      </c>
      <c r="AU25" s="228">
        <f t="shared" si="6"/>
        <v>180</v>
      </c>
      <c r="AV25" s="168"/>
      <c r="AW25" s="168"/>
      <c r="AX25" s="168"/>
      <c r="AY25" s="168"/>
      <c r="AZ25" s="168"/>
      <c r="BA25" s="168"/>
      <c r="BB25" s="168"/>
      <c r="BC25" s="168"/>
      <c r="BD25" s="340">
        <v>38896</v>
      </c>
      <c r="BE25" s="182">
        <f t="shared" si="2"/>
        <v>179</v>
      </c>
      <c r="BF25" s="336">
        <v>6.4</v>
      </c>
      <c r="BG25" s="213"/>
      <c r="BH25" s="182"/>
      <c r="BI25" s="336"/>
      <c r="BJ25" s="213"/>
      <c r="BK25" s="182"/>
      <c r="BL25" s="336"/>
      <c r="BM25" s="213"/>
      <c r="BN25" s="182"/>
      <c r="BO25" s="336"/>
      <c r="BP25" s="213"/>
      <c r="BQ25" s="182"/>
      <c r="BR25" s="336"/>
      <c r="BS25" s="213"/>
      <c r="BT25" s="182"/>
      <c r="BU25" s="336"/>
      <c r="BV25" s="182"/>
      <c r="BW25" s="182"/>
      <c r="BX25" s="182"/>
    </row>
    <row r="26" spans="1:76">
      <c r="A26" s="16" t="s">
        <v>30</v>
      </c>
      <c r="B26" s="131"/>
      <c r="C26" s="68"/>
      <c r="D26" s="69"/>
      <c r="E26" s="68"/>
      <c r="F26" s="68"/>
      <c r="G26" s="68"/>
      <c r="H26" s="68"/>
      <c r="I26" s="70"/>
      <c r="J26" s="71"/>
      <c r="K26" s="69"/>
      <c r="L26" s="68"/>
      <c r="M26" s="68"/>
      <c r="N26" s="68"/>
      <c r="O26" s="68"/>
      <c r="P26" s="70"/>
      <c r="Q26" s="71"/>
      <c r="R26" s="69"/>
      <c r="S26" s="68"/>
      <c r="T26" s="68"/>
      <c r="U26" s="68"/>
      <c r="V26" s="68"/>
      <c r="W26" s="70"/>
      <c r="X26" s="71"/>
      <c r="Y26" s="69"/>
      <c r="Z26" s="68"/>
      <c r="AA26" s="68"/>
      <c r="AB26" s="68"/>
      <c r="AC26" s="68"/>
      <c r="AD26" s="70"/>
      <c r="AE26" s="71"/>
      <c r="AF26" s="69"/>
      <c r="AG26" s="68"/>
      <c r="AH26" s="68"/>
      <c r="AI26" s="68"/>
      <c r="AJ26" s="68"/>
      <c r="AK26" s="70"/>
      <c r="AL26" s="71"/>
      <c r="AM26" s="72"/>
      <c r="AN26" s="70"/>
      <c r="AO26" s="70"/>
      <c r="AP26" s="70"/>
      <c r="AQ26" s="70"/>
      <c r="AR26" s="73"/>
      <c r="AS26" s="80"/>
      <c r="AT26" s="187">
        <f t="shared" si="5"/>
        <v>8</v>
      </c>
      <c r="AU26" s="228">
        <f t="shared" si="6"/>
        <v>180</v>
      </c>
      <c r="AV26" s="168"/>
      <c r="AW26" s="168"/>
      <c r="AX26" s="168"/>
      <c r="AY26" s="168"/>
      <c r="AZ26" s="168"/>
      <c r="BA26" s="168"/>
      <c r="BB26" s="168"/>
      <c r="BC26" s="168"/>
      <c r="BD26" s="340">
        <v>38904</v>
      </c>
      <c r="BE26" s="182">
        <f t="shared" si="2"/>
        <v>187</v>
      </c>
      <c r="BF26" s="336">
        <v>7.2</v>
      </c>
      <c r="BG26" s="213"/>
      <c r="BH26" s="182"/>
      <c r="BI26" s="336"/>
      <c r="BJ26" s="213"/>
      <c r="BK26" s="182"/>
      <c r="BL26" s="336"/>
      <c r="BM26" s="213"/>
      <c r="BN26" s="182"/>
      <c r="BO26" s="336"/>
      <c r="BP26" s="213"/>
      <c r="BQ26" s="182"/>
      <c r="BR26" s="336"/>
      <c r="BS26" s="213"/>
      <c r="BT26" s="182"/>
      <c r="BU26" s="336"/>
      <c r="BV26" s="182"/>
      <c r="BW26" s="182"/>
      <c r="BX26" s="182"/>
    </row>
    <row r="27" spans="1:76">
      <c r="A27" s="16" t="s">
        <v>30</v>
      </c>
      <c r="B27" s="131"/>
      <c r="C27" s="68"/>
      <c r="D27" s="69"/>
      <c r="E27" s="68"/>
      <c r="F27" s="68"/>
      <c r="G27" s="68"/>
      <c r="H27" s="68"/>
      <c r="I27" s="70"/>
      <c r="J27" s="71"/>
      <c r="K27" s="69"/>
      <c r="L27" s="68"/>
      <c r="M27" s="68"/>
      <c r="N27" s="68"/>
      <c r="O27" s="68"/>
      <c r="P27" s="70"/>
      <c r="Q27" s="71"/>
      <c r="R27" s="69"/>
      <c r="S27" s="68"/>
      <c r="T27" s="68"/>
      <c r="U27" s="68"/>
      <c r="V27" s="68"/>
      <c r="W27" s="70"/>
      <c r="X27" s="71"/>
      <c r="Y27" s="69"/>
      <c r="Z27" s="68"/>
      <c r="AA27" s="68"/>
      <c r="AB27" s="68"/>
      <c r="AC27" s="68"/>
      <c r="AD27" s="70"/>
      <c r="AE27" s="71"/>
      <c r="AF27" s="69"/>
      <c r="AG27" s="68"/>
      <c r="AH27" s="68"/>
      <c r="AI27" s="68"/>
      <c r="AJ27" s="68"/>
      <c r="AK27" s="70"/>
      <c r="AL27" s="71"/>
      <c r="AM27" s="72"/>
      <c r="AN27" s="70"/>
      <c r="AO27" s="70"/>
      <c r="AP27" s="70"/>
      <c r="AQ27" s="70"/>
      <c r="AR27" s="73"/>
      <c r="AS27" s="80"/>
      <c r="AT27" s="187">
        <f t="shared" si="5"/>
        <v>8</v>
      </c>
      <c r="AU27" s="228">
        <f t="shared" si="6"/>
        <v>180</v>
      </c>
      <c r="AV27" s="168"/>
      <c r="AW27" s="168"/>
      <c r="AX27" s="168"/>
      <c r="AY27" s="168"/>
      <c r="AZ27" s="168"/>
      <c r="BA27" s="168"/>
      <c r="BB27" s="168"/>
      <c r="BC27" s="168"/>
      <c r="BD27" s="340">
        <v>38912</v>
      </c>
      <c r="BE27" s="182">
        <f t="shared" si="2"/>
        <v>195</v>
      </c>
      <c r="BF27" s="336">
        <v>8</v>
      </c>
      <c r="BG27" s="213"/>
      <c r="BH27" s="182"/>
      <c r="BI27" s="336"/>
      <c r="BJ27" s="213"/>
      <c r="BK27" s="182"/>
      <c r="BL27" s="336"/>
      <c r="BM27" s="213"/>
      <c r="BN27" s="182"/>
      <c r="BO27" s="336"/>
      <c r="BP27" s="213"/>
      <c r="BQ27" s="182"/>
      <c r="BR27" s="336"/>
      <c r="BS27" s="213"/>
      <c r="BT27" s="182"/>
      <c r="BU27" s="336"/>
      <c r="BV27" s="182"/>
      <c r="BW27" s="182"/>
      <c r="BX27" s="182"/>
    </row>
    <row r="28" spans="1:76">
      <c r="A28" s="16" t="s">
        <v>30</v>
      </c>
      <c r="B28" s="131"/>
      <c r="C28" s="68"/>
      <c r="D28" s="69"/>
      <c r="E28" s="68"/>
      <c r="F28" s="68"/>
      <c r="G28" s="68"/>
      <c r="H28" s="68"/>
      <c r="I28" s="70"/>
      <c r="J28" s="71"/>
      <c r="K28" s="69"/>
      <c r="L28" s="68"/>
      <c r="M28" s="68"/>
      <c r="N28" s="68"/>
      <c r="O28" s="68"/>
      <c r="P28" s="70"/>
      <c r="Q28" s="71"/>
      <c r="R28" s="69"/>
      <c r="S28" s="68"/>
      <c r="T28" s="68"/>
      <c r="U28" s="68"/>
      <c r="V28" s="68"/>
      <c r="W28" s="70"/>
      <c r="X28" s="71"/>
      <c r="Y28" s="69"/>
      <c r="Z28" s="68"/>
      <c r="AA28" s="68"/>
      <c r="AB28" s="68"/>
      <c r="AC28" s="68"/>
      <c r="AD28" s="70"/>
      <c r="AE28" s="71"/>
      <c r="AF28" s="69"/>
      <c r="AG28" s="68"/>
      <c r="AH28" s="68"/>
      <c r="AI28" s="68"/>
      <c r="AJ28" s="68"/>
      <c r="AK28" s="70"/>
      <c r="AL28" s="71"/>
      <c r="AM28" s="72"/>
      <c r="AN28" s="70"/>
      <c r="AO28" s="70"/>
      <c r="AP28" s="70"/>
      <c r="AQ28" s="70"/>
      <c r="AR28" s="73"/>
      <c r="AS28" s="80"/>
      <c r="AT28" s="187">
        <f t="shared" si="5"/>
        <v>8</v>
      </c>
      <c r="AU28" s="228">
        <f t="shared" si="6"/>
        <v>180</v>
      </c>
      <c r="AV28" s="168"/>
      <c r="AW28" s="168"/>
      <c r="AX28" s="168"/>
      <c r="AY28" s="168"/>
      <c r="AZ28" s="168"/>
      <c r="BA28" s="168"/>
      <c r="BB28" s="168"/>
      <c r="BC28" s="168"/>
      <c r="BD28" s="340"/>
      <c r="BE28" s="182"/>
      <c r="BF28" s="336"/>
      <c r="BG28" s="213"/>
      <c r="BH28" s="182"/>
      <c r="BI28" s="336"/>
      <c r="BJ28" s="213"/>
      <c r="BK28" s="182"/>
      <c r="BL28" s="336"/>
      <c r="BM28" s="213"/>
      <c r="BN28" s="182"/>
      <c r="BO28" s="336"/>
      <c r="BP28" s="213"/>
      <c r="BQ28" s="182"/>
      <c r="BR28" s="336"/>
      <c r="BS28" s="213"/>
      <c r="BT28" s="182"/>
      <c r="BU28" s="336"/>
      <c r="BV28" s="182"/>
      <c r="BW28" s="182"/>
      <c r="BX28" s="182"/>
    </row>
    <row r="29" spans="1:76">
      <c r="A29" s="16" t="s">
        <v>30</v>
      </c>
      <c r="B29" s="131"/>
      <c r="C29" s="68"/>
      <c r="D29" s="69"/>
      <c r="E29" s="68"/>
      <c r="F29" s="68"/>
      <c r="G29" s="68"/>
      <c r="H29" s="68"/>
      <c r="I29" s="70"/>
      <c r="J29" s="71"/>
      <c r="K29" s="69"/>
      <c r="L29" s="68"/>
      <c r="M29" s="68"/>
      <c r="N29" s="68"/>
      <c r="O29" s="68"/>
      <c r="P29" s="70"/>
      <c r="Q29" s="71"/>
      <c r="R29" s="69"/>
      <c r="S29" s="68"/>
      <c r="T29" s="68"/>
      <c r="U29" s="68"/>
      <c r="V29" s="68"/>
      <c r="W29" s="70"/>
      <c r="X29" s="71"/>
      <c r="Y29" s="69"/>
      <c r="Z29" s="68"/>
      <c r="AA29" s="68"/>
      <c r="AB29" s="68"/>
      <c r="AC29" s="68"/>
      <c r="AD29" s="70"/>
      <c r="AE29" s="71"/>
      <c r="AF29" s="69"/>
      <c r="AG29" s="68"/>
      <c r="AH29" s="68"/>
      <c r="AI29" s="68"/>
      <c r="AJ29" s="68"/>
      <c r="AK29" s="70"/>
      <c r="AL29" s="71"/>
      <c r="AM29" s="72"/>
      <c r="AN29" s="70"/>
      <c r="AO29" s="70"/>
      <c r="AP29" s="70"/>
      <c r="AQ29" s="70"/>
      <c r="AR29" s="73"/>
      <c r="AS29" s="80"/>
      <c r="AT29" s="187">
        <f t="shared" si="5"/>
        <v>8</v>
      </c>
      <c r="AU29" s="228">
        <f t="shared" si="6"/>
        <v>180</v>
      </c>
      <c r="AV29" s="168"/>
      <c r="AW29" s="168"/>
      <c r="AX29" s="168"/>
      <c r="AY29" s="168"/>
      <c r="AZ29" s="168"/>
      <c r="BA29" s="168"/>
      <c r="BB29" s="168"/>
      <c r="BC29" s="168"/>
      <c r="BD29" s="340"/>
      <c r="BE29" s="182"/>
      <c r="BF29" s="336"/>
      <c r="BG29" s="213"/>
      <c r="BH29" s="182"/>
      <c r="BI29" s="336"/>
      <c r="BJ29" s="213"/>
      <c r="BK29" s="182"/>
      <c r="BL29" s="336"/>
      <c r="BM29" s="213"/>
      <c r="BN29" s="182"/>
      <c r="BO29" s="336"/>
      <c r="BP29" s="213"/>
      <c r="BQ29" s="182"/>
      <c r="BR29" s="336"/>
      <c r="BS29" s="213"/>
      <c r="BT29" s="182"/>
      <c r="BU29" s="336"/>
      <c r="BV29" s="182"/>
      <c r="BW29" s="182"/>
      <c r="BX29" s="182"/>
    </row>
    <row r="30" spans="1:76">
      <c r="A30" s="16" t="s">
        <v>30</v>
      </c>
      <c r="B30" s="131"/>
      <c r="C30" s="68"/>
      <c r="D30" s="69"/>
      <c r="E30" s="68"/>
      <c r="F30" s="68"/>
      <c r="G30" s="68"/>
      <c r="H30" s="68"/>
      <c r="I30" s="70"/>
      <c r="J30" s="71"/>
      <c r="K30" s="69"/>
      <c r="L30" s="68"/>
      <c r="M30" s="68"/>
      <c r="N30" s="68"/>
      <c r="O30" s="68"/>
      <c r="P30" s="70"/>
      <c r="Q30" s="71"/>
      <c r="R30" s="69"/>
      <c r="S30" s="68"/>
      <c r="T30" s="68"/>
      <c r="U30" s="68"/>
      <c r="V30" s="68"/>
      <c r="W30" s="70"/>
      <c r="X30" s="71"/>
      <c r="Y30" s="69"/>
      <c r="Z30" s="68"/>
      <c r="AA30" s="68"/>
      <c r="AB30" s="68"/>
      <c r="AC30" s="68"/>
      <c r="AD30" s="70"/>
      <c r="AE30" s="71"/>
      <c r="AF30" s="69"/>
      <c r="AG30" s="68"/>
      <c r="AH30" s="68"/>
      <c r="AI30" s="68"/>
      <c r="AJ30" s="68"/>
      <c r="AK30" s="70"/>
      <c r="AL30" s="71"/>
      <c r="AM30" s="72"/>
      <c r="AN30" s="70"/>
      <c r="AO30" s="70"/>
      <c r="AP30" s="70"/>
      <c r="AQ30" s="70"/>
      <c r="AR30" s="73"/>
      <c r="AS30" s="80"/>
      <c r="AT30" s="187">
        <f t="shared" si="5"/>
        <v>8</v>
      </c>
      <c r="AU30" s="228">
        <f t="shared" si="6"/>
        <v>180</v>
      </c>
      <c r="AV30" s="168"/>
      <c r="AW30" s="168"/>
      <c r="AX30" s="168"/>
      <c r="AY30" s="168"/>
      <c r="AZ30" s="168"/>
      <c r="BA30" s="168"/>
      <c r="BB30" s="168"/>
      <c r="BC30" s="168"/>
      <c r="BD30" s="340"/>
      <c r="BE30" s="182"/>
      <c r="BF30" s="336"/>
      <c r="BG30" s="213"/>
      <c r="BH30" s="182"/>
      <c r="BI30" s="336"/>
      <c r="BJ30" s="213"/>
      <c r="BK30" s="182"/>
      <c r="BL30" s="336"/>
      <c r="BM30" s="213"/>
      <c r="BN30" s="182"/>
      <c r="BO30" s="336"/>
      <c r="BP30" s="213"/>
      <c r="BQ30" s="182"/>
      <c r="BR30" s="336"/>
      <c r="BS30" s="213"/>
      <c r="BT30" s="182"/>
      <c r="BU30" s="336"/>
      <c r="BV30" s="182"/>
      <c r="BW30" s="182"/>
      <c r="BX30" s="182"/>
    </row>
    <row r="31" spans="1:76">
      <c r="A31" s="16" t="s">
        <v>30</v>
      </c>
      <c r="B31" s="131"/>
      <c r="C31" s="68"/>
      <c r="D31" s="69"/>
      <c r="E31" s="68"/>
      <c r="F31" s="68"/>
      <c r="G31" s="68"/>
      <c r="H31" s="68"/>
      <c r="I31" s="70"/>
      <c r="J31" s="71"/>
      <c r="K31" s="69"/>
      <c r="L31" s="68"/>
      <c r="M31" s="68"/>
      <c r="N31" s="68"/>
      <c r="O31" s="68"/>
      <c r="P31" s="70"/>
      <c r="Q31" s="71"/>
      <c r="R31" s="69"/>
      <c r="S31" s="68"/>
      <c r="T31" s="68"/>
      <c r="U31" s="68"/>
      <c r="V31" s="68"/>
      <c r="W31" s="70"/>
      <c r="X31" s="71"/>
      <c r="Y31" s="69"/>
      <c r="Z31" s="68"/>
      <c r="AA31" s="68"/>
      <c r="AB31" s="68"/>
      <c r="AC31" s="68"/>
      <c r="AD31" s="70"/>
      <c r="AE31" s="71"/>
      <c r="AF31" s="69"/>
      <c r="AG31" s="68"/>
      <c r="AH31" s="68"/>
      <c r="AI31" s="68"/>
      <c r="AJ31" s="68"/>
      <c r="AK31" s="70"/>
      <c r="AL31" s="71"/>
      <c r="AM31" s="72"/>
      <c r="AN31" s="70"/>
      <c r="AO31" s="70"/>
      <c r="AP31" s="70"/>
      <c r="AQ31" s="70"/>
      <c r="AR31" s="73"/>
      <c r="AS31" s="80"/>
      <c r="AT31" s="187">
        <f t="shared" si="5"/>
        <v>8</v>
      </c>
      <c r="AU31" s="228">
        <f t="shared" si="6"/>
        <v>180</v>
      </c>
      <c r="AV31" s="168"/>
      <c r="AW31" s="168"/>
      <c r="AX31" s="168"/>
      <c r="AY31" s="168"/>
      <c r="AZ31" s="168"/>
      <c r="BA31" s="168"/>
      <c r="BB31" s="168"/>
      <c r="BC31" s="168"/>
      <c r="BD31" s="340"/>
      <c r="BE31" s="182"/>
      <c r="BF31" s="336"/>
      <c r="BG31" s="213"/>
      <c r="BH31" s="182"/>
      <c r="BI31" s="336"/>
      <c r="BJ31" s="213"/>
      <c r="BK31" s="182"/>
      <c r="BL31" s="336"/>
      <c r="BM31" s="213"/>
      <c r="BN31" s="182"/>
      <c r="BO31" s="336"/>
      <c r="BP31" s="213"/>
      <c r="BQ31" s="182"/>
      <c r="BR31" s="336"/>
      <c r="BS31" s="213"/>
      <c r="BT31" s="182"/>
      <c r="BU31" s="336"/>
      <c r="BV31" s="182"/>
      <c r="BW31" s="182"/>
      <c r="BX31" s="182"/>
    </row>
    <row r="32" spans="1:76">
      <c r="A32" s="16" t="s">
        <v>30</v>
      </c>
      <c r="B32" s="131"/>
      <c r="C32" s="68"/>
      <c r="D32" s="69"/>
      <c r="E32" s="68"/>
      <c r="F32" s="68"/>
      <c r="G32" s="68"/>
      <c r="H32" s="68"/>
      <c r="I32" s="70"/>
      <c r="J32" s="71"/>
      <c r="K32" s="69"/>
      <c r="L32" s="68"/>
      <c r="M32" s="68"/>
      <c r="N32" s="68"/>
      <c r="O32" s="68"/>
      <c r="P32" s="70"/>
      <c r="Q32" s="71"/>
      <c r="R32" s="69"/>
      <c r="S32" s="68"/>
      <c r="T32" s="68"/>
      <c r="U32" s="68"/>
      <c r="V32" s="68"/>
      <c r="W32" s="70"/>
      <c r="X32" s="71"/>
      <c r="Y32" s="69"/>
      <c r="Z32" s="68"/>
      <c r="AA32" s="68"/>
      <c r="AB32" s="68"/>
      <c r="AC32" s="68"/>
      <c r="AD32" s="70"/>
      <c r="AE32" s="71"/>
      <c r="AF32" s="69"/>
      <c r="AG32" s="68"/>
      <c r="AH32" s="68"/>
      <c r="AI32" s="68"/>
      <c r="AJ32" s="68"/>
      <c r="AK32" s="70"/>
      <c r="AL32" s="71"/>
      <c r="AM32" s="72"/>
      <c r="AN32" s="70"/>
      <c r="AO32" s="70"/>
      <c r="AP32" s="70"/>
      <c r="AQ32" s="70"/>
      <c r="AR32" s="73"/>
      <c r="AS32" s="80"/>
      <c r="AT32" s="187">
        <f t="shared" si="5"/>
        <v>8</v>
      </c>
      <c r="AU32" s="228">
        <f t="shared" si="6"/>
        <v>180</v>
      </c>
      <c r="AV32" s="168"/>
      <c r="AW32" s="168"/>
      <c r="AX32" s="168"/>
      <c r="AY32" s="168"/>
      <c r="AZ32" s="168"/>
      <c r="BA32" s="168"/>
      <c r="BB32" s="168"/>
      <c r="BC32" s="168"/>
      <c r="BD32" s="340"/>
      <c r="BE32" s="182"/>
      <c r="BF32" s="336"/>
      <c r="BG32" s="213"/>
      <c r="BH32" s="182"/>
      <c r="BI32" s="336"/>
      <c r="BJ32" s="213"/>
      <c r="BK32" s="182"/>
      <c r="BL32" s="336"/>
      <c r="BM32" s="213"/>
      <c r="BN32" s="182"/>
      <c r="BO32" s="336"/>
      <c r="BP32" s="213"/>
      <c r="BQ32" s="182"/>
      <c r="BR32" s="336"/>
      <c r="BS32" s="213"/>
      <c r="BT32" s="182"/>
      <c r="BU32" s="336"/>
      <c r="BV32" s="182"/>
      <c r="BW32" s="182"/>
      <c r="BX32" s="182"/>
    </row>
    <row r="33" spans="1:76">
      <c r="A33" s="16" t="s">
        <v>30</v>
      </c>
      <c r="B33" s="131"/>
      <c r="C33" s="68"/>
      <c r="D33" s="69"/>
      <c r="E33" s="68"/>
      <c r="F33" s="68"/>
      <c r="G33" s="68"/>
      <c r="H33" s="68"/>
      <c r="I33" s="70"/>
      <c r="J33" s="71"/>
      <c r="K33" s="69"/>
      <c r="L33" s="68"/>
      <c r="M33" s="68"/>
      <c r="N33" s="68"/>
      <c r="O33" s="68"/>
      <c r="P33" s="70"/>
      <c r="Q33" s="71"/>
      <c r="R33" s="69"/>
      <c r="S33" s="68"/>
      <c r="T33" s="68"/>
      <c r="U33" s="68"/>
      <c r="V33" s="68"/>
      <c r="W33" s="70"/>
      <c r="X33" s="71"/>
      <c r="Y33" s="69"/>
      <c r="Z33" s="68"/>
      <c r="AA33" s="68"/>
      <c r="AB33" s="68"/>
      <c r="AC33" s="68"/>
      <c r="AD33" s="70"/>
      <c r="AE33" s="71"/>
      <c r="AF33" s="69"/>
      <c r="AG33" s="68"/>
      <c r="AH33" s="68"/>
      <c r="AI33" s="68"/>
      <c r="AJ33" s="68"/>
      <c r="AK33" s="70"/>
      <c r="AL33" s="71"/>
      <c r="AM33" s="72"/>
      <c r="AN33" s="70"/>
      <c r="AO33" s="70"/>
      <c r="AP33" s="70"/>
      <c r="AQ33" s="70"/>
      <c r="AR33" s="73"/>
      <c r="AS33" s="80"/>
      <c r="AT33" s="187">
        <f t="shared" si="5"/>
        <v>8</v>
      </c>
      <c r="AU33" s="228">
        <f t="shared" si="6"/>
        <v>180</v>
      </c>
      <c r="AV33" s="168"/>
      <c r="AW33" s="168"/>
      <c r="AX33" s="168"/>
      <c r="AY33" s="168"/>
      <c r="AZ33" s="168"/>
      <c r="BA33" s="168"/>
      <c r="BB33" s="168"/>
      <c r="BC33" s="168"/>
      <c r="BD33" s="340"/>
      <c r="BE33" s="182"/>
      <c r="BF33" s="336"/>
      <c r="BG33" s="213"/>
      <c r="BH33" s="182"/>
      <c r="BI33" s="336"/>
      <c r="BJ33" s="213"/>
      <c r="BK33" s="182"/>
      <c r="BL33" s="336"/>
      <c r="BM33" s="213"/>
      <c r="BN33" s="182"/>
      <c r="BO33" s="336"/>
      <c r="BP33" s="213"/>
      <c r="BQ33" s="182"/>
      <c r="BR33" s="336"/>
      <c r="BS33" s="213"/>
      <c r="BT33" s="182"/>
      <c r="BU33" s="336"/>
      <c r="BV33" s="182"/>
      <c r="BW33" s="182"/>
      <c r="BX33" s="182"/>
    </row>
    <row r="34" spans="1:76">
      <c r="A34" s="16" t="s">
        <v>30</v>
      </c>
      <c r="B34" s="131"/>
      <c r="C34" s="68"/>
      <c r="D34" s="69"/>
      <c r="E34" s="68"/>
      <c r="F34" s="68"/>
      <c r="G34" s="68"/>
      <c r="H34" s="68"/>
      <c r="I34" s="70"/>
      <c r="J34" s="71"/>
      <c r="K34" s="69"/>
      <c r="L34" s="68"/>
      <c r="M34" s="68"/>
      <c r="N34" s="68"/>
      <c r="O34" s="68"/>
      <c r="P34" s="70"/>
      <c r="Q34" s="71"/>
      <c r="R34" s="69"/>
      <c r="S34" s="68"/>
      <c r="T34" s="68"/>
      <c r="U34" s="68"/>
      <c r="V34" s="68"/>
      <c r="W34" s="70"/>
      <c r="X34" s="71"/>
      <c r="Y34" s="69"/>
      <c r="Z34" s="68"/>
      <c r="AA34" s="68"/>
      <c r="AB34" s="68"/>
      <c r="AC34" s="68"/>
      <c r="AD34" s="70"/>
      <c r="AE34" s="71"/>
      <c r="AF34" s="69"/>
      <c r="AG34" s="68"/>
      <c r="AH34" s="68"/>
      <c r="AI34" s="68"/>
      <c r="AJ34" s="68"/>
      <c r="AK34" s="70"/>
      <c r="AL34" s="71"/>
      <c r="AM34" s="72"/>
      <c r="AN34" s="70"/>
      <c r="AO34" s="70"/>
      <c r="AP34" s="70"/>
      <c r="AQ34" s="70"/>
      <c r="AR34" s="73"/>
      <c r="AS34" s="80"/>
      <c r="AT34" s="187">
        <f t="shared" si="5"/>
        <v>8</v>
      </c>
      <c r="AU34" s="228">
        <f t="shared" si="6"/>
        <v>180</v>
      </c>
      <c r="AV34" s="168"/>
      <c r="AW34" s="168"/>
      <c r="AX34" s="168"/>
      <c r="AY34" s="168"/>
      <c r="AZ34" s="168"/>
      <c r="BA34" s="168"/>
      <c r="BB34" s="168"/>
      <c r="BC34" s="168"/>
      <c r="BD34" s="340"/>
      <c r="BE34" s="182"/>
      <c r="BF34" s="336"/>
      <c r="BG34" s="213"/>
      <c r="BH34" s="182"/>
      <c r="BI34" s="336"/>
      <c r="BJ34" s="213"/>
      <c r="BK34" s="182"/>
      <c r="BL34" s="336"/>
      <c r="BM34" s="213"/>
      <c r="BN34" s="182"/>
      <c r="BO34" s="336"/>
      <c r="BP34" s="213"/>
      <c r="BQ34" s="182"/>
      <c r="BR34" s="336"/>
      <c r="BS34" s="213"/>
      <c r="BT34" s="182"/>
      <c r="BU34" s="336"/>
      <c r="BV34" s="182"/>
      <c r="BW34" s="182"/>
      <c r="BX34" s="182"/>
    </row>
    <row r="35" spans="1:76" ht="13" thickBot="1">
      <c r="A35" s="17" t="s">
        <v>30</v>
      </c>
      <c r="B35" s="132"/>
      <c r="C35" s="75"/>
      <c r="D35" s="74"/>
      <c r="E35" s="75"/>
      <c r="F35" s="75"/>
      <c r="G35" s="75"/>
      <c r="H35" s="75"/>
      <c r="I35" s="76"/>
      <c r="J35" s="77"/>
      <c r="K35" s="74"/>
      <c r="L35" s="75"/>
      <c r="M35" s="75"/>
      <c r="N35" s="75"/>
      <c r="O35" s="75"/>
      <c r="P35" s="76"/>
      <c r="Q35" s="77"/>
      <c r="R35" s="74"/>
      <c r="S35" s="75"/>
      <c r="T35" s="75"/>
      <c r="U35" s="75"/>
      <c r="V35" s="75"/>
      <c r="W35" s="76"/>
      <c r="X35" s="77"/>
      <c r="Y35" s="74"/>
      <c r="Z35" s="75"/>
      <c r="AA35" s="75"/>
      <c r="AB35" s="75"/>
      <c r="AC35" s="75"/>
      <c r="AD35" s="76"/>
      <c r="AE35" s="77"/>
      <c r="AF35" s="74"/>
      <c r="AG35" s="75"/>
      <c r="AH35" s="75"/>
      <c r="AI35" s="75"/>
      <c r="AJ35" s="75"/>
      <c r="AK35" s="76"/>
      <c r="AL35" s="77"/>
      <c r="AM35" s="78"/>
      <c r="AN35" s="76"/>
      <c r="AO35" s="76"/>
      <c r="AP35" s="76"/>
      <c r="AQ35" s="76"/>
      <c r="AR35" s="79"/>
      <c r="AS35" s="81"/>
      <c r="AT35" s="198"/>
      <c r="AU35" s="230"/>
      <c r="AV35" s="186"/>
      <c r="AW35" s="186"/>
      <c r="AX35" s="186"/>
      <c r="AY35" s="186"/>
      <c r="AZ35" s="186"/>
      <c r="BA35" s="186"/>
      <c r="BB35" s="186"/>
      <c r="BC35" s="186"/>
      <c r="BD35" s="341"/>
      <c r="BE35" s="330"/>
      <c r="BF35" s="342"/>
      <c r="BG35" s="329"/>
      <c r="BH35" s="330"/>
      <c r="BI35" s="342"/>
      <c r="BJ35" s="329"/>
      <c r="BK35" s="330"/>
      <c r="BL35" s="342"/>
      <c r="BM35" s="329"/>
      <c r="BN35" s="330"/>
      <c r="BO35" s="342"/>
      <c r="BP35" s="329"/>
      <c r="BQ35" s="330"/>
      <c r="BR35" s="342"/>
      <c r="BS35" s="329"/>
      <c r="BT35" s="330"/>
      <c r="BU35" s="342"/>
      <c r="BV35" s="182"/>
      <c r="BW35" s="182"/>
      <c r="BX35" s="182"/>
    </row>
    <row r="36" spans="1:76">
      <c r="A36" s="15" t="s">
        <v>31</v>
      </c>
      <c r="B36" s="130">
        <v>41036</v>
      </c>
      <c r="C36" s="83" t="s">
        <v>72</v>
      </c>
      <c r="D36" s="84">
        <v>1</v>
      </c>
      <c r="E36" s="83">
        <v>0</v>
      </c>
      <c r="F36" s="83">
        <v>0</v>
      </c>
      <c r="G36" s="83">
        <v>0</v>
      </c>
      <c r="H36" s="83">
        <v>0</v>
      </c>
      <c r="I36" s="85">
        <v>0</v>
      </c>
      <c r="J36" s="86">
        <v>0</v>
      </c>
      <c r="K36" s="84">
        <v>0</v>
      </c>
      <c r="L36" s="83">
        <v>0</v>
      </c>
      <c r="M36" s="83">
        <v>0</v>
      </c>
      <c r="N36" s="83">
        <v>0</v>
      </c>
      <c r="O36" s="83">
        <v>0</v>
      </c>
      <c r="P36" s="85">
        <v>0</v>
      </c>
      <c r="Q36" s="86">
        <v>0</v>
      </c>
      <c r="R36" s="84">
        <v>1</v>
      </c>
      <c r="S36" s="83">
        <v>0</v>
      </c>
      <c r="T36" s="83">
        <v>1</v>
      </c>
      <c r="U36" s="83">
        <v>0</v>
      </c>
      <c r="V36" s="83">
        <v>0</v>
      </c>
      <c r="W36" s="85">
        <v>0</v>
      </c>
      <c r="X36" s="86">
        <v>0</v>
      </c>
      <c r="Y36" s="84">
        <v>0</v>
      </c>
      <c r="Z36" s="83">
        <v>0</v>
      </c>
      <c r="AA36" s="83">
        <v>0</v>
      </c>
      <c r="AB36" s="83">
        <v>0</v>
      </c>
      <c r="AC36" s="83">
        <v>0</v>
      </c>
      <c r="AD36" s="85">
        <v>0</v>
      </c>
      <c r="AE36" s="86">
        <v>0</v>
      </c>
      <c r="AF36" s="84">
        <v>0</v>
      </c>
      <c r="AG36" s="83">
        <v>0</v>
      </c>
      <c r="AH36" s="83">
        <v>0</v>
      </c>
      <c r="AI36" s="83">
        <v>0</v>
      </c>
      <c r="AJ36" s="83">
        <v>0</v>
      </c>
      <c r="AK36" s="85">
        <v>0</v>
      </c>
      <c r="AL36" s="86">
        <v>0</v>
      </c>
      <c r="AM36" s="87">
        <v>0</v>
      </c>
      <c r="AN36" s="85">
        <v>0</v>
      </c>
      <c r="AO36" s="85">
        <v>0</v>
      </c>
      <c r="AP36" s="85">
        <v>0</v>
      </c>
      <c r="AQ36" s="85">
        <v>0</v>
      </c>
      <c r="AR36" s="88">
        <v>0</v>
      </c>
      <c r="AS36" s="89">
        <v>0</v>
      </c>
      <c r="AT36" s="187">
        <f>IF(COUNT(D36:AL36)=0,AT35,AVERAGE(D36:AL36))</f>
        <v>8.5714285714285715E-2</v>
      </c>
      <c r="AU36" s="228">
        <f t="shared" ref="AU36:AU70" si="7">IF(B36=0,AU35,B36-DATE(YEAR(B36)-1,12,31))</f>
        <v>128</v>
      </c>
      <c r="AV36" s="168"/>
      <c r="AW36" s="168"/>
      <c r="AX36" s="168"/>
      <c r="AY36" s="168"/>
      <c r="AZ36" s="168"/>
      <c r="BA36" s="168"/>
      <c r="BB36" s="168"/>
      <c r="BC36" s="168"/>
      <c r="BD36" s="340">
        <v>38847</v>
      </c>
      <c r="BE36" s="182">
        <f>BD36-DATE(YEAR(BD36)-1,12,31)</f>
        <v>130</v>
      </c>
      <c r="BF36" s="336">
        <v>0</v>
      </c>
      <c r="BG36" s="213">
        <v>39199</v>
      </c>
      <c r="BH36" s="182">
        <f>BG36-DATE(YEAR(BG36)-1,12,31)</f>
        <v>117</v>
      </c>
      <c r="BI36" s="336">
        <v>0</v>
      </c>
      <c r="BJ36" s="213">
        <v>39566</v>
      </c>
      <c r="BK36" s="182">
        <f t="shared" si="4"/>
        <v>119</v>
      </c>
      <c r="BL36" s="336">
        <v>0</v>
      </c>
      <c r="BM36" s="213">
        <v>39937</v>
      </c>
      <c r="BN36" s="182">
        <v>124</v>
      </c>
      <c r="BO36" s="336">
        <v>0.27272727272727271</v>
      </c>
      <c r="BP36" s="213">
        <v>40301</v>
      </c>
      <c r="BQ36" s="182">
        <v>123</v>
      </c>
      <c r="BR36" s="336">
        <v>8.5714285714285715E-2</v>
      </c>
      <c r="BS36" s="213">
        <v>40662</v>
      </c>
      <c r="BT36" s="182">
        <v>119</v>
      </c>
      <c r="BU36" s="336">
        <v>0</v>
      </c>
      <c r="BV36" s="182"/>
      <c r="BW36" s="182"/>
      <c r="BX36" s="182"/>
    </row>
    <row r="37" spans="1:76">
      <c r="A37" s="16" t="s">
        <v>31</v>
      </c>
      <c r="B37" s="131">
        <v>41041</v>
      </c>
      <c r="C37" s="68" t="s">
        <v>72</v>
      </c>
      <c r="D37" s="69">
        <v>1</v>
      </c>
      <c r="E37" s="68">
        <v>1</v>
      </c>
      <c r="F37" s="68">
        <v>0</v>
      </c>
      <c r="G37" s="68">
        <v>0</v>
      </c>
      <c r="H37" s="68">
        <v>0</v>
      </c>
      <c r="I37" s="70">
        <v>0</v>
      </c>
      <c r="J37" s="71">
        <v>0</v>
      </c>
      <c r="K37" s="69">
        <v>0</v>
      </c>
      <c r="L37" s="68">
        <v>0</v>
      </c>
      <c r="M37" s="68">
        <v>0</v>
      </c>
      <c r="N37" s="68">
        <v>0</v>
      </c>
      <c r="O37" s="68">
        <v>0</v>
      </c>
      <c r="P37" s="70">
        <v>0</v>
      </c>
      <c r="Q37" s="71">
        <v>0</v>
      </c>
      <c r="R37" s="69">
        <v>1</v>
      </c>
      <c r="S37" s="68">
        <v>0</v>
      </c>
      <c r="T37" s="68">
        <v>1</v>
      </c>
      <c r="U37" s="68">
        <v>1</v>
      </c>
      <c r="V37" s="68">
        <v>1</v>
      </c>
      <c r="W37" s="70">
        <v>0</v>
      </c>
      <c r="X37" s="71">
        <v>0</v>
      </c>
      <c r="Y37" s="69">
        <v>0</v>
      </c>
      <c r="Z37" s="68">
        <v>0</v>
      </c>
      <c r="AA37" s="68">
        <v>0</v>
      </c>
      <c r="AB37" s="68">
        <v>0</v>
      </c>
      <c r="AC37" s="68">
        <v>0</v>
      </c>
      <c r="AD37" s="70">
        <v>0</v>
      </c>
      <c r="AE37" s="71">
        <v>0</v>
      </c>
      <c r="AF37" s="69">
        <v>0</v>
      </c>
      <c r="AG37" s="68">
        <v>0</v>
      </c>
      <c r="AH37" s="68">
        <v>0</v>
      </c>
      <c r="AI37" s="68">
        <v>0</v>
      </c>
      <c r="AJ37" s="68">
        <v>0</v>
      </c>
      <c r="AK37" s="70">
        <v>0</v>
      </c>
      <c r="AL37" s="71">
        <v>0</v>
      </c>
      <c r="AM37" s="72">
        <v>0</v>
      </c>
      <c r="AN37" s="70">
        <v>0</v>
      </c>
      <c r="AO37" s="70">
        <v>0</v>
      </c>
      <c r="AP37" s="70">
        <v>0</v>
      </c>
      <c r="AQ37" s="70">
        <v>0</v>
      </c>
      <c r="AR37" s="73">
        <v>0</v>
      </c>
      <c r="AS37" s="80">
        <v>0</v>
      </c>
      <c r="AT37" s="188">
        <f t="shared" ref="AT37:AT71" si="8">IF(COUNT(D37:AL37)=0,AT36,AVERAGE(D37:AL37))</f>
        <v>0.17142857142857143</v>
      </c>
      <c r="AU37" s="229">
        <f t="shared" si="7"/>
        <v>133</v>
      </c>
      <c r="AV37" s="168"/>
      <c r="AW37" s="168"/>
      <c r="AX37" s="168"/>
      <c r="AY37" s="168"/>
      <c r="AZ37" s="168"/>
      <c r="BA37" s="168"/>
      <c r="BB37" s="168"/>
      <c r="BC37" s="168"/>
      <c r="BD37" s="340">
        <v>38849</v>
      </c>
      <c r="BE37" s="182">
        <f t="shared" ref="BE37:BE51" si="9">BD37-DATE(YEAR(BD37)-1,12,31)</f>
        <v>132</v>
      </c>
      <c r="BF37" s="336">
        <v>0.4</v>
      </c>
      <c r="BG37" s="213">
        <v>39202</v>
      </c>
      <c r="BH37" s="182">
        <f t="shared" ref="BH37:BH51" si="10">BG37-DATE(YEAR(BG37)-1,12,31)</f>
        <v>120</v>
      </c>
      <c r="BI37" s="336">
        <v>0.6</v>
      </c>
      <c r="BJ37" s="213">
        <v>39570</v>
      </c>
      <c r="BK37" s="182">
        <f t="shared" si="4"/>
        <v>123</v>
      </c>
      <c r="BL37" s="336">
        <v>4.7619047619047616E-2</v>
      </c>
      <c r="BM37" s="213">
        <v>39941</v>
      </c>
      <c r="BN37" s="182">
        <v>128</v>
      </c>
      <c r="BO37" s="336">
        <v>0.42424242424242425</v>
      </c>
      <c r="BP37" s="213">
        <v>40308</v>
      </c>
      <c r="BQ37" s="182">
        <v>130</v>
      </c>
      <c r="BR37" s="336">
        <v>0.11428571428571428</v>
      </c>
      <c r="BS37" s="213">
        <v>40669</v>
      </c>
      <c r="BT37" s="182">
        <v>126</v>
      </c>
      <c r="BU37" s="336">
        <v>0.37142857142857144</v>
      </c>
      <c r="BV37" s="182"/>
      <c r="BW37" s="182"/>
      <c r="BX37" s="182"/>
    </row>
    <row r="38" spans="1:76">
      <c r="A38" s="16" t="s">
        <v>31</v>
      </c>
      <c r="B38" s="131">
        <v>41046</v>
      </c>
      <c r="C38" s="68" t="s">
        <v>72</v>
      </c>
      <c r="D38" s="69">
        <v>2</v>
      </c>
      <c r="E38" s="68">
        <v>1</v>
      </c>
      <c r="F38" s="68">
        <v>0</v>
      </c>
      <c r="G38" s="68">
        <v>1</v>
      </c>
      <c r="H38" s="68">
        <v>0</v>
      </c>
      <c r="I38" s="70">
        <v>0</v>
      </c>
      <c r="J38" s="71">
        <v>1</v>
      </c>
      <c r="K38" s="69">
        <v>1</v>
      </c>
      <c r="L38" s="68">
        <v>1</v>
      </c>
      <c r="M38" s="68">
        <v>1</v>
      </c>
      <c r="N38" s="68">
        <v>1</v>
      </c>
      <c r="O38" s="68">
        <v>1</v>
      </c>
      <c r="P38" s="70">
        <v>1</v>
      </c>
      <c r="Q38" s="71">
        <v>1</v>
      </c>
      <c r="R38" s="69">
        <v>2</v>
      </c>
      <c r="S38" s="68">
        <v>1</v>
      </c>
      <c r="T38" s="68">
        <v>2</v>
      </c>
      <c r="U38" s="68">
        <v>2</v>
      </c>
      <c r="V38" s="68">
        <v>1</v>
      </c>
      <c r="W38" s="70">
        <v>1</v>
      </c>
      <c r="X38" s="71">
        <v>1</v>
      </c>
      <c r="Y38" s="69">
        <v>0</v>
      </c>
      <c r="Z38" s="68">
        <v>0</v>
      </c>
      <c r="AA38" s="68">
        <v>0</v>
      </c>
      <c r="AB38" s="68">
        <v>1</v>
      </c>
      <c r="AC38" s="68">
        <v>0</v>
      </c>
      <c r="AD38" s="70">
        <v>0</v>
      </c>
      <c r="AE38" s="71">
        <v>0</v>
      </c>
      <c r="AF38" s="69">
        <v>0</v>
      </c>
      <c r="AG38" s="68">
        <v>0</v>
      </c>
      <c r="AH38" s="68">
        <v>1</v>
      </c>
      <c r="AI38" s="68">
        <v>0</v>
      </c>
      <c r="AJ38" s="68">
        <v>1</v>
      </c>
      <c r="AK38" s="70">
        <v>1</v>
      </c>
      <c r="AL38" s="71">
        <v>1</v>
      </c>
      <c r="AM38" s="72">
        <v>1</v>
      </c>
      <c r="AN38" s="70">
        <v>1</v>
      </c>
      <c r="AO38" s="70">
        <v>1</v>
      </c>
      <c r="AP38" s="70">
        <v>0</v>
      </c>
      <c r="AQ38" s="70">
        <v>1</v>
      </c>
      <c r="AR38" s="73">
        <v>0</v>
      </c>
      <c r="AS38" s="80">
        <v>1</v>
      </c>
      <c r="AT38" s="188">
        <f t="shared" si="8"/>
        <v>0.77142857142857146</v>
      </c>
      <c r="AU38" s="229">
        <f t="shared" si="7"/>
        <v>138</v>
      </c>
      <c r="AV38" s="168"/>
      <c r="AW38" s="168"/>
      <c r="AX38" s="168"/>
      <c r="AY38" s="168"/>
      <c r="AZ38" s="168"/>
      <c r="BA38" s="168"/>
      <c r="BB38" s="168"/>
      <c r="BC38" s="168"/>
      <c r="BD38" s="340">
        <v>38852</v>
      </c>
      <c r="BE38" s="182">
        <f t="shared" si="9"/>
        <v>135</v>
      </c>
      <c r="BF38" s="336">
        <v>0.52</v>
      </c>
      <c r="BG38" s="213">
        <v>39206</v>
      </c>
      <c r="BH38" s="182">
        <f t="shared" si="10"/>
        <v>124</v>
      </c>
      <c r="BI38" s="336">
        <v>0.64</v>
      </c>
      <c r="BJ38" s="213">
        <v>39577</v>
      </c>
      <c r="BK38" s="182">
        <f t="shared" si="4"/>
        <v>130</v>
      </c>
      <c r="BL38" s="336">
        <v>0.38095238095238093</v>
      </c>
      <c r="BM38" s="213">
        <v>39945</v>
      </c>
      <c r="BN38" s="182">
        <v>132</v>
      </c>
      <c r="BO38" s="336">
        <v>0.5757575757575758</v>
      </c>
      <c r="BP38" s="213">
        <v>40315</v>
      </c>
      <c r="BQ38" s="182">
        <v>137</v>
      </c>
      <c r="BR38" s="336">
        <v>0.6</v>
      </c>
      <c r="BS38" s="213">
        <v>40673</v>
      </c>
      <c r="BT38" s="182">
        <v>130</v>
      </c>
      <c r="BU38" s="336">
        <v>1.1142857142857143</v>
      </c>
      <c r="BV38" s="182"/>
      <c r="BW38" s="182"/>
      <c r="BX38" s="182"/>
    </row>
    <row r="39" spans="1:76">
      <c r="A39" s="16" t="s">
        <v>31</v>
      </c>
      <c r="B39" s="131">
        <v>41050</v>
      </c>
      <c r="C39" s="68" t="s">
        <v>72</v>
      </c>
      <c r="D39" s="69">
        <v>2</v>
      </c>
      <c r="E39" s="68">
        <v>2</v>
      </c>
      <c r="F39" s="68">
        <v>1</v>
      </c>
      <c r="G39" s="68">
        <v>1</v>
      </c>
      <c r="H39" s="68">
        <v>0</v>
      </c>
      <c r="I39" s="70">
        <v>0</v>
      </c>
      <c r="J39" s="71">
        <v>1</v>
      </c>
      <c r="K39" s="69">
        <v>2</v>
      </c>
      <c r="L39" s="68">
        <v>2</v>
      </c>
      <c r="M39" s="68">
        <v>2</v>
      </c>
      <c r="N39" s="68">
        <v>2</v>
      </c>
      <c r="O39" s="68">
        <v>2</v>
      </c>
      <c r="P39" s="70">
        <v>2</v>
      </c>
      <c r="Q39" s="71">
        <v>2</v>
      </c>
      <c r="R39" s="69">
        <v>2</v>
      </c>
      <c r="S39" s="68">
        <v>2</v>
      </c>
      <c r="T39" s="68">
        <v>2</v>
      </c>
      <c r="U39" s="68">
        <v>2</v>
      </c>
      <c r="V39" s="68">
        <v>2</v>
      </c>
      <c r="W39" s="70">
        <v>2</v>
      </c>
      <c r="X39" s="71">
        <v>2</v>
      </c>
      <c r="Y39" s="69">
        <v>0</v>
      </c>
      <c r="Z39" s="68">
        <v>0</v>
      </c>
      <c r="AA39" s="68">
        <v>0</v>
      </c>
      <c r="AB39" s="68">
        <v>0</v>
      </c>
      <c r="AC39" s="68">
        <v>0</v>
      </c>
      <c r="AD39" s="70">
        <v>1</v>
      </c>
      <c r="AE39" s="71">
        <v>0</v>
      </c>
      <c r="AF39" s="69">
        <v>2</v>
      </c>
      <c r="AG39" s="68">
        <v>2</v>
      </c>
      <c r="AH39" s="68">
        <v>2</v>
      </c>
      <c r="AI39" s="68">
        <v>1</v>
      </c>
      <c r="AJ39" s="68">
        <v>2</v>
      </c>
      <c r="AK39" s="70">
        <v>2</v>
      </c>
      <c r="AL39" s="71">
        <v>2</v>
      </c>
      <c r="AM39" s="72">
        <v>1</v>
      </c>
      <c r="AN39" s="70">
        <v>1</v>
      </c>
      <c r="AO39" s="70">
        <v>1</v>
      </c>
      <c r="AP39" s="70">
        <v>0</v>
      </c>
      <c r="AQ39" s="70">
        <v>1</v>
      </c>
      <c r="AR39" s="73">
        <v>1</v>
      </c>
      <c r="AS39" s="80">
        <v>1</v>
      </c>
      <c r="AT39" s="188">
        <f t="shared" si="8"/>
        <v>1.4</v>
      </c>
      <c r="AU39" s="229">
        <f t="shared" si="7"/>
        <v>142</v>
      </c>
      <c r="AV39" s="168"/>
      <c r="AW39" s="168"/>
      <c r="AX39" s="168"/>
      <c r="AY39" s="168"/>
      <c r="AZ39" s="168"/>
      <c r="BA39" s="168"/>
      <c r="BB39" s="168"/>
      <c r="BC39" s="168"/>
      <c r="BD39" s="340">
        <v>38856</v>
      </c>
      <c r="BE39" s="182">
        <f t="shared" si="9"/>
        <v>139</v>
      </c>
      <c r="BF39" s="336">
        <v>1.2</v>
      </c>
      <c r="BG39" s="213">
        <v>39210</v>
      </c>
      <c r="BH39" s="182">
        <f t="shared" si="10"/>
        <v>128</v>
      </c>
      <c r="BI39" s="336">
        <v>0.96</v>
      </c>
      <c r="BJ39" s="213">
        <v>39581</v>
      </c>
      <c r="BK39" s="182">
        <f t="shared" si="4"/>
        <v>134</v>
      </c>
      <c r="BL39" s="336">
        <v>0.7142857142857143</v>
      </c>
      <c r="BM39" s="213">
        <v>39948</v>
      </c>
      <c r="BN39" s="182">
        <v>135</v>
      </c>
      <c r="BO39" s="336">
        <v>0.75757575757575757</v>
      </c>
      <c r="BP39" s="213">
        <v>40319</v>
      </c>
      <c r="BQ39" s="182">
        <v>141</v>
      </c>
      <c r="BR39" s="336">
        <v>0.93333333333333335</v>
      </c>
      <c r="BS39" s="213">
        <v>40679</v>
      </c>
      <c r="BT39" s="182">
        <v>136</v>
      </c>
      <c r="BU39" s="336">
        <v>2.1714285714285713</v>
      </c>
      <c r="BV39" s="182"/>
      <c r="BW39" s="182"/>
      <c r="BX39" s="182"/>
    </row>
    <row r="40" spans="1:76">
      <c r="A40" s="16" t="s">
        <v>31</v>
      </c>
      <c r="B40" s="131">
        <v>41054</v>
      </c>
      <c r="C40" s="68" t="s">
        <v>72</v>
      </c>
      <c r="D40" s="69">
        <v>2</v>
      </c>
      <c r="E40" s="68">
        <v>2</v>
      </c>
      <c r="F40" s="68">
        <v>1</v>
      </c>
      <c r="G40" s="68">
        <v>2</v>
      </c>
      <c r="H40" s="68">
        <v>2</v>
      </c>
      <c r="I40" s="70">
        <v>2</v>
      </c>
      <c r="J40" s="71">
        <v>2</v>
      </c>
      <c r="K40" s="69">
        <v>3</v>
      </c>
      <c r="L40" s="68">
        <v>3</v>
      </c>
      <c r="M40" s="68">
        <v>3</v>
      </c>
      <c r="N40" s="68">
        <v>3</v>
      </c>
      <c r="O40" s="68">
        <v>3</v>
      </c>
      <c r="P40" s="70">
        <v>3</v>
      </c>
      <c r="Q40" s="71">
        <v>3</v>
      </c>
      <c r="R40" s="69">
        <v>2</v>
      </c>
      <c r="S40" s="68">
        <v>3</v>
      </c>
      <c r="T40" s="68">
        <v>3</v>
      </c>
      <c r="U40" s="68">
        <v>3</v>
      </c>
      <c r="V40" s="68">
        <v>2</v>
      </c>
      <c r="W40" s="70">
        <v>3</v>
      </c>
      <c r="X40" s="71">
        <v>3</v>
      </c>
      <c r="Y40" s="69">
        <v>1</v>
      </c>
      <c r="Z40" s="68">
        <v>2</v>
      </c>
      <c r="AA40" s="68">
        <v>2</v>
      </c>
      <c r="AB40" s="68">
        <v>2</v>
      </c>
      <c r="AC40" s="68">
        <v>2</v>
      </c>
      <c r="AD40" s="70">
        <v>2</v>
      </c>
      <c r="AE40" s="71">
        <v>1</v>
      </c>
      <c r="AF40" s="69">
        <v>3</v>
      </c>
      <c r="AG40" s="68">
        <v>3</v>
      </c>
      <c r="AH40" s="68">
        <v>3</v>
      </c>
      <c r="AI40" s="68">
        <v>3</v>
      </c>
      <c r="AJ40" s="68">
        <v>3</v>
      </c>
      <c r="AK40" s="70">
        <v>3</v>
      </c>
      <c r="AL40" s="71">
        <v>3</v>
      </c>
      <c r="AM40" s="72">
        <v>1</v>
      </c>
      <c r="AN40" s="70">
        <v>1</v>
      </c>
      <c r="AO40" s="70">
        <v>2</v>
      </c>
      <c r="AP40" s="70">
        <v>1</v>
      </c>
      <c r="AQ40" s="70">
        <v>1</v>
      </c>
      <c r="AR40" s="73">
        <v>2</v>
      </c>
      <c r="AS40" s="80">
        <v>2</v>
      </c>
      <c r="AT40" s="188">
        <f t="shared" si="8"/>
        <v>2.4571428571428573</v>
      </c>
      <c r="AU40" s="229">
        <f t="shared" si="7"/>
        <v>146</v>
      </c>
      <c r="AV40" s="168"/>
      <c r="AW40" s="168"/>
      <c r="AX40" s="168"/>
      <c r="AY40" s="168"/>
      <c r="AZ40" s="168"/>
      <c r="BA40" s="168"/>
      <c r="BB40" s="168"/>
      <c r="BC40" s="168"/>
      <c r="BD40" s="340">
        <v>38859</v>
      </c>
      <c r="BE40" s="182">
        <f t="shared" si="9"/>
        <v>142</v>
      </c>
      <c r="BF40" s="336">
        <v>1.36</v>
      </c>
      <c r="BG40" s="213">
        <v>39213</v>
      </c>
      <c r="BH40" s="182">
        <f t="shared" si="10"/>
        <v>131</v>
      </c>
      <c r="BI40" s="336">
        <v>1.1599999999999999</v>
      </c>
      <c r="BJ40" s="213">
        <v>39584</v>
      </c>
      <c r="BK40" s="182">
        <f t="shared" si="4"/>
        <v>137</v>
      </c>
      <c r="BL40" s="336">
        <v>1.0952380952380953</v>
      </c>
      <c r="BM40" s="213">
        <v>39952</v>
      </c>
      <c r="BN40" s="182">
        <v>139</v>
      </c>
      <c r="BO40" s="336">
        <v>1.1212121212121211</v>
      </c>
      <c r="BP40" s="213">
        <v>40322</v>
      </c>
      <c r="BQ40" s="182">
        <v>144</v>
      </c>
      <c r="BR40" s="336">
        <v>1.8275862068965518</v>
      </c>
      <c r="BS40" s="213">
        <v>40683</v>
      </c>
      <c r="BT40" s="182">
        <v>140</v>
      </c>
      <c r="BU40" s="336">
        <v>2.9714285714285715</v>
      </c>
      <c r="BV40" s="182"/>
      <c r="BW40" s="182"/>
      <c r="BX40" s="182"/>
    </row>
    <row r="41" spans="1:76">
      <c r="A41" s="16" t="s">
        <v>31</v>
      </c>
      <c r="B41" s="131">
        <v>41058</v>
      </c>
      <c r="C41" s="68" t="s">
        <v>72</v>
      </c>
      <c r="D41" s="69">
        <v>4</v>
      </c>
      <c r="E41" s="68">
        <v>3</v>
      </c>
      <c r="F41" s="68">
        <v>1</v>
      </c>
      <c r="G41" s="68">
        <v>3</v>
      </c>
      <c r="H41" s="68">
        <v>3</v>
      </c>
      <c r="I41" s="70">
        <v>2</v>
      </c>
      <c r="J41" s="71">
        <v>3</v>
      </c>
      <c r="K41" s="69">
        <v>4</v>
      </c>
      <c r="L41" s="68">
        <v>4</v>
      </c>
      <c r="M41" s="68">
        <v>4</v>
      </c>
      <c r="N41" s="68">
        <v>4</v>
      </c>
      <c r="O41" s="68">
        <v>4</v>
      </c>
      <c r="P41" s="70">
        <v>4</v>
      </c>
      <c r="Q41" s="71">
        <v>4</v>
      </c>
      <c r="R41" s="69">
        <v>4</v>
      </c>
      <c r="S41" s="68">
        <v>4</v>
      </c>
      <c r="T41" s="68">
        <v>4</v>
      </c>
      <c r="U41" s="68">
        <v>4</v>
      </c>
      <c r="V41" s="68">
        <v>2</v>
      </c>
      <c r="W41" s="70">
        <v>4</v>
      </c>
      <c r="X41" s="71">
        <v>4</v>
      </c>
      <c r="Y41" s="69">
        <v>2</v>
      </c>
      <c r="Z41" s="68">
        <v>2</v>
      </c>
      <c r="AA41" s="68">
        <v>3</v>
      </c>
      <c r="AB41" s="68">
        <v>3</v>
      </c>
      <c r="AC41" s="68">
        <v>3</v>
      </c>
      <c r="AD41" s="70">
        <v>2</v>
      </c>
      <c r="AE41" s="71">
        <v>3</v>
      </c>
      <c r="AF41" s="69">
        <v>4</v>
      </c>
      <c r="AG41" s="68">
        <v>4</v>
      </c>
      <c r="AH41" s="68">
        <v>4</v>
      </c>
      <c r="AI41" s="68">
        <v>4</v>
      </c>
      <c r="AJ41" s="68">
        <v>4</v>
      </c>
      <c r="AK41" s="70">
        <v>4</v>
      </c>
      <c r="AL41" s="71">
        <v>4</v>
      </c>
      <c r="AM41" s="72">
        <v>2</v>
      </c>
      <c r="AN41" s="70">
        <v>2</v>
      </c>
      <c r="AO41" s="70">
        <v>2</v>
      </c>
      <c r="AP41" s="70">
        <v>2</v>
      </c>
      <c r="AQ41" s="70">
        <v>1</v>
      </c>
      <c r="AR41" s="73">
        <v>2</v>
      </c>
      <c r="AS41" s="80">
        <v>2</v>
      </c>
      <c r="AT41" s="188">
        <f t="shared" si="8"/>
        <v>3.4</v>
      </c>
      <c r="AU41" s="229">
        <f t="shared" si="7"/>
        <v>150</v>
      </c>
      <c r="AV41" s="168"/>
      <c r="AW41" s="168"/>
      <c r="AX41" s="168"/>
      <c r="AY41" s="168"/>
      <c r="AZ41" s="168"/>
      <c r="BA41" s="168"/>
      <c r="BB41" s="168"/>
      <c r="BC41" s="168"/>
      <c r="BD41" s="340">
        <v>38861</v>
      </c>
      <c r="BE41" s="182">
        <f t="shared" si="9"/>
        <v>144</v>
      </c>
      <c r="BF41" s="336">
        <v>1.36</v>
      </c>
      <c r="BG41" s="213">
        <v>39217</v>
      </c>
      <c r="BH41" s="182">
        <f t="shared" si="10"/>
        <v>135</v>
      </c>
      <c r="BI41" s="336">
        <v>1.1599999999999999</v>
      </c>
      <c r="BJ41" s="213">
        <v>39588</v>
      </c>
      <c r="BK41" s="182">
        <f t="shared" si="4"/>
        <v>141</v>
      </c>
      <c r="BL41" s="336">
        <v>1.1428571428571428</v>
      </c>
      <c r="BM41" s="213">
        <v>39955</v>
      </c>
      <c r="BN41" s="182">
        <v>142</v>
      </c>
      <c r="BO41" s="336">
        <v>1.5454545454545454</v>
      </c>
      <c r="BP41" s="213">
        <v>40326</v>
      </c>
      <c r="BQ41" s="182">
        <v>148</v>
      </c>
      <c r="BR41" s="336">
        <v>2.5172413793103448</v>
      </c>
      <c r="BS41" s="213">
        <v>40689</v>
      </c>
      <c r="BT41" s="182">
        <v>146</v>
      </c>
      <c r="BU41" s="336">
        <v>4.628571428571429</v>
      </c>
      <c r="BV41" s="182"/>
      <c r="BW41" s="182"/>
      <c r="BX41" s="182"/>
    </row>
    <row r="42" spans="1:76">
      <c r="A42" s="16" t="s">
        <v>31</v>
      </c>
      <c r="B42" s="131">
        <v>41061</v>
      </c>
      <c r="C42" s="68" t="s">
        <v>72</v>
      </c>
      <c r="D42" s="69">
        <v>4</v>
      </c>
      <c r="E42" s="68">
        <v>4</v>
      </c>
      <c r="F42" s="68">
        <v>2</v>
      </c>
      <c r="G42" s="68">
        <v>4</v>
      </c>
      <c r="H42" s="68">
        <v>3</v>
      </c>
      <c r="I42" s="70">
        <v>3</v>
      </c>
      <c r="J42" s="71">
        <v>4</v>
      </c>
      <c r="K42" s="69">
        <v>5</v>
      </c>
      <c r="L42" s="68">
        <v>4</v>
      </c>
      <c r="M42" s="68">
        <v>4</v>
      </c>
      <c r="N42" s="68">
        <v>4</v>
      </c>
      <c r="O42" s="68">
        <v>5</v>
      </c>
      <c r="P42" s="70">
        <v>4</v>
      </c>
      <c r="Q42" s="71">
        <v>4</v>
      </c>
      <c r="R42" s="69">
        <v>5</v>
      </c>
      <c r="S42" s="68">
        <v>5</v>
      </c>
      <c r="T42" s="68">
        <v>5</v>
      </c>
      <c r="U42" s="68">
        <v>5</v>
      </c>
      <c r="V42" s="68">
        <v>3</v>
      </c>
      <c r="W42" s="70">
        <v>5</v>
      </c>
      <c r="X42" s="71">
        <v>5</v>
      </c>
      <c r="Y42" s="69">
        <v>2</v>
      </c>
      <c r="Z42" s="68">
        <v>3</v>
      </c>
      <c r="AA42" s="68">
        <v>3</v>
      </c>
      <c r="AB42" s="68">
        <v>3</v>
      </c>
      <c r="AC42" s="68">
        <v>3</v>
      </c>
      <c r="AD42" s="70">
        <v>2</v>
      </c>
      <c r="AE42" s="71">
        <v>3</v>
      </c>
      <c r="AF42" s="69">
        <v>4</v>
      </c>
      <c r="AG42" s="68">
        <v>4</v>
      </c>
      <c r="AH42" s="68">
        <v>4</v>
      </c>
      <c r="AI42" s="68">
        <v>4</v>
      </c>
      <c r="AJ42" s="68">
        <v>4</v>
      </c>
      <c r="AK42" s="70">
        <v>4</v>
      </c>
      <c r="AL42" s="71">
        <v>5</v>
      </c>
      <c r="AM42" s="72">
        <v>2</v>
      </c>
      <c r="AN42" s="70">
        <v>3</v>
      </c>
      <c r="AO42" s="70">
        <v>2</v>
      </c>
      <c r="AP42" s="70">
        <v>2</v>
      </c>
      <c r="AQ42" s="70">
        <v>2</v>
      </c>
      <c r="AR42" s="73">
        <v>3</v>
      </c>
      <c r="AS42" s="80">
        <v>2</v>
      </c>
      <c r="AT42" s="188">
        <f t="shared" si="8"/>
        <v>3.8571428571428572</v>
      </c>
      <c r="AU42" s="229">
        <f t="shared" si="7"/>
        <v>153</v>
      </c>
      <c r="AV42" s="168"/>
      <c r="AW42" s="168"/>
      <c r="AX42" s="168"/>
      <c r="AY42" s="168"/>
      <c r="AZ42" s="168"/>
      <c r="BA42" s="168"/>
      <c r="BB42" s="168"/>
      <c r="BC42" s="168"/>
      <c r="BD42" s="340">
        <v>38866</v>
      </c>
      <c r="BE42" s="182">
        <f t="shared" si="9"/>
        <v>149</v>
      </c>
      <c r="BF42" s="336">
        <v>2</v>
      </c>
      <c r="BG42" s="213">
        <v>39220</v>
      </c>
      <c r="BH42" s="182">
        <f t="shared" si="10"/>
        <v>138</v>
      </c>
      <c r="BI42" s="336">
        <v>1.84</v>
      </c>
      <c r="BJ42" s="213">
        <v>39591</v>
      </c>
      <c r="BK42" s="182">
        <f t="shared" si="4"/>
        <v>144</v>
      </c>
      <c r="BL42" s="336">
        <v>1.8571428571428572</v>
      </c>
      <c r="BM42" s="213">
        <v>39958</v>
      </c>
      <c r="BN42" s="182">
        <v>145</v>
      </c>
      <c r="BO42" s="336">
        <v>1.9090909090909092</v>
      </c>
      <c r="BP42" s="213">
        <v>40332</v>
      </c>
      <c r="BQ42" s="182">
        <v>154</v>
      </c>
      <c r="BR42" s="336">
        <v>3.6428571428571428</v>
      </c>
      <c r="BS42" s="213">
        <v>40697</v>
      </c>
      <c r="BT42" s="182">
        <v>154</v>
      </c>
      <c r="BU42" s="336">
        <v>5.3428571428571425</v>
      </c>
      <c r="BV42" s="182"/>
      <c r="BW42" s="182"/>
      <c r="BX42" s="182"/>
    </row>
    <row r="43" spans="1:76">
      <c r="A43" s="16" t="s">
        <v>31</v>
      </c>
      <c r="B43" s="131">
        <v>41067</v>
      </c>
      <c r="C43" s="68" t="s">
        <v>72</v>
      </c>
      <c r="D43" s="69">
        <v>4</v>
      </c>
      <c r="E43" s="68">
        <v>4</v>
      </c>
      <c r="F43" s="68">
        <v>3</v>
      </c>
      <c r="G43" s="68">
        <v>4</v>
      </c>
      <c r="H43" s="68">
        <v>4</v>
      </c>
      <c r="I43" s="70">
        <v>4</v>
      </c>
      <c r="J43" s="71">
        <v>4</v>
      </c>
      <c r="K43" s="69">
        <v>5</v>
      </c>
      <c r="L43" s="68">
        <v>4</v>
      </c>
      <c r="M43" s="68">
        <v>5</v>
      </c>
      <c r="N43" s="68">
        <v>4</v>
      </c>
      <c r="O43" s="68">
        <v>4</v>
      </c>
      <c r="P43" s="70">
        <v>5</v>
      </c>
      <c r="Q43" s="71">
        <v>5</v>
      </c>
      <c r="R43" s="69">
        <v>5</v>
      </c>
      <c r="S43" s="68">
        <v>5</v>
      </c>
      <c r="T43" s="68">
        <v>5</v>
      </c>
      <c r="U43" s="68">
        <v>5</v>
      </c>
      <c r="V43" s="68">
        <v>3</v>
      </c>
      <c r="W43" s="70">
        <v>5</v>
      </c>
      <c r="X43" s="71">
        <v>5</v>
      </c>
      <c r="Y43" s="69">
        <v>4</v>
      </c>
      <c r="Z43" s="68">
        <v>4</v>
      </c>
      <c r="AA43" s="68">
        <v>4</v>
      </c>
      <c r="AB43" s="68">
        <v>4</v>
      </c>
      <c r="AC43" s="68">
        <v>4</v>
      </c>
      <c r="AD43" s="70">
        <v>3</v>
      </c>
      <c r="AE43" s="71">
        <v>4</v>
      </c>
      <c r="AF43" s="69">
        <v>4</v>
      </c>
      <c r="AG43" s="68">
        <v>4</v>
      </c>
      <c r="AH43" s="68">
        <v>4</v>
      </c>
      <c r="AI43" s="68">
        <v>4</v>
      </c>
      <c r="AJ43" s="68">
        <v>4</v>
      </c>
      <c r="AK43" s="70">
        <v>5</v>
      </c>
      <c r="AL43" s="71">
        <v>5</v>
      </c>
      <c r="AM43" s="72">
        <v>3</v>
      </c>
      <c r="AN43" s="70">
        <v>4</v>
      </c>
      <c r="AO43" s="70">
        <v>3</v>
      </c>
      <c r="AP43" s="70">
        <v>3</v>
      </c>
      <c r="AQ43" s="70">
        <v>3</v>
      </c>
      <c r="AR43" s="73">
        <v>3</v>
      </c>
      <c r="AS43" s="80">
        <v>3</v>
      </c>
      <c r="AT43" s="188">
        <f t="shared" si="8"/>
        <v>4.2571428571428571</v>
      </c>
      <c r="AU43" s="229">
        <f t="shared" si="7"/>
        <v>159</v>
      </c>
      <c r="AV43" s="168"/>
      <c r="AW43" s="168"/>
      <c r="AX43" s="168"/>
      <c r="AY43" s="168"/>
      <c r="AZ43" s="168"/>
      <c r="BA43" s="168"/>
      <c r="BB43" s="168"/>
      <c r="BC43" s="168"/>
      <c r="BD43" s="340">
        <v>38870</v>
      </c>
      <c r="BE43" s="182">
        <f t="shared" si="9"/>
        <v>153</v>
      </c>
      <c r="BF43" s="336">
        <v>2.4166666666666665</v>
      </c>
      <c r="BG43" s="213">
        <v>39223</v>
      </c>
      <c r="BH43" s="182">
        <f t="shared" si="10"/>
        <v>141</v>
      </c>
      <c r="BI43" s="336">
        <v>2.3199999999999998</v>
      </c>
      <c r="BJ43" s="213">
        <v>39595</v>
      </c>
      <c r="BK43" s="182">
        <f t="shared" si="4"/>
        <v>148</v>
      </c>
      <c r="BL43" s="336">
        <v>2.1428571428571428</v>
      </c>
      <c r="BM43" s="213">
        <v>39962</v>
      </c>
      <c r="BN43" s="182">
        <v>149</v>
      </c>
      <c r="BO43" s="336">
        <v>2.393939393939394</v>
      </c>
      <c r="BP43" s="213">
        <v>40339</v>
      </c>
      <c r="BQ43" s="182">
        <v>161</v>
      </c>
      <c r="BR43" s="336">
        <v>4.75</v>
      </c>
      <c r="BS43" s="213">
        <v>40703</v>
      </c>
      <c r="BT43" s="182">
        <v>160</v>
      </c>
      <c r="BU43" s="336">
        <v>6.2</v>
      </c>
      <c r="BV43" s="182"/>
      <c r="BW43" s="182"/>
      <c r="BX43" s="182"/>
    </row>
    <row r="44" spans="1:76">
      <c r="A44" s="16" t="s">
        <v>31</v>
      </c>
      <c r="B44" s="131">
        <v>41075</v>
      </c>
      <c r="C44" s="68" t="s">
        <v>72</v>
      </c>
      <c r="D44" s="69">
        <v>5</v>
      </c>
      <c r="E44" s="68">
        <v>4</v>
      </c>
      <c r="F44" s="68">
        <v>4</v>
      </c>
      <c r="G44" s="68">
        <v>5</v>
      </c>
      <c r="H44" s="68">
        <v>4</v>
      </c>
      <c r="I44" s="70">
        <v>4</v>
      </c>
      <c r="J44" s="71">
        <v>5</v>
      </c>
      <c r="K44" s="69">
        <v>6</v>
      </c>
      <c r="L44" s="68">
        <v>6</v>
      </c>
      <c r="M44" s="68">
        <v>6</v>
      </c>
      <c r="N44" s="68">
        <v>5</v>
      </c>
      <c r="O44" s="68">
        <v>6</v>
      </c>
      <c r="P44" s="70">
        <v>6</v>
      </c>
      <c r="Q44" s="71">
        <v>6</v>
      </c>
      <c r="R44" s="69">
        <v>5</v>
      </c>
      <c r="S44" s="68">
        <v>6</v>
      </c>
      <c r="T44" s="68">
        <v>6</v>
      </c>
      <c r="U44" s="68">
        <v>6</v>
      </c>
      <c r="V44" s="68">
        <v>4</v>
      </c>
      <c r="W44" s="70">
        <v>6</v>
      </c>
      <c r="X44" s="71">
        <v>6</v>
      </c>
      <c r="Y44" s="69">
        <v>4</v>
      </c>
      <c r="Z44" s="68">
        <v>4</v>
      </c>
      <c r="AA44" s="68">
        <v>4</v>
      </c>
      <c r="AB44" s="68">
        <v>4</v>
      </c>
      <c r="AC44" s="68">
        <v>4</v>
      </c>
      <c r="AD44" s="70">
        <v>4</v>
      </c>
      <c r="AE44" s="71">
        <v>4</v>
      </c>
      <c r="AF44" s="69">
        <v>5</v>
      </c>
      <c r="AG44" s="68">
        <v>5</v>
      </c>
      <c r="AH44" s="68">
        <v>5</v>
      </c>
      <c r="AI44" s="68">
        <v>5</v>
      </c>
      <c r="AJ44" s="68">
        <v>5</v>
      </c>
      <c r="AK44" s="70">
        <v>6</v>
      </c>
      <c r="AL44" s="71">
        <v>6</v>
      </c>
      <c r="AM44" s="72">
        <v>5</v>
      </c>
      <c r="AN44" s="70">
        <v>5</v>
      </c>
      <c r="AO44" s="70">
        <v>4</v>
      </c>
      <c r="AP44" s="70">
        <v>5</v>
      </c>
      <c r="AQ44" s="70">
        <v>4</v>
      </c>
      <c r="AR44" s="73">
        <v>4</v>
      </c>
      <c r="AS44" s="80">
        <v>4</v>
      </c>
      <c r="AT44" s="188">
        <f t="shared" si="8"/>
        <v>5.0285714285714285</v>
      </c>
      <c r="AU44" s="229">
        <f t="shared" si="7"/>
        <v>167</v>
      </c>
      <c r="AV44" s="168"/>
      <c r="AW44" s="168"/>
      <c r="AX44" s="168"/>
      <c r="AY44" s="168"/>
      <c r="AZ44" s="168"/>
      <c r="BA44" s="168"/>
      <c r="BB44" s="168"/>
      <c r="BC44" s="168"/>
      <c r="BD44" s="340">
        <v>38873</v>
      </c>
      <c r="BE44" s="182">
        <f t="shared" si="9"/>
        <v>156</v>
      </c>
      <c r="BF44" s="336">
        <v>3.2083333333333335</v>
      </c>
      <c r="BG44" s="213">
        <v>39227</v>
      </c>
      <c r="BH44" s="182">
        <f t="shared" si="10"/>
        <v>145</v>
      </c>
      <c r="BI44" s="336">
        <v>3.24</v>
      </c>
      <c r="BJ44" s="213">
        <v>39598</v>
      </c>
      <c r="BK44" s="182">
        <f t="shared" si="4"/>
        <v>151</v>
      </c>
      <c r="BL44" s="336">
        <v>2.7619047619047619</v>
      </c>
      <c r="BM44" s="213">
        <v>39965</v>
      </c>
      <c r="BN44" s="182">
        <v>152</v>
      </c>
      <c r="BO44" s="336">
        <v>3.6666666666666665</v>
      </c>
      <c r="BP44" s="213">
        <v>40346</v>
      </c>
      <c r="BQ44" s="182">
        <v>168</v>
      </c>
      <c r="BR44" s="336">
        <v>6.4642857142857144</v>
      </c>
      <c r="BS44" s="213">
        <v>40711</v>
      </c>
      <c r="BT44" s="182">
        <v>168</v>
      </c>
      <c r="BU44" s="336">
        <v>7.4</v>
      </c>
      <c r="BV44" s="182"/>
      <c r="BW44" s="182"/>
      <c r="BX44" s="182"/>
    </row>
    <row r="45" spans="1:76">
      <c r="A45" s="16" t="s">
        <v>31</v>
      </c>
      <c r="B45" s="131">
        <v>41081</v>
      </c>
      <c r="C45" s="68" t="s">
        <v>80</v>
      </c>
      <c r="D45" s="69">
        <v>8</v>
      </c>
      <c r="E45" s="68">
        <v>5</v>
      </c>
      <c r="F45" s="68">
        <v>5</v>
      </c>
      <c r="G45" s="68">
        <v>6</v>
      </c>
      <c r="H45" s="68">
        <v>7</v>
      </c>
      <c r="I45" s="70">
        <v>5</v>
      </c>
      <c r="J45" s="71">
        <v>7</v>
      </c>
      <c r="K45" s="69">
        <v>7</v>
      </c>
      <c r="L45" s="68">
        <v>7</v>
      </c>
      <c r="M45" s="68">
        <v>7</v>
      </c>
      <c r="N45" s="68">
        <v>8</v>
      </c>
      <c r="O45" s="68">
        <v>8</v>
      </c>
      <c r="P45" s="70">
        <v>8</v>
      </c>
      <c r="Q45" s="71">
        <v>8</v>
      </c>
      <c r="R45" s="69">
        <v>6</v>
      </c>
      <c r="S45" s="68">
        <v>7</v>
      </c>
      <c r="T45" s="68">
        <v>8</v>
      </c>
      <c r="U45" s="68">
        <v>8</v>
      </c>
      <c r="V45" s="68">
        <v>6</v>
      </c>
      <c r="W45" s="70">
        <v>7</v>
      </c>
      <c r="X45" s="71">
        <v>7</v>
      </c>
      <c r="Y45" s="69">
        <v>6</v>
      </c>
      <c r="Z45" s="68">
        <v>6</v>
      </c>
      <c r="AA45" s="68">
        <v>6</v>
      </c>
      <c r="AB45" s="68">
        <v>6</v>
      </c>
      <c r="AC45" s="68">
        <v>6</v>
      </c>
      <c r="AD45" s="70">
        <v>5</v>
      </c>
      <c r="AE45" s="71">
        <v>7</v>
      </c>
      <c r="AF45" s="69">
        <v>7</v>
      </c>
      <c r="AG45" s="68">
        <v>7</v>
      </c>
      <c r="AH45" s="68">
        <v>7</v>
      </c>
      <c r="AI45" s="68">
        <v>7</v>
      </c>
      <c r="AJ45" s="68">
        <v>7</v>
      </c>
      <c r="AK45" s="70">
        <v>7</v>
      </c>
      <c r="AL45" s="71">
        <v>7</v>
      </c>
      <c r="AM45" s="72">
        <v>7</v>
      </c>
      <c r="AN45" s="70">
        <v>7</v>
      </c>
      <c r="AO45" s="70">
        <v>6</v>
      </c>
      <c r="AP45" s="70">
        <v>7</v>
      </c>
      <c r="AQ45" s="70">
        <v>5</v>
      </c>
      <c r="AR45" s="73">
        <v>7</v>
      </c>
      <c r="AS45" s="80">
        <v>7</v>
      </c>
      <c r="AT45" s="188">
        <f t="shared" si="8"/>
        <v>6.7428571428571429</v>
      </c>
      <c r="AU45" s="229">
        <f t="shared" si="7"/>
        <v>173</v>
      </c>
      <c r="AV45" s="168"/>
      <c r="AW45" s="168"/>
      <c r="AX45" s="168"/>
      <c r="AY45" s="168"/>
      <c r="AZ45" s="168"/>
      <c r="BA45" s="168"/>
      <c r="BB45" s="168"/>
      <c r="BC45" s="168"/>
      <c r="BD45" s="340">
        <v>38877</v>
      </c>
      <c r="BE45" s="182">
        <f t="shared" si="9"/>
        <v>160</v>
      </c>
      <c r="BF45" s="336">
        <v>3.7083333333333335</v>
      </c>
      <c r="BG45" s="213">
        <v>39230</v>
      </c>
      <c r="BH45" s="182">
        <f t="shared" si="10"/>
        <v>148</v>
      </c>
      <c r="BI45" s="336">
        <v>3.32</v>
      </c>
      <c r="BJ45" s="213">
        <v>39601</v>
      </c>
      <c r="BK45" s="182">
        <f t="shared" si="4"/>
        <v>154</v>
      </c>
      <c r="BL45" s="336">
        <v>3.6666666666666665</v>
      </c>
      <c r="BM45" s="213">
        <v>39973</v>
      </c>
      <c r="BN45" s="182">
        <v>160</v>
      </c>
      <c r="BO45" s="336">
        <v>4.5151515151515156</v>
      </c>
      <c r="BP45" s="213">
        <v>40353</v>
      </c>
      <c r="BQ45" s="182">
        <v>175</v>
      </c>
      <c r="BR45" s="336">
        <v>7.6428571428571432</v>
      </c>
      <c r="BS45" s="213">
        <v>40717</v>
      </c>
      <c r="BT45" s="182">
        <v>174</v>
      </c>
      <c r="BU45" s="336">
        <v>8</v>
      </c>
      <c r="BV45" s="182"/>
      <c r="BW45" s="182"/>
      <c r="BX45" s="182"/>
    </row>
    <row r="46" spans="1:76">
      <c r="A46" s="16" t="s">
        <v>31</v>
      </c>
      <c r="B46" s="131">
        <v>41088</v>
      </c>
      <c r="C46" s="68" t="s">
        <v>80</v>
      </c>
      <c r="D46" s="69">
        <v>8</v>
      </c>
      <c r="E46" s="68">
        <v>8</v>
      </c>
      <c r="F46" s="68">
        <v>6</v>
      </c>
      <c r="G46" s="68">
        <v>8</v>
      </c>
      <c r="H46" s="68">
        <v>8</v>
      </c>
      <c r="I46" s="70">
        <v>8</v>
      </c>
      <c r="J46" s="71">
        <v>8</v>
      </c>
      <c r="K46" s="69">
        <v>8</v>
      </c>
      <c r="L46" s="68">
        <v>8</v>
      </c>
      <c r="M46" s="68">
        <v>8</v>
      </c>
      <c r="N46" s="68">
        <v>8</v>
      </c>
      <c r="O46" s="68">
        <v>8</v>
      </c>
      <c r="P46" s="70">
        <v>8</v>
      </c>
      <c r="Q46" s="71">
        <v>8</v>
      </c>
      <c r="R46" s="69">
        <v>8</v>
      </c>
      <c r="S46" s="68">
        <v>8</v>
      </c>
      <c r="T46" s="68">
        <v>8</v>
      </c>
      <c r="U46" s="68">
        <v>8</v>
      </c>
      <c r="V46" s="68">
        <v>7</v>
      </c>
      <c r="W46" s="70">
        <v>8</v>
      </c>
      <c r="X46" s="71">
        <v>7</v>
      </c>
      <c r="Y46" s="69">
        <v>7</v>
      </c>
      <c r="Z46" s="68">
        <v>8</v>
      </c>
      <c r="AA46" s="68">
        <v>8</v>
      </c>
      <c r="AB46" s="68">
        <v>7</v>
      </c>
      <c r="AC46" s="68">
        <v>8</v>
      </c>
      <c r="AD46" s="70">
        <v>7</v>
      </c>
      <c r="AE46" s="71">
        <v>7</v>
      </c>
      <c r="AF46" s="69">
        <v>8</v>
      </c>
      <c r="AG46" s="68">
        <v>7</v>
      </c>
      <c r="AH46" s="68">
        <v>8</v>
      </c>
      <c r="AI46" s="68">
        <v>8</v>
      </c>
      <c r="AJ46" s="68">
        <v>8</v>
      </c>
      <c r="AK46" s="70">
        <v>8</v>
      </c>
      <c r="AL46" s="71">
        <v>8</v>
      </c>
      <c r="AM46" s="72">
        <v>8</v>
      </c>
      <c r="AN46" s="70">
        <v>7</v>
      </c>
      <c r="AO46" s="70">
        <v>6</v>
      </c>
      <c r="AP46" s="70">
        <v>7</v>
      </c>
      <c r="AQ46" s="70">
        <v>7</v>
      </c>
      <c r="AR46" s="73">
        <v>7</v>
      </c>
      <c r="AS46" s="80">
        <v>7</v>
      </c>
      <c r="AT46" s="188">
        <f t="shared" si="8"/>
        <v>7.7428571428571429</v>
      </c>
      <c r="AU46" s="229">
        <f t="shared" si="7"/>
        <v>180</v>
      </c>
      <c r="AV46" s="168"/>
      <c r="AW46" s="168"/>
      <c r="AX46" s="168"/>
      <c r="AY46" s="168"/>
      <c r="AZ46" s="168"/>
      <c r="BA46" s="168"/>
      <c r="BB46" s="168"/>
      <c r="BC46" s="168"/>
      <c r="BD46" s="340">
        <v>38880</v>
      </c>
      <c r="BE46" s="182">
        <f t="shared" si="9"/>
        <v>163</v>
      </c>
      <c r="BF46" s="336">
        <v>5.333333333333333</v>
      </c>
      <c r="BG46" s="213">
        <v>39234</v>
      </c>
      <c r="BH46" s="182">
        <f t="shared" si="10"/>
        <v>152</v>
      </c>
      <c r="BI46" s="336">
        <v>4.08</v>
      </c>
      <c r="BJ46" s="213">
        <v>39604</v>
      </c>
      <c r="BK46" s="182">
        <f t="shared" si="4"/>
        <v>157</v>
      </c>
      <c r="BL46" s="336">
        <v>4.8888888888888893</v>
      </c>
      <c r="BM46" s="213">
        <v>39982</v>
      </c>
      <c r="BN46" s="182">
        <v>169</v>
      </c>
      <c r="BO46" s="336">
        <v>5.1818181818181817</v>
      </c>
      <c r="BP46" s="213">
        <v>40361</v>
      </c>
      <c r="BQ46" s="182">
        <v>183</v>
      </c>
      <c r="BR46" s="336">
        <v>8</v>
      </c>
      <c r="BS46" s="213"/>
      <c r="BT46" s="182"/>
      <c r="BU46" s="336"/>
      <c r="BV46" s="182"/>
      <c r="BW46" s="182"/>
      <c r="BX46" s="182"/>
    </row>
    <row r="47" spans="1:76">
      <c r="A47" s="16" t="s">
        <v>31</v>
      </c>
      <c r="B47" s="131">
        <v>41098</v>
      </c>
      <c r="C47" s="68" t="s">
        <v>72</v>
      </c>
      <c r="D47" s="69">
        <v>8</v>
      </c>
      <c r="E47" s="68">
        <v>8</v>
      </c>
      <c r="F47" s="68">
        <v>8</v>
      </c>
      <c r="G47" s="68">
        <v>8</v>
      </c>
      <c r="H47" s="68">
        <v>8</v>
      </c>
      <c r="I47" s="70">
        <v>8</v>
      </c>
      <c r="J47" s="71">
        <v>8</v>
      </c>
      <c r="K47" s="69">
        <v>8</v>
      </c>
      <c r="L47" s="68">
        <v>8</v>
      </c>
      <c r="M47" s="68">
        <v>8</v>
      </c>
      <c r="N47" s="68">
        <v>8</v>
      </c>
      <c r="O47" s="68">
        <v>8</v>
      </c>
      <c r="P47" s="70">
        <v>8</v>
      </c>
      <c r="Q47" s="71">
        <v>8</v>
      </c>
      <c r="R47" s="69">
        <v>8</v>
      </c>
      <c r="S47" s="68">
        <v>8</v>
      </c>
      <c r="T47" s="68">
        <v>8</v>
      </c>
      <c r="U47" s="68">
        <v>8</v>
      </c>
      <c r="V47" s="68">
        <v>8</v>
      </c>
      <c r="W47" s="70">
        <v>8</v>
      </c>
      <c r="X47" s="71">
        <v>8</v>
      </c>
      <c r="Y47" s="69">
        <v>8</v>
      </c>
      <c r="Z47" s="68">
        <v>8</v>
      </c>
      <c r="AA47" s="68">
        <v>8</v>
      </c>
      <c r="AB47" s="68">
        <v>8</v>
      </c>
      <c r="AC47" s="68">
        <v>8</v>
      </c>
      <c r="AD47" s="70">
        <v>8</v>
      </c>
      <c r="AE47" s="71">
        <v>8</v>
      </c>
      <c r="AF47" s="69">
        <v>8</v>
      </c>
      <c r="AG47" s="68">
        <v>8</v>
      </c>
      <c r="AH47" s="68">
        <v>8</v>
      </c>
      <c r="AI47" s="68">
        <v>8</v>
      </c>
      <c r="AJ47" s="68">
        <v>8</v>
      </c>
      <c r="AK47" s="70">
        <v>8</v>
      </c>
      <c r="AL47" s="71">
        <v>8</v>
      </c>
      <c r="AM47" s="72">
        <v>8</v>
      </c>
      <c r="AN47" s="70">
        <v>8</v>
      </c>
      <c r="AO47" s="70">
        <v>8</v>
      </c>
      <c r="AP47" s="70">
        <v>8</v>
      </c>
      <c r="AQ47" s="70">
        <v>8</v>
      </c>
      <c r="AR47" s="73">
        <v>8</v>
      </c>
      <c r="AS47" s="80">
        <v>8</v>
      </c>
      <c r="AT47" s="188">
        <f t="shared" si="8"/>
        <v>8</v>
      </c>
      <c r="AU47" s="229">
        <f t="shared" si="7"/>
        <v>190</v>
      </c>
      <c r="AV47" s="168"/>
      <c r="AW47" s="168"/>
      <c r="AX47" s="168"/>
      <c r="AY47" s="168"/>
      <c r="AZ47" s="168"/>
      <c r="BA47" s="168"/>
      <c r="BB47" s="168"/>
      <c r="BC47" s="168"/>
      <c r="BD47" s="340">
        <v>38883</v>
      </c>
      <c r="BE47" s="182">
        <f t="shared" si="9"/>
        <v>166</v>
      </c>
      <c r="BF47" s="336">
        <v>5.75</v>
      </c>
      <c r="BG47" s="213">
        <v>39237</v>
      </c>
      <c r="BH47" s="182">
        <f t="shared" si="10"/>
        <v>155</v>
      </c>
      <c r="BI47" s="336">
        <v>4.8</v>
      </c>
      <c r="BJ47" s="213">
        <v>39608</v>
      </c>
      <c r="BK47" s="182">
        <f t="shared" si="4"/>
        <v>161</v>
      </c>
      <c r="BL47" s="336">
        <v>5.9444444444444446</v>
      </c>
      <c r="BM47" s="213">
        <v>39989</v>
      </c>
      <c r="BN47" s="182">
        <v>176</v>
      </c>
      <c r="BO47" s="336">
        <v>5.8181818181818183</v>
      </c>
      <c r="BP47" s="213"/>
      <c r="BQ47" s="182"/>
      <c r="BR47" s="336"/>
      <c r="BS47" s="213"/>
      <c r="BT47" s="182"/>
      <c r="BU47" s="336"/>
      <c r="BV47" s="182"/>
      <c r="BW47" s="182"/>
      <c r="BX47" s="182"/>
    </row>
    <row r="48" spans="1:76">
      <c r="A48" s="16" t="s">
        <v>31</v>
      </c>
      <c r="B48" s="131"/>
      <c r="C48" s="68"/>
      <c r="D48" s="69"/>
      <c r="E48" s="68"/>
      <c r="F48" s="68"/>
      <c r="G48" s="68"/>
      <c r="H48" s="68"/>
      <c r="I48" s="70"/>
      <c r="J48" s="71"/>
      <c r="K48" s="69"/>
      <c r="L48" s="68"/>
      <c r="M48" s="68"/>
      <c r="N48" s="68"/>
      <c r="O48" s="68"/>
      <c r="P48" s="70"/>
      <c r="Q48" s="71"/>
      <c r="R48" s="69"/>
      <c r="S48" s="68"/>
      <c r="T48" s="68"/>
      <c r="U48" s="68"/>
      <c r="V48" s="68"/>
      <c r="W48" s="70"/>
      <c r="X48" s="71"/>
      <c r="Y48" s="69"/>
      <c r="Z48" s="68"/>
      <c r="AA48" s="68"/>
      <c r="AB48" s="68"/>
      <c r="AC48" s="68"/>
      <c r="AD48" s="70"/>
      <c r="AE48" s="71"/>
      <c r="AF48" s="69"/>
      <c r="AG48" s="68"/>
      <c r="AH48" s="68"/>
      <c r="AI48" s="68"/>
      <c r="AJ48" s="68"/>
      <c r="AK48" s="70"/>
      <c r="AL48" s="71"/>
      <c r="AM48" s="72"/>
      <c r="AN48" s="70"/>
      <c r="AO48" s="70"/>
      <c r="AP48" s="70"/>
      <c r="AQ48" s="70"/>
      <c r="AR48" s="73"/>
      <c r="AS48" s="80"/>
      <c r="AT48" s="188">
        <f t="shared" si="8"/>
        <v>8</v>
      </c>
      <c r="AU48" s="229">
        <f t="shared" si="7"/>
        <v>190</v>
      </c>
      <c r="AV48" s="168"/>
      <c r="AW48" s="168"/>
      <c r="AX48" s="168"/>
      <c r="AY48" s="168"/>
      <c r="AZ48" s="168"/>
      <c r="BA48" s="168"/>
      <c r="BB48" s="168"/>
      <c r="BC48" s="168"/>
      <c r="BD48" s="340">
        <v>38887</v>
      </c>
      <c r="BE48" s="182">
        <f t="shared" si="9"/>
        <v>170</v>
      </c>
      <c r="BF48" s="336">
        <v>6.208333333333333</v>
      </c>
      <c r="BG48" s="213">
        <v>39241</v>
      </c>
      <c r="BH48" s="182">
        <f t="shared" si="10"/>
        <v>159</v>
      </c>
      <c r="BI48" s="336">
        <v>6</v>
      </c>
      <c r="BJ48" s="213">
        <v>39612</v>
      </c>
      <c r="BK48" s="182">
        <f t="shared" si="4"/>
        <v>165</v>
      </c>
      <c r="BL48" s="336">
        <v>6.2222222222222223</v>
      </c>
      <c r="BM48" s="213">
        <v>39996</v>
      </c>
      <c r="BN48" s="182">
        <v>183</v>
      </c>
      <c r="BO48" s="336">
        <v>5.8181818181818183</v>
      </c>
      <c r="BP48" s="213"/>
      <c r="BQ48" s="182"/>
      <c r="BR48" s="336"/>
      <c r="BS48" s="213"/>
      <c r="BT48" s="182"/>
      <c r="BU48" s="336"/>
      <c r="BV48" s="182"/>
      <c r="BW48" s="182"/>
      <c r="BX48" s="182"/>
    </row>
    <row r="49" spans="1:76">
      <c r="A49" s="16" t="s">
        <v>31</v>
      </c>
      <c r="B49" s="131"/>
      <c r="C49" s="68"/>
      <c r="D49" s="69"/>
      <c r="E49" s="68"/>
      <c r="F49" s="68"/>
      <c r="G49" s="68"/>
      <c r="H49" s="68"/>
      <c r="I49" s="70"/>
      <c r="J49" s="71"/>
      <c r="K49" s="69"/>
      <c r="L49" s="68"/>
      <c r="M49" s="68"/>
      <c r="N49" s="68"/>
      <c r="O49" s="68"/>
      <c r="P49" s="70"/>
      <c r="Q49" s="71"/>
      <c r="R49" s="69"/>
      <c r="S49" s="68"/>
      <c r="T49" s="68"/>
      <c r="U49" s="68"/>
      <c r="V49" s="68"/>
      <c r="W49" s="70"/>
      <c r="X49" s="71"/>
      <c r="Y49" s="69"/>
      <c r="Z49" s="68"/>
      <c r="AA49" s="68"/>
      <c r="AB49" s="68"/>
      <c r="AC49" s="68"/>
      <c r="AD49" s="70"/>
      <c r="AE49" s="71"/>
      <c r="AF49" s="69"/>
      <c r="AG49" s="68"/>
      <c r="AH49" s="68"/>
      <c r="AI49" s="68"/>
      <c r="AJ49" s="68"/>
      <c r="AK49" s="70"/>
      <c r="AL49" s="71"/>
      <c r="AM49" s="72"/>
      <c r="AN49" s="70"/>
      <c r="AO49" s="70"/>
      <c r="AP49" s="70"/>
      <c r="AQ49" s="70"/>
      <c r="AR49" s="73"/>
      <c r="AS49" s="80"/>
      <c r="AT49" s="188">
        <f t="shared" si="8"/>
        <v>8</v>
      </c>
      <c r="AU49" s="229">
        <f t="shared" si="7"/>
        <v>190</v>
      </c>
      <c r="AV49" s="168"/>
      <c r="AW49" s="168"/>
      <c r="AX49" s="168"/>
      <c r="AY49" s="168"/>
      <c r="AZ49" s="168"/>
      <c r="BA49" s="168"/>
      <c r="BB49" s="168"/>
      <c r="BC49" s="168"/>
      <c r="BD49" s="340">
        <v>38890</v>
      </c>
      <c r="BE49" s="182">
        <f t="shared" si="9"/>
        <v>173</v>
      </c>
      <c r="BF49" s="336">
        <v>6.625</v>
      </c>
      <c r="BG49" s="213">
        <v>39245</v>
      </c>
      <c r="BH49" s="182">
        <f t="shared" si="10"/>
        <v>163</v>
      </c>
      <c r="BI49" s="336">
        <v>6.8</v>
      </c>
      <c r="BJ49" s="213">
        <v>39616</v>
      </c>
      <c r="BK49" s="182">
        <f t="shared" si="4"/>
        <v>169</v>
      </c>
      <c r="BL49" s="336">
        <v>6.2222222222222223</v>
      </c>
      <c r="BM49" s="213"/>
      <c r="BN49" s="182"/>
      <c r="BO49" s="336"/>
      <c r="BP49" s="213"/>
      <c r="BQ49" s="182"/>
      <c r="BR49" s="336"/>
      <c r="BS49" s="213"/>
      <c r="BT49" s="182"/>
      <c r="BU49" s="336"/>
      <c r="BV49" s="182"/>
      <c r="BW49" s="182"/>
      <c r="BX49" s="182"/>
    </row>
    <row r="50" spans="1:76">
      <c r="A50" s="16" t="s">
        <v>31</v>
      </c>
      <c r="B50" s="131"/>
      <c r="C50" s="68"/>
      <c r="D50" s="69"/>
      <c r="E50" s="68"/>
      <c r="F50" s="68"/>
      <c r="G50" s="68"/>
      <c r="H50" s="68"/>
      <c r="I50" s="70"/>
      <c r="J50" s="71"/>
      <c r="K50" s="69"/>
      <c r="L50" s="68"/>
      <c r="M50" s="68"/>
      <c r="N50" s="68"/>
      <c r="O50" s="68"/>
      <c r="P50" s="70"/>
      <c r="Q50" s="71"/>
      <c r="R50" s="69"/>
      <c r="S50" s="68"/>
      <c r="T50" s="68"/>
      <c r="U50" s="68"/>
      <c r="V50" s="68"/>
      <c r="W50" s="70"/>
      <c r="X50" s="71"/>
      <c r="Y50" s="69"/>
      <c r="Z50" s="68"/>
      <c r="AA50" s="68"/>
      <c r="AB50" s="68"/>
      <c r="AC50" s="68"/>
      <c r="AD50" s="70"/>
      <c r="AE50" s="71"/>
      <c r="AF50" s="69"/>
      <c r="AG50" s="68"/>
      <c r="AH50" s="68"/>
      <c r="AI50" s="68"/>
      <c r="AJ50" s="68"/>
      <c r="AK50" s="70"/>
      <c r="AL50" s="71"/>
      <c r="AM50" s="72"/>
      <c r="AN50" s="70"/>
      <c r="AO50" s="70"/>
      <c r="AP50" s="70"/>
      <c r="AQ50" s="70"/>
      <c r="AR50" s="73"/>
      <c r="AS50" s="80"/>
      <c r="AT50" s="188">
        <f t="shared" si="8"/>
        <v>8</v>
      </c>
      <c r="AU50" s="229">
        <f t="shared" si="7"/>
        <v>190</v>
      </c>
      <c r="AV50" s="168"/>
      <c r="AW50" s="168"/>
      <c r="AX50" s="168"/>
      <c r="AY50" s="168"/>
      <c r="AZ50" s="168"/>
      <c r="BA50" s="168"/>
      <c r="BB50" s="168"/>
      <c r="BC50" s="168"/>
      <c r="BD50" s="340">
        <v>38894</v>
      </c>
      <c r="BE50" s="182">
        <f t="shared" si="9"/>
        <v>177</v>
      </c>
      <c r="BF50" s="336">
        <v>7.625</v>
      </c>
      <c r="BG50" s="213">
        <v>39248</v>
      </c>
      <c r="BH50" s="182">
        <f t="shared" si="10"/>
        <v>166</v>
      </c>
      <c r="BI50" s="336">
        <v>7.8</v>
      </c>
      <c r="BJ50" s="213">
        <v>39624</v>
      </c>
      <c r="BK50" s="182">
        <f t="shared" si="4"/>
        <v>177</v>
      </c>
      <c r="BL50" s="336">
        <v>7</v>
      </c>
      <c r="BM50" s="213"/>
      <c r="BN50" s="182"/>
      <c r="BO50" s="336"/>
      <c r="BP50" s="213"/>
      <c r="BQ50" s="182"/>
      <c r="BR50" s="336"/>
      <c r="BS50" s="213"/>
      <c r="BT50" s="182"/>
      <c r="BU50" s="336"/>
      <c r="BV50" s="182"/>
      <c r="BW50" s="182"/>
      <c r="BX50" s="182"/>
    </row>
    <row r="51" spans="1:76">
      <c r="A51" s="16" t="s">
        <v>31</v>
      </c>
      <c r="B51" s="131"/>
      <c r="C51" s="68"/>
      <c r="D51" s="69"/>
      <c r="E51" s="68"/>
      <c r="F51" s="68"/>
      <c r="G51" s="68"/>
      <c r="H51" s="68"/>
      <c r="I51" s="70"/>
      <c r="J51" s="71"/>
      <c r="K51" s="69"/>
      <c r="L51" s="68"/>
      <c r="M51" s="68"/>
      <c r="N51" s="68"/>
      <c r="O51" s="68"/>
      <c r="P51" s="70"/>
      <c r="Q51" s="71"/>
      <c r="R51" s="69"/>
      <c r="S51" s="68"/>
      <c r="T51" s="68"/>
      <c r="U51" s="68"/>
      <c r="V51" s="68"/>
      <c r="W51" s="70"/>
      <c r="X51" s="71"/>
      <c r="Y51" s="69"/>
      <c r="Z51" s="68"/>
      <c r="AA51" s="68"/>
      <c r="AB51" s="68"/>
      <c r="AC51" s="68"/>
      <c r="AD51" s="70"/>
      <c r="AE51" s="71"/>
      <c r="AF51" s="69"/>
      <c r="AG51" s="68"/>
      <c r="AH51" s="68"/>
      <c r="AI51" s="68"/>
      <c r="AJ51" s="68"/>
      <c r="AK51" s="70"/>
      <c r="AL51" s="71"/>
      <c r="AM51" s="72"/>
      <c r="AN51" s="70"/>
      <c r="AO51" s="70"/>
      <c r="AP51" s="70"/>
      <c r="AQ51" s="70"/>
      <c r="AR51" s="73"/>
      <c r="AS51" s="80"/>
      <c r="AT51" s="188">
        <f t="shared" si="8"/>
        <v>8</v>
      </c>
      <c r="AU51" s="229">
        <f t="shared" si="7"/>
        <v>190</v>
      </c>
      <c r="AV51" s="168"/>
      <c r="AW51" s="168"/>
      <c r="AX51" s="168"/>
      <c r="AY51" s="168"/>
      <c r="AZ51" s="168"/>
      <c r="BA51" s="168"/>
      <c r="BB51" s="168"/>
      <c r="BC51" s="168"/>
      <c r="BD51" s="340">
        <v>38901</v>
      </c>
      <c r="BE51" s="182">
        <f t="shared" si="9"/>
        <v>184</v>
      </c>
      <c r="BF51" s="336">
        <v>8</v>
      </c>
      <c r="BG51" s="213">
        <v>39251</v>
      </c>
      <c r="BH51" s="182">
        <f t="shared" si="10"/>
        <v>169</v>
      </c>
      <c r="BI51" s="336">
        <v>8</v>
      </c>
      <c r="BJ51" s="213">
        <v>39630</v>
      </c>
      <c r="BK51" s="182">
        <f t="shared" si="4"/>
        <v>183</v>
      </c>
      <c r="BL51" s="336">
        <v>7.2777777777777777</v>
      </c>
      <c r="BM51" s="213"/>
      <c r="BN51" s="182"/>
      <c r="BO51" s="336"/>
      <c r="BP51" s="213"/>
      <c r="BQ51" s="182"/>
      <c r="BR51" s="336"/>
      <c r="BS51" s="213"/>
      <c r="BT51" s="182"/>
      <c r="BU51" s="336"/>
      <c r="BV51" s="182"/>
      <c r="BW51" s="182"/>
      <c r="BX51" s="182"/>
    </row>
    <row r="52" spans="1:76">
      <c r="A52" s="16" t="s">
        <v>31</v>
      </c>
      <c r="B52" s="131"/>
      <c r="C52" s="68"/>
      <c r="D52" s="69"/>
      <c r="E52" s="68"/>
      <c r="F52" s="68"/>
      <c r="G52" s="68"/>
      <c r="H52" s="68"/>
      <c r="I52" s="70"/>
      <c r="J52" s="71"/>
      <c r="K52" s="69"/>
      <c r="L52" s="68"/>
      <c r="M52" s="68"/>
      <c r="N52" s="68"/>
      <c r="O52" s="68"/>
      <c r="P52" s="70"/>
      <c r="Q52" s="71"/>
      <c r="R52" s="69"/>
      <c r="S52" s="68"/>
      <c r="T52" s="68"/>
      <c r="U52" s="68"/>
      <c r="V52" s="68"/>
      <c r="W52" s="70"/>
      <c r="X52" s="71"/>
      <c r="Y52" s="69"/>
      <c r="Z52" s="68"/>
      <c r="AA52" s="68"/>
      <c r="AB52" s="68"/>
      <c r="AC52" s="68"/>
      <c r="AD52" s="70"/>
      <c r="AE52" s="71"/>
      <c r="AF52" s="69"/>
      <c r="AG52" s="68"/>
      <c r="AH52" s="68"/>
      <c r="AI52" s="68"/>
      <c r="AJ52" s="68"/>
      <c r="AK52" s="70"/>
      <c r="AL52" s="71"/>
      <c r="AM52" s="72"/>
      <c r="AN52" s="70"/>
      <c r="AO52" s="70"/>
      <c r="AP52" s="70"/>
      <c r="AQ52" s="70"/>
      <c r="AR52" s="73"/>
      <c r="AS52" s="80"/>
      <c r="AT52" s="188">
        <f t="shared" si="8"/>
        <v>8</v>
      </c>
      <c r="AU52" s="229">
        <f t="shared" si="7"/>
        <v>190</v>
      </c>
      <c r="AV52" s="168"/>
      <c r="AW52" s="168"/>
      <c r="AX52" s="168"/>
      <c r="AY52" s="168"/>
      <c r="AZ52" s="168"/>
      <c r="BA52" s="168"/>
      <c r="BB52" s="168"/>
      <c r="BC52" s="168"/>
      <c r="BD52" s="340"/>
      <c r="BE52" s="182"/>
      <c r="BF52" s="336"/>
      <c r="BG52" s="213"/>
      <c r="BH52" s="182"/>
      <c r="BI52" s="336"/>
      <c r="BJ52" s="213">
        <v>39637</v>
      </c>
      <c r="BK52" s="182">
        <f t="shared" si="4"/>
        <v>190</v>
      </c>
      <c r="BL52" s="336">
        <v>7.6111111111111107</v>
      </c>
      <c r="BM52" s="213"/>
      <c r="BN52" s="182"/>
      <c r="BO52" s="336"/>
      <c r="BP52" s="213"/>
      <c r="BQ52" s="182"/>
      <c r="BR52" s="336"/>
      <c r="BS52" s="213"/>
      <c r="BT52" s="182"/>
      <c r="BU52" s="336"/>
      <c r="BV52" s="182"/>
      <c r="BW52" s="182"/>
      <c r="BX52" s="182"/>
    </row>
    <row r="53" spans="1:76">
      <c r="A53" s="16" t="s">
        <v>31</v>
      </c>
      <c r="B53" s="131"/>
      <c r="C53" s="68"/>
      <c r="D53" s="69"/>
      <c r="E53" s="68"/>
      <c r="F53" s="68"/>
      <c r="G53" s="68"/>
      <c r="H53" s="68"/>
      <c r="I53" s="70"/>
      <c r="J53" s="71"/>
      <c r="K53" s="69"/>
      <c r="L53" s="68"/>
      <c r="M53" s="68"/>
      <c r="N53" s="68"/>
      <c r="O53" s="68"/>
      <c r="P53" s="70"/>
      <c r="Q53" s="71"/>
      <c r="R53" s="69"/>
      <c r="S53" s="68"/>
      <c r="T53" s="68"/>
      <c r="U53" s="68"/>
      <c r="V53" s="68"/>
      <c r="W53" s="70"/>
      <c r="X53" s="71"/>
      <c r="Y53" s="69"/>
      <c r="Z53" s="68"/>
      <c r="AA53" s="68"/>
      <c r="AB53" s="68"/>
      <c r="AC53" s="68"/>
      <c r="AD53" s="70"/>
      <c r="AE53" s="71"/>
      <c r="AF53" s="69"/>
      <c r="AG53" s="68"/>
      <c r="AH53" s="68"/>
      <c r="AI53" s="68"/>
      <c r="AJ53" s="68"/>
      <c r="AK53" s="70"/>
      <c r="AL53" s="71"/>
      <c r="AM53" s="72"/>
      <c r="AN53" s="70"/>
      <c r="AO53" s="70"/>
      <c r="AP53" s="70"/>
      <c r="AQ53" s="70"/>
      <c r="AR53" s="73"/>
      <c r="AS53" s="80"/>
      <c r="AT53" s="188">
        <f t="shared" si="8"/>
        <v>8</v>
      </c>
      <c r="AU53" s="229">
        <f t="shared" si="7"/>
        <v>190</v>
      </c>
      <c r="AV53" s="168"/>
      <c r="AW53" s="168"/>
      <c r="AX53" s="168"/>
      <c r="AY53" s="168"/>
      <c r="AZ53" s="168"/>
      <c r="BA53" s="168"/>
      <c r="BB53" s="168"/>
      <c r="BC53" s="168"/>
      <c r="BD53" s="340"/>
      <c r="BE53" s="182"/>
      <c r="BF53" s="336"/>
      <c r="BG53" s="213"/>
      <c r="BH53" s="182"/>
      <c r="BI53" s="336"/>
      <c r="BJ53" s="213">
        <v>39643</v>
      </c>
      <c r="BK53" s="182">
        <f t="shared" si="4"/>
        <v>196</v>
      </c>
      <c r="BL53" s="336">
        <v>8</v>
      </c>
      <c r="BM53" s="213"/>
      <c r="BN53" s="182"/>
      <c r="BO53" s="336"/>
      <c r="BP53" s="213"/>
      <c r="BQ53" s="182"/>
      <c r="BR53" s="336"/>
      <c r="BS53" s="213"/>
      <c r="BT53" s="182"/>
      <c r="BU53" s="336"/>
      <c r="BV53" s="182"/>
      <c r="BW53" s="182"/>
      <c r="BX53" s="182"/>
    </row>
    <row r="54" spans="1:76">
      <c r="A54" s="16" t="s">
        <v>31</v>
      </c>
      <c r="B54" s="131"/>
      <c r="C54" s="68"/>
      <c r="D54" s="69"/>
      <c r="E54" s="68"/>
      <c r="F54" s="68"/>
      <c r="G54" s="68"/>
      <c r="H54" s="68"/>
      <c r="I54" s="70"/>
      <c r="J54" s="71"/>
      <c r="K54" s="69"/>
      <c r="L54" s="68"/>
      <c r="M54" s="68"/>
      <c r="N54" s="68"/>
      <c r="O54" s="68"/>
      <c r="P54" s="70"/>
      <c r="Q54" s="71"/>
      <c r="R54" s="69"/>
      <c r="S54" s="68"/>
      <c r="T54" s="68"/>
      <c r="U54" s="68"/>
      <c r="V54" s="68"/>
      <c r="W54" s="70"/>
      <c r="X54" s="71"/>
      <c r="Y54" s="69"/>
      <c r="Z54" s="68"/>
      <c r="AA54" s="68"/>
      <c r="AB54" s="68"/>
      <c r="AC54" s="68"/>
      <c r="AD54" s="70"/>
      <c r="AE54" s="71"/>
      <c r="AF54" s="69"/>
      <c r="AG54" s="68"/>
      <c r="AH54" s="68"/>
      <c r="AI54" s="68"/>
      <c r="AJ54" s="68"/>
      <c r="AK54" s="70"/>
      <c r="AL54" s="71"/>
      <c r="AM54" s="72"/>
      <c r="AN54" s="70"/>
      <c r="AO54" s="70"/>
      <c r="AP54" s="70"/>
      <c r="AQ54" s="70"/>
      <c r="AR54" s="73"/>
      <c r="AS54" s="80"/>
      <c r="AT54" s="188">
        <f t="shared" ref="AT54:AT64" si="11">IF(COUNT(D54:AL54)=0,AT53,AVERAGE(D54:AL54))</f>
        <v>8</v>
      </c>
      <c r="AU54" s="229">
        <f t="shared" ref="AU54:AU64" si="12">IF(B54=0,AU53,B54-DATE(YEAR(B54)-1,12,31))</f>
        <v>190</v>
      </c>
      <c r="AV54" s="168"/>
      <c r="AW54" s="168"/>
      <c r="AX54" s="168"/>
      <c r="AY54" s="168"/>
      <c r="AZ54" s="168"/>
      <c r="BA54" s="168"/>
      <c r="BB54" s="168"/>
      <c r="BC54" s="168"/>
      <c r="BD54" s="340"/>
      <c r="BE54" s="182"/>
      <c r="BF54" s="336"/>
      <c r="BG54" s="213"/>
      <c r="BH54" s="182"/>
      <c r="BI54" s="336"/>
      <c r="BJ54" s="213"/>
      <c r="BK54" s="182"/>
      <c r="BL54" s="336"/>
      <c r="BM54" s="213"/>
      <c r="BN54" s="182"/>
      <c r="BO54" s="336"/>
      <c r="BP54" s="213"/>
      <c r="BQ54" s="182"/>
      <c r="BR54" s="336"/>
      <c r="BS54" s="213"/>
      <c r="BT54" s="182"/>
      <c r="BU54" s="336"/>
      <c r="BV54" s="182"/>
      <c r="BW54" s="182"/>
      <c r="BX54" s="182"/>
    </row>
    <row r="55" spans="1:76">
      <c r="A55" s="16" t="s">
        <v>31</v>
      </c>
      <c r="B55" s="131"/>
      <c r="C55" s="68"/>
      <c r="D55" s="69"/>
      <c r="E55" s="68"/>
      <c r="F55" s="68"/>
      <c r="G55" s="68"/>
      <c r="H55" s="68"/>
      <c r="I55" s="70"/>
      <c r="J55" s="71"/>
      <c r="K55" s="69"/>
      <c r="L55" s="68"/>
      <c r="M55" s="68"/>
      <c r="N55" s="68"/>
      <c r="O55" s="68"/>
      <c r="P55" s="70"/>
      <c r="Q55" s="71"/>
      <c r="R55" s="69"/>
      <c r="S55" s="68"/>
      <c r="T55" s="68"/>
      <c r="U55" s="68"/>
      <c r="V55" s="68"/>
      <c r="W55" s="70"/>
      <c r="X55" s="71"/>
      <c r="Y55" s="69"/>
      <c r="Z55" s="68"/>
      <c r="AA55" s="68"/>
      <c r="AB55" s="68"/>
      <c r="AC55" s="68"/>
      <c r="AD55" s="70"/>
      <c r="AE55" s="71"/>
      <c r="AF55" s="69"/>
      <c r="AG55" s="68"/>
      <c r="AH55" s="68"/>
      <c r="AI55" s="68"/>
      <c r="AJ55" s="68"/>
      <c r="AK55" s="70"/>
      <c r="AL55" s="71"/>
      <c r="AM55" s="72"/>
      <c r="AN55" s="70"/>
      <c r="AO55" s="70"/>
      <c r="AP55" s="70"/>
      <c r="AQ55" s="70"/>
      <c r="AR55" s="73"/>
      <c r="AS55" s="80"/>
      <c r="AT55" s="188">
        <f t="shared" si="11"/>
        <v>8</v>
      </c>
      <c r="AU55" s="229">
        <f t="shared" si="12"/>
        <v>190</v>
      </c>
      <c r="AV55" s="168"/>
      <c r="AW55" s="168"/>
      <c r="AX55" s="168"/>
      <c r="AY55" s="168"/>
      <c r="AZ55" s="168"/>
      <c r="BA55" s="168"/>
      <c r="BB55" s="168"/>
      <c r="BC55" s="168"/>
      <c r="BD55" s="340"/>
      <c r="BE55" s="182"/>
      <c r="BF55" s="336"/>
      <c r="BG55" s="213"/>
      <c r="BH55" s="182"/>
      <c r="BI55" s="336"/>
      <c r="BJ55" s="213"/>
      <c r="BK55" s="182"/>
      <c r="BL55" s="336"/>
      <c r="BM55" s="213"/>
      <c r="BN55" s="182"/>
      <c r="BO55" s="336"/>
      <c r="BP55" s="213"/>
      <c r="BQ55" s="182"/>
      <c r="BR55" s="336"/>
      <c r="BS55" s="213"/>
      <c r="BT55" s="182"/>
      <c r="BU55" s="336"/>
      <c r="BV55" s="182"/>
      <c r="BW55" s="182"/>
      <c r="BX55" s="182"/>
    </row>
    <row r="56" spans="1:76">
      <c r="A56" s="16" t="s">
        <v>31</v>
      </c>
      <c r="B56" s="131"/>
      <c r="C56" s="68"/>
      <c r="D56" s="69"/>
      <c r="E56" s="68"/>
      <c r="F56" s="68"/>
      <c r="G56" s="68"/>
      <c r="H56" s="68"/>
      <c r="I56" s="70"/>
      <c r="J56" s="71"/>
      <c r="K56" s="69"/>
      <c r="L56" s="68"/>
      <c r="M56" s="68"/>
      <c r="N56" s="68"/>
      <c r="O56" s="68"/>
      <c r="P56" s="70"/>
      <c r="Q56" s="71"/>
      <c r="R56" s="69"/>
      <c r="S56" s="68"/>
      <c r="T56" s="68"/>
      <c r="U56" s="68"/>
      <c r="V56" s="68"/>
      <c r="W56" s="70"/>
      <c r="X56" s="71"/>
      <c r="Y56" s="69"/>
      <c r="Z56" s="68"/>
      <c r="AA56" s="68"/>
      <c r="AB56" s="68"/>
      <c r="AC56" s="68"/>
      <c r="AD56" s="70"/>
      <c r="AE56" s="71"/>
      <c r="AF56" s="69"/>
      <c r="AG56" s="68"/>
      <c r="AH56" s="68"/>
      <c r="AI56" s="68"/>
      <c r="AJ56" s="68"/>
      <c r="AK56" s="70"/>
      <c r="AL56" s="71"/>
      <c r="AM56" s="72"/>
      <c r="AN56" s="70"/>
      <c r="AO56" s="70"/>
      <c r="AP56" s="70"/>
      <c r="AQ56" s="70"/>
      <c r="AR56" s="73"/>
      <c r="AS56" s="80"/>
      <c r="AT56" s="188">
        <f t="shared" si="11"/>
        <v>8</v>
      </c>
      <c r="AU56" s="229">
        <f t="shared" si="12"/>
        <v>190</v>
      </c>
      <c r="AV56" s="168"/>
      <c r="AW56" s="168"/>
      <c r="AX56" s="168"/>
      <c r="AY56" s="168"/>
      <c r="AZ56" s="168"/>
      <c r="BA56" s="168"/>
      <c r="BB56" s="168"/>
      <c r="BC56" s="168"/>
      <c r="BD56" s="340"/>
      <c r="BE56" s="182"/>
      <c r="BF56" s="336"/>
      <c r="BG56" s="213"/>
      <c r="BH56" s="182"/>
      <c r="BI56" s="336"/>
      <c r="BJ56" s="213"/>
      <c r="BK56" s="182"/>
      <c r="BL56" s="336"/>
      <c r="BM56" s="213"/>
      <c r="BN56" s="182"/>
      <c r="BO56" s="336"/>
      <c r="BP56" s="213"/>
      <c r="BQ56" s="182"/>
      <c r="BR56" s="336"/>
      <c r="BS56" s="213"/>
      <c r="BT56" s="182"/>
      <c r="BU56" s="336"/>
      <c r="BV56" s="182"/>
      <c r="BW56" s="182"/>
      <c r="BX56" s="182"/>
    </row>
    <row r="57" spans="1:76">
      <c r="A57" s="16" t="s">
        <v>31</v>
      </c>
      <c r="B57" s="131"/>
      <c r="C57" s="68"/>
      <c r="D57" s="69"/>
      <c r="E57" s="68"/>
      <c r="F57" s="68"/>
      <c r="G57" s="68"/>
      <c r="H57" s="68"/>
      <c r="I57" s="70"/>
      <c r="J57" s="71"/>
      <c r="K57" s="69"/>
      <c r="L57" s="68"/>
      <c r="M57" s="68"/>
      <c r="N57" s="68"/>
      <c r="O57" s="68"/>
      <c r="P57" s="70"/>
      <c r="Q57" s="71"/>
      <c r="R57" s="69"/>
      <c r="S57" s="68"/>
      <c r="T57" s="68"/>
      <c r="U57" s="68"/>
      <c r="V57" s="68"/>
      <c r="W57" s="70"/>
      <c r="X57" s="71"/>
      <c r="Y57" s="69"/>
      <c r="Z57" s="68"/>
      <c r="AA57" s="68"/>
      <c r="AB57" s="68"/>
      <c r="AC57" s="68"/>
      <c r="AD57" s="70"/>
      <c r="AE57" s="71"/>
      <c r="AF57" s="69"/>
      <c r="AG57" s="68"/>
      <c r="AH57" s="68"/>
      <c r="AI57" s="68"/>
      <c r="AJ57" s="68"/>
      <c r="AK57" s="70"/>
      <c r="AL57" s="71"/>
      <c r="AM57" s="72"/>
      <c r="AN57" s="70"/>
      <c r="AO57" s="70"/>
      <c r="AP57" s="70"/>
      <c r="AQ57" s="70"/>
      <c r="AR57" s="73"/>
      <c r="AS57" s="80"/>
      <c r="AT57" s="188">
        <f t="shared" si="11"/>
        <v>8</v>
      </c>
      <c r="AU57" s="229">
        <f t="shared" si="12"/>
        <v>190</v>
      </c>
      <c r="AV57" s="168"/>
      <c r="AW57" s="168"/>
      <c r="AX57" s="168"/>
      <c r="AY57" s="168"/>
      <c r="AZ57" s="168"/>
      <c r="BA57" s="168"/>
      <c r="BB57" s="168"/>
      <c r="BC57" s="168"/>
      <c r="BD57" s="340"/>
      <c r="BE57" s="182"/>
      <c r="BF57" s="336"/>
      <c r="BG57" s="213"/>
      <c r="BH57" s="182"/>
      <c r="BI57" s="336"/>
      <c r="BJ57" s="213"/>
      <c r="BK57" s="182"/>
      <c r="BL57" s="336"/>
      <c r="BM57" s="213"/>
      <c r="BN57" s="182"/>
      <c r="BO57" s="336"/>
      <c r="BP57" s="213"/>
      <c r="BQ57" s="182"/>
      <c r="BR57" s="336"/>
      <c r="BS57" s="213"/>
      <c r="BT57" s="182"/>
      <c r="BU57" s="336"/>
      <c r="BV57" s="182"/>
      <c r="BW57" s="182"/>
      <c r="BX57" s="182"/>
    </row>
    <row r="58" spans="1:76">
      <c r="A58" s="16" t="s">
        <v>31</v>
      </c>
      <c r="B58" s="131"/>
      <c r="C58" s="68"/>
      <c r="D58" s="69"/>
      <c r="E58" s="68"/>
      <c r="F58" s="68"/>
      <c r="G58" s="68"/>
      <c r="H58" s="68"/>
      <c r="I58" s="70"/>
      <c r="J58" s="71"/>
      <c r="K58" s="69"/>
      <c r="L58" s="68"/>
      <c r="M58" s="68"/>
      <c r="N58" s="68"/>
      <c r="O58" s="68"/>
      <c r="P58" s="70"/>
      <c r="Q58" s="71"/>
      <c r="R58" s="69"/>
      <c r="S58" s="68"/>
      <c r="T58" s="68"/>
      <c r="U58" s="68"/>
      <c r="V58" s="68"/>
      <c r="W58" s="70"/>
      <c r="X58" s="71"/>
      <c r="Y58" s="69"/>
      <c r="Z58" s="68"/>
      <c r="AA58" s="68"/>
      <c r="AB58" s="68"/>
      <c r="AC58" s="68"/>
      <c r="AD58" s="70"/>
      <c r="AE58" s="71"/>
      <c r="AF58" s="69"/>
      <c r="AG58" s="68"/>
      <c r="AH58" s="68"/>
      <c r="AI58" s="68"/>
      <c r="AJ58" s="68"/>
      <c r="AK58" s="70"/>
      <c r="AL58" s="71"/>
      <c r="AM58" s="72"/>
      <c r="AN58" s="70"/>
      <c r="AO58" s="70"/>
      <c r="AP58" s="70"/>
      <c r="AQ58" s="70"/>
      <c r="AR58" s="73"/>
      <c r="AS58" s="80"/>
      <c r="AT58" s="188">
        <f t="shared" si="11"/>
        <v>8</v>
      </c>
      <c r="AU58" s="229">
        <f t="shared" si="12"/>
        <v>190</v>
      </c>
      <c r="AV58" s="168"/>
      <c r="AW58" s="168"/>
      <c r="AX58" s="168"/>
      <c r="AY58" s="168"/>
      <c r="AZ58" s="168"/>
      <c r="BA58" s="168"/>
      <c r="BB58" s="168"/>
      <c r="BC58" s="168"/>
      <c r="BD58" s="340"/>
      <c r="BE58" s="182"/>
      <c r="BF58" s="336"/>
      <c r="BG58" s="213"/>
      <c r="BH58" s="182"/>
      <c r="BI58" s="336"/>
      <c r="BJ58" s="213"/>
      <c r="BK58" s="182"/>
      <c r="BL58" s="336"/>
      <c r="BM58" s="213"/>
      <c r="BN58" s="182"/>
      <c r="BO58" s="336"/>
      <c r="BP58" s="213"/>
      <c r="BQ58" s="182"/>
      <c r="BR58" s="336"/>
      <c r="BS58" s="213"/>
      <c r="BT58" s="182"/>
      <c r="BU58" s="336"/>
      <c r="BV58" s="182"/>
      <c r="BW58" s="182"/>
      <c r="BX58" s="182"/>
    </row>
    <row r="59" spans="1:76">
      <c r="A59" s="16" t="s">
        <v>31</v>
      </c>
      <c r="B59" s="131"/>
      <c r="C59" s="68"/>
      <c r="D59" s="69"/>
      <c r="E59" s="68"/>
      <c r="F59" s="68"/>
      <c r="G59" s="68"/>
      <c r="H59" s="68"/>
      <c r="I59" s="70"/>
      <c r="J59" s="71"/>
      <c r="K59" s="69"/>
      <c r="L59" s="68"/>
      <c r="M59" s="68"/>
      <c r="N59" s="68"/>
      <c r="O59" s="68"/>
      <c r="P59" s="70"/>
      <c r="Q59" s="71"/>
      <c r="R59" s="69"/>
      <c r="S59" s="68"/>
      <c r="T59" s="68"/>
      <c r="U59" s="68"/>
      <c r="V59" s="68"/>
      <c r="W59" s="70"/>
      <c r="X59" s="71"/>
      <c r="Y59" s="69"/>
      <c r="Z59" s="68"/>
      <c r="AA59" s="68"/>
      <c r="AB59" s="68"/>
      <c r="AC59" s="68"/>
      <c r="AD59" s="70"/>
      <c r="AE59" s="71"/>
      <c r="AF59" s="69"/>
      <c r="AG59" s="68"/>
      <c r="AH59" s="68"/>
      <c r="AI59" s="68"/>
      <c r="AJ59" s="68"/>
      <c r="AK59" s="70"/>
      <c r="AL59" s="71"/>
      <c r="AM59" s="72"/>
      <c r="AN59" s="70"/>
      <c r="AO59" s="70"/>
      <c r="AP59" s="70"/>
      <c r="AQ59" s="70"/>
      <c r="AR59" s="73"/>
      <c r="AS59" s="80"/>
      <c r="AT59" s="188">
        <f t="shared" si="11"/>
        <v>8</v>
      </c>
      <c r="AU59" s="229">
        <f t="shared" si="12"/>
        <v>190</v>
      </c>
      <c r="AV59" s="168"/>
      <c r="AW59" s="168"/>
      <c r="AX59" s="168"/>
      <c r="AY59" s="168"/>
      <c r="AZ59" s="168"/>
      <c r="BA59" s="168"/>
      <c r="BB59" s="168"/>
      <c r="BC59" s="168"/>
      <c r="BD59" s="340"/>
      <c r="BE59" s="182"/>
      <c r="BF59" s="336"/>
      <c r="BG59" s="213"/>
      <c r="BH59" s="182"/>
      <c r="BI59" s="336"/>
      <c r="BJ59" s="213"/>
      <c r="BK59" s="182"/>
      <c r="BL59" s="336"/>
      <c r="BM59" s="213"/>
      <c r="BN59" s="182"/>
      <c r="BO59" s="336"/>
      <c r="BP59" s="213"/>
      <c r="BQ59" s="182"/>
      <c r="BR59" s="336"/>
      <c r="BS59" s="213"/>
      <c r="BT59" s="182"/>
      <c r="BU59" s="336"/>
      <c r="BV59" s="182"/>
      <c r="BW59" s="182"/>
      <c r="BX59" s="182"/>
    </row>
    <row r="60" spans="1:76">
      <c r="A60" s="16" t="s">
        <v>31</v>
      </c>
      <c r="B60" s="131"/>
      <c r="C60" s="68"/>
      <c r="D60" s="69"/>
      <c r="E60" s="68"/>
      <c r="F60" s="68"/>
      <c r="G60" s="68"/>
      <c r="H60" s="68"/>
      <c r="I60" s="70"/>
      <c r="J60" s="71"/>
      <c r="K60" s="69"/>
      <c r="L60" s="68"/>
      <c r="M60" s="68"/>
      <c r="N60" s="68"/>
      <c r="O60" s="68"/>
      <c r="P60" s="70"/>
      <c r="Q60" s="71"/>
      <c r="R60" s="69"/>
      <c r="S60" s="68"/>
      <c r="T60" s="68"/>
      <c r="U60" s="68"/>
      <c r="V60" s="68"/>
      <c r="W60" s="70"/>
      <c r="X60" s="71"/>
      <c r="Y60" s="69"/>
      <c r="Z60" s="68"/>
      <c r="AA60" s="68"/>
      <c r="AB60" s="68"/>
      <c r="AC60" s="68"/>
      <c r="AD60" s="70"/>
      <c r="AE60" s="71"/>
      <c r="AF60" s="69"/>
      <c r="AG60" s="68"/>
      <c r="AH60" s="68"/>
      <c r="AI60" s="68"/>
      <c r="AJ60" s="68"/>
      <c r="AK60" s="70"/>
      <c r="AL60" s="71"/>
      <c r="AM60" s="72"/>
      <c r="AN60" s="70"/>
      <c r="AO60" s="70"/>
      <c r="AP60" s="70"/>
      <c r="AQ60" s="70"/>
      <c r="AR60" s="73"/>
      <c r="AS60" s="80"/>
      <c r="AT60" s="188">
        <f t="shared" si="11"/>
        <v>8</v>
      </c>
      <c r="AU60" s="229">
        <f t="shared" si="12"/>
        <v>190</v>
      </c>
      <c r="AV60" s="168"/>
      <c r="AW60" s="168"/>
      <c r="AX60" s="168"/>
      <c r="AY60" s="168"/>
      <c r="AZ60" s="168"/>
      <c r="BA60" s="168"/>
      <c r="BB60" s="168"/>
      <c r="BC60" s="168"/>
      <c r="BD60" s="340"/>
      <c r="BE60" s="182"/>
      <c r="BF60" s="336"/>
      <c r="BG60" s="213"/>
      <c r="BH60" s="182"/>
      <c r="BI60" s="336"/>
      <c r="BJ60" s="213"/>
      <c r="BK60" s="182"/>
      <c r="BL60" s="336"/>
      <c r="BM60" s="213"/>
      <c r="BN60" s="182"/>
      <c r="BO60" s="336"/>
      <c r="BP60" s="213"/>
      <c r="BQ60" s="182"/>
      <c r="BR60" s="336"/>
      <c r="BS60" s="213"/>
      <c r="BT60" s="182"/>
      <c r="BU60" s="336"/>
      <c r="BV60" s="182"/>
      <c r="BW60" s="182"/>
      <c r="BX60" s="182"/>
    </row>
    <row r="61" spans="1:76">
      <c r="A61" s="16" t="s">
        <v>31</v>
      </c>
      <c r="B61" s="131"/>
      <c r="C61" s="68"/>
      <c r="D61" s="69"/>
      <c r="E61" s="68"/>
      <c r="F61" s="68"/>
      <c r="G61" s="68"/>
      <c r="H61" s="68"/>
      <c r="I61" s="70"/>
      <c r="J61" s="71"/>
      <c r="K61" s="69"/>
      <c r="L61" s="68"/>
      <c r="M61" s="68"/>
      <c r="N61" s="68"/>
      <c r="O61" s="68"/>
      <c r="P61" s="70"/>
      <c r="Q61" s="71"/>
      <c r="R61" s="69"/>
      <c r="S61" s="68"/>
      <c r="T61" s="68"/>
      <c r="U61" s="68"/>
      <c r="V61" s="68"/>
      <c r="W61" s="70"/>
      <c r="X61" s="71"/>
      <c r="Y61" s="69"/>
      <c r="Z61" s="68"/>
      <c r="AA61" s="68"/>
      <c r="AB61" s="68"/>
      <c r="AC61" s="68"/>
      <c r="AD61" s="70"/>
      <c r="AE61" s="71"/>
      <c r="AF61" s="69"/>
      <c r="AG61" s="68"/>
      <c r="AH61" s="68"/>
      <c r="AI61" s="68"/>
      <c r="AJ61" s="68"/>
      <c r="AK61" s="70"/>
      <c r="AL61" s="71"/>
      <c r="AM61" s="72"/>
      <c r="AN61" s="70"/>
      <c r="AO61" s="70"/>
      <c r="AP61" s="70"/>
      <c r="AQ61" s="70"/>
      <c r="AR61" s="73"/>
      <c r="AS61" s="80"/>
      <c r="AT61" s="188">
        <f t="shared" si="11"/>
        <v>8</v>
      </c>
      <c r="AU61" s="229">
        <f t="shared" si="12"/>
        <v>190</v>
      </c>
      <c r="AV61" s="168"/>
      <c r="AW61" s="168"/>
      <c r="AX61" s="168"/>
      <c r="AY61" s="168"/>
      <c r="AZ61" s="168"/>
      <c r="BA61" s="168"/>
      <c r="BB61" s="168"/>
      <c r="BC61" s="168"/>
      <c r="BD61" s="340"/>
      <c r="BE61" s="182"/>
      <c r="BF61" s="336"/>
      <c r="BG61" s="213"/>
      <c r="BH61" s="182"/>
      <c r="BI61" s="336"/>
      <c r="BJ61" s="213"/>
      <c r="BK61" s="182"/>
      <c r="BL61" s="336"/>
      <c r="BM61" s="213"/>
      <c r="BN61" s="182"/>
      <c r="BO61" s="336"/>
      <c r="BP61" s="213"/>
      <c r="BQ61" s="182"/>
      <c r="BR61" s="336"/>
      <c r="BS61" s="213"/>
      <c r="BT61" s="182"/>
      <c r="BU61" s="336"/>
      <c r="BV61" s="182"/>
      <c r="BW61" s="182"/>
      <c r="BX61" s="182"/>
    </row>
    <row r="62" spans="1:76">
      <c r="A62" s="16" t="s">
        <v>31</v>
      </c>
      <c r="B62" s="131"/>
      <c r="C62" s="68"/>
      <c r="D62" s="69"/>
      <c r="E62" s="68"/>
      <c r="F62" s="68"/>
      <c r="G62" s="68"/>
      <c r="H62" s="68"/>
      <c r="I62" s="70"/>
      <c r="J62" s="71"/>
      <c r="K62" s="69"/>
      <c r="L62" s="68"/>
      <c r="M62" s="68"/>
      <c r="N62" s="68"/>
      <c r="O62" s="68"/>
      <c r="P62" s="70"/>
      <c r="Q62" s="71"/>
      <c r="R62" s="69"/>
      <c r="S62" s="68"/>
      <c r="T62" s="68"/>
      <c r="U62" s="68"/>
      <c r="V62" s="68"/>
      <c r="W62" s="70"/>
      <c r="X62" s="71"/>
      <c r="Y62" s="69"/>
      <c r="Z62" s="68"/>
      <c r="AA62" s="68"/>
      <c r="AB62" s="68"/>
      <c r="AC62" s="68"/>
      <c r="AD62" s="70"/>
      <c r="AE62" s="71"/>
      <c r="AF62" s="69"/>
      <c r="AG62" s="68"/>
      <c r="AH62" s="68"/>
      <c r="AI62" s="68"/>
      <c r="AJ62" s="68"/>
      <c r="AK62" s="70"/>
      <c r="AL62" s="71"/>
      <c r="AM62" s="72"/>
      <c r="AN62" s="70"/>
      <c r="AO62" s="70"/>
      <c r="AP62" s="70"/>
      <c r="AQ62" s="70"/>
      <c r="AR62" s="73"/>
      <c r="AS62" s="80"/>
      <c r="AT62" s="188">
        <f t="shared" si="11"/>
        <v>8</v>
      </c>
      <c r="AU62" s="229">
        <f t="shared" si="12"/>
        <v>190</v>
      </c>
      <c r="AV62" s="168"/>
      <c r="AW62" s="168"/>
      <c r="AX62" s="168"/>
      <c r="AY62" s="168"/>
      <c r="AZ62" s="168"/>
      <c r="BA62" s="168"/>
      <c r="BB62" s="168"/>
      <c r="BC62" s="168"/>
      <c r="BD62" s="340"/>
      <c r="BE62" s="182"/>
      <c r="BF62" s="336"/>
      <c r="BG62" s="213"/>
      <c r="BH62" s="182"/>
      <c r="BI62" s="336"/>
      <c r="BJ62" s="213"/>
      <c r="BK62" s="182"/>
      <c r="BL62" s="336"/>
      <c r="BM62" s="213"/>
      <c r="BN62" s="182"/>
      <c r="BO62" s="336"/>
      <c r="BP62" s="213"/>
      <c r="BQ62" s="182"/>
      <c r="BR62" s="336"/>
      <c r="BS62" s="213"/>
      <c r="BT62" s="182"/>
      <c r="BU62" s="336"/>
      <c r="BV62" s="182"/>
      <c r="BW62" s="182"/>
      <c r="BX62" s="182"/>
    </row>
    <row r="63" spans="1:76">
      <c r="A63" s="16" t="s">
        <v>31</v>
      </c>
      <c r="B63" s="131"/>
      <c r="C63" s="68"/>
      <c r="D63" s="69"/>
      <c r="E63" s="68"/>
      <c r="F63" s="68"/>
      <c r="G63" s="68"/>
      <c r="H63" s="68"/>
      <c r="I63" s="70"/>
      <c r="J63" s="71"/>
      <c r="K63" s="69"/>
      <c r="L63" s="68"/>
      <c r="M63" s="68"/>
      <c r="N63" s="68"/>
      <c r="O63" s="68"/>
      <c r="P63" s="70"/>
      <c r="Q63" s="71"/>
      <c r="R63" s="69"/>
      <c r="S63" s="68"/>
      <c r="T63" s="68"/>
      <c r="U63" s="68"/>
      <c r="V63" s="68"/>
      <c r="W63" s="70"/>
      <c r="X63" s="71"/>
      <c r="Y63" s="69"/>
      <c r="Z63" s="68"/>
      <c r="AA63" s="68"/>
      <c r="AB63" s="68"/>
      <c r="AC63" s="68"/>
      <c r="AD63" s="70"/>
      <c r="AE63" s="71"/>
      <c r="AF63" s="69"/>
      <c r="AG63" s="68"/>
      <c r="AH63" s="68"/>
      <c r="AI63" s="68"/>
      <c r="AJ63" s="68"/>
      <c r="AK63" s="70"/>
      <c r="AL63" s="71"/>
      <c r="AM63" s="72"/>
      <c r="AN63" s="70"/>
      <c r="AO63" s="70"/>
      <c r="AP63" s="70"/>
      <c r="AQ63" s="70"/>
      <c r="AR63" s="73"/>
      <c r="AS63" s="80"/>
      <c r="AT63" s="188">
        <f t="shared" si="11"/>
        <v>8</v>
      </c>
      <c r="AU63" s="229">
        <f t="shared" si="12"/>
        <v>190</v>
      </c>
      <c r="AV63" s="168"/>
      <c r="AW63" s="168"/>
      <c r="AX63" s="168"/>
      <c r="AY63" s="168"/>
      <c r="AZ63" s="168"/>
      <c r="BA63" s="168"/>
      <c r="BB63" s="168"/>
      <c r="BC63" s="168"/>
      <c r="BD63" s="340"/>
      <c r="BE63" s="182"/>
      <c r="BF63" s="336"/>
      <c r="BG63" s="213"/>
      <c r="BH63" s="182"/>
      <c r="BI63" s="336"/>
      <c r="BJ63" s="213"/>
      <c r="BK63" s="182"/>
      <c r="BL63" s="336"/>
      <c r="BM63" s="213"/>
      <c r="BN63" s="182"/>
      <c r="BO63" s="336"/>
      <c r="BP63" s="213"/>
      <c r="BQ63" s="182"/>
      <c r="BR63" s="336"/>
      <c r="BS63" s="213"/>
      <c r="BT63" s="182"/>
      <c r="BU63" s="336"/>
      <c r="BV63" s="182"/>
      <c r="BW63" s="182"/>
      <c r="BX63" s="182"/>
    </row>
    <row r="64" spans="1:76">
      <c r="A64" s="16" t="s">
        <v>31</v>
      </c>
      <c r="B64" s="131"/>
      <c r="C64" s="68"/>
      <c r="D64" s="69"/>
      <c r="E64" s="68"/>
      <c r="F64" s="68"/>
      <c r="G64" s="68"/>
      <c r="H64" s="68"/>
      <c r="I64" s="70"/>
      <c r="J64" s="71"/>
      <c r="K64" s="69"/>
      <c r="L64" s="68"/>
      <c r="M64" s="68"/>
      <c r="N64" s="68"/>
      <c r="O64" s="68"/>
      <c r="P64" s="70"/>
      <c r="Q64" s="71"/>
      <c r="R64" s="69"/>
      <c r="S64" s="68"/>
      <c r="T64" s="68"/>
      <c r="U64" s="68"/>
      <c r="V64" s="68"/>
      <c r="W64" s="70"/>
      <c r="X64" s="71"/>
      <c r="Y64" s="69"/>
      <c r="Z64" s="68"/>
      <c r="AA64" s="68"/>
      <c r="AB64" s="68"/>
      <c r="AC64" s="68"/>
      <c r="AD64" s="70"/>
      <c r="AE64" s="71"/>
      <c r="AF64" s="69"/>
      <c r="AG64" s="68"/>
      <c r="AH64" s="68"/>
      <c r="AI64" s="68"/>
      <c r="AJ64" s="68"/>
      <c r="AK64" s="70"/>
      <c r="AL64" s="71"/>
      <c r="AM64" s="72"/>
      <c r="AN64" s="70"/>
      <c r="AO64" s="70"/>
      <c r="AP64" s="70"/>
      <c r="AQ64" s="70"/>
      <c r="AR64" s="73"/>
      <c r="AS64" s="80"/>
      <c r="AT64" s="188">
        <f t="shared" si="11"/>
        <v>8</v>
      </c>
      <c r="AU64" s="229">
        <f t="shared" si="12"/>
        <v>190</v>
      </c>
      <c r="AV64" s="168"/>
      <c r="AW64" s="168"/>
      <c r="AX64" s="168"/>
      <c r="AY64" s="168"/>
      <c r="AZ64" s="168"/>
      <c r="BA64" s="168"/>
      <c r="BB64" s="168"/>
      <c r="BC64" s="168"/>
      <c r="BD64" s="340"/>
      <c r="BE64" s="182"/>
      <c r="BF64" s="336"/>
      <c r="BG64" s="213"/>
      <c r="BH64" s="182"/>
      <c r="BI64" s="336"/>
      <c r="BJ64" s="213"/>
      <c r="BK64" s="182"/>
      <c r="BL64" s="336"/>
      <c r="BM64" s="213"/>
      <c r="BN64" s="182"/>
      <c r="BO64" s="336"/>
      <c r="BP64" s="213"/>
      <c r="BQ64" s="182"/>
      <c r="BR64" s="336"/>
      <c r="BS64" s="213"/>
      <c r="BT64" s="182"/>
      <c r="BU64" s="336"/>
      <c r="BV64" s="182"/>
      <c r="BW64" s="182"/>
      <c r="BX64" s="182"/>
    </row>
    <row r="65" spans="1:76" ht="13" thickBot="1">
      <c r="A65" s="17" t="s">
        <v>31</v>
      </c>
      <c r="B65" s="132"/>
      <c r="C65" s="75"/>
      <c r="D65" s="74"/>
      <c r="E65" s="75"/>
      <c r="F65" s="75"/>
      <c r="G65" s="75"/>
      <c r="H65" s="75"/>
      <c r="I65" s="76"/>
      <c r="J65" s="77"/>
      <c r="K65" s="74"/>
      <c r="L65" s="75"/>
      <c r="M65" s="75"/>
      <c r="N65" s="75"/>
      <c r="O65" s="75"/>
      <c r="P65" s="76"/>
      <c r="Q65" s="77"/>
      <c r="R65" s="74"/>
      <c r="S65" s="75"/>
      <c r="T65" s="75"/>
      <c r="U65" s="75"/>
      <c r="V65" s="75"/>
      <c r="W65" s="76"/>
      <c r="X65" s="77"/>
      <c r="Y65" s="74"/>
      <c r="Z65" s="75"/>
      <c r="AA65" s="75"/>
      <c r="AB65" s="75"/>
      <c r="AC65" s="75"/>
      <c r="AD65" s="76"/>
      <c r="AE65" s="77"/>
      <c r="AF65" s="74"/>
      <c r="AG65" s="75"/>
      <c r="AH65" s="75"/>
      <c r="AI65" s="75"/>
      <c r="AJ65" s="75"/>
      <c r="AK65" s="76"/>
      <c r="AL65" s="77"/>
      <c r="AM65" s="78"/>
      <c r="AN65" s="76"/>
      <c r="AO65" s="76"/>
      <c r="AP65" s="76"/>
      <c r="AQ65" s="76"/>
      <c r="AR65" s="79"/>
      <c r="AS65" s="81"/>
      <c r="AT65" s="189"/>
      <c r="AU65" s="230"/>
      <c r="AV65" s="186"/>
      <c r="AW65" s="186"/>
      <c r="AX65" s="186"/>
      <c r="AY65" s="186"/>
      <c r="AZ65" s="186"/>
      <c r="BA65" s="186"/>
      <c r="BB65" s="186"/>
      <c r="BC65" s="186"/>
      <c r="BD65" s="341"/>
      <c r="BE65" s="330"/>
      <c r="BF65" s="342"/>
      <c r="BG65" s="329"/>
      <c r="BH65" s="330"/>
      <c r="BI65" s="342"/>
      <c r="BJ65" s="329"/>
      <c r="BK65" s="330"/>
      <c r="BL65" s="342"/>
      <c r="BM65" s="329"/>
      <c r="BN65" s="330"/>
      <c r="BO65" s="342"/>
      <c r="BP65" s="329"/>
      <c r="BQ65" s="330"/>
      <c r="BR65" s="342"/>
      <c r="BS65" s="329"/>
      <c r="BT65" s="330"/>
      <c r="BU65" s="342"/>
      <c r="BV65" s="182"/>
      <c r="BW65" s="182"/>
      <c r="BX65" s="182"/>
    </row>
    <row r="66" spans="1:76">
      <c r="A66" s="15" t="s">
        <v>32</v>
      </c>
      <c r="B66" s="130">
        <v>41022</v>
      </c>
      <c r="C66" s="83" t="s">
        <v>83</v>
      </c>
      <c r="D66" s="84">
        <v>0</v>
      </c>
      <c r="E66" s="68">
        <v>0</v>
      </c>
      <c r="F66" s="68">
        <v>0</v>
      </c>
      <c r="G66" s="68">
        <v>0</v>
      </c>
      <c r="H66" s="68">
        <v>0</v>
      </c>
      <c r="I66" s="70"/>
      <c r="J66" s="71"/>
      <c r="K66" s="69">
        <v>0</v>
      </c>
      <c r="L66" s="68">
        <v>0</v>
      </c>
      <c r="M66" s="68">
        <v>0</v>
      </c>
      <c r="N66" s="68">
        <v>0</v>
      </c>
      <c r="O66" s="68">
        <v>0</v>
      </c>
      <c r="P66" s="70"/>
      <c r="Q66" s="71"/>
      <c r="R66" s="69">
        <v>0</v>
      </c>
      <c r="S66" s="68">
        <v>0</v>
      </c>
      <c r="T66" s="68">
        <v>0</v>
      </c>
      <c r="U66" s="68">
        <v>0</v>
      </c>
      <c r="V66" s="83">
        <v>0</v>
      </c>
      <c r="W66" s="85"/>
      <c r="X66" s="86"/>
      <c r="Y66" s="84">
        <v>0</v>
      </c>
      <c r="Z66" s="83">
        <v>0</v>
      </c>
      <c r="AA66" s="83">
        <v>0</v>
      </c>
      <c r="AB66" s="83">
        <v>0</v>
      </c>
      <c r="AC66" s="83">
        <v>0</v>
      </c>
      <c r="AD66" s="85"/>
      <c r="AE66" s="86"/>
      <c r="AF66" s="84">
        <v>1</v>
      </c>
      <c r="AG66" s="83">
        <v>1</v>
      </c>
      <c r="AH66" s="83">
        <v>1</v>
      </c>
      <c r="AI66" s="83">
        <v>1</v>
      </c>
      <c r="AJ66" s="83">
        <v>1</v>
      </c>
      <c r="AK66" s="85"/>
      <c r="AL66" s="86"/>
      <c r="AM66" s="87"/>
      <c r="AN66" s="85"/>
      <c r="AO66" s="85"/>
      <c r="AP66" s="85"/>
      <c r="AQ66" s="85"/>
      <c r="AR66" s="88"/>
      <c r="AS66" s="89"/>
      <c r="AT66" s="187">
        <f t="shared" si="8"/>
        <v>0.2</v>
      </c>
      <c r="AU66" s="228">
        <f t="shared" si="7"/>
        <v>114</v>
      </c>
      <c r="AV66" s="168"/>
      <c r="AW66" s="168"/>
      <c r="AX66" s="168"/>
      <c r="AY66" s="168"/>
      <c r="AZ66" s="168"/>
      <c r="BA66" s="168"/>
      <c r="BB66" s="168"/>
      <c r="BC66" s="168"/>
      <c r="BD66" s="340">
        <v>38842</v>
      </c>
      <c r="BE66" s="182">
        <f>BD66-DATE(YEAR(BD66)-1,12,31)</f>
        <v>125</v>
      </c>
      <c r="BF66" s="336">
        <v>0.6</v>
      </c>
      <c r="BG66" s="213">
        <v>39196</v>
      </c>
      <c r="BH66" s="182">
        <f>BG66-DATE(YEAR(BG66)-1,12,31)</f>
        <v>114</v>
      </c>
      <c r="BI66" s="336">
        <v>0</v>
      </c>
      <c r="BJ66" s="213">
        <v>39574</v>
      </c>
      <c r="BK66" s="182">
        <f t="shared" si="4"/>
        <v>127</v>
      </c>
      <c r="BL66" s="336">
        <v>0.2</v>
      </c>
      <c r="BM66" s="213">
        <v>39929</v>
      </c>
      <c r="BN66" s="182">
        <v>116</v>
      </c>
      <c r="BO66" s="336">
        <v>0</v>
      </c>
      <c r="BP66" s="213">
        <v>40314</v>
      </c>
      <c r="BQ66" s="182">
        <v>136</v>
      </c>
      <c r="BR66" s="336">
        <v>0.4</v>
      </c>
      <c r="BS66" s="213">
        <v>40662</v>
      </c>
      <c r="BT66" s="182">
        <v>119</v>
      </c>
      <c r="BU66" s="336">
        <v>0.8</v>
      </c>
      <c r="BV66" s="182"/>
      <c r="BW66" s="182"/>
      <c r="BX66" s="182"/>
    </row>
    <row r="67" spans="1:76">
      <c r="A67" s="16" t="s">
        <v>32</v>
      </c>
      <c r="B67" s="131">
        <v>41026</v>
      </c>
      <c r="C67" s="83" t="s">
        <v>82</v>
      </c>
      <c r="D67" s="84">
        <v>0</v>
      </c>
      <c r="E67" s="68">
        <v>0</v>
      </c>
      <c r="F67" s="68">
        <v>0</v>
      </c>
      <c r="G67" s="68">
        <v>0</v>
      </c>
      <c r="H67" s="68">
        <v>0</v>
      </c>
      <c r="I67" s="70"/>
      <c r="J67" s="71"/>
      <c r="K67" s="69">
        <v>0</v>
      </c>
      <c r="L67" s="68">
        <v>0</v>
      </c>
      <c r="M67" s="68">
        <v>0</v>
      </c>
      <c r="N67" s="68">
        <v>0</v>
      </c>
      <c r="O67" s="68">
        <v>0</v>
      </c>
      <c r="P67" s="70"/>
      <c r="Q67" s="71"/>
      <c r="R67" s="69">
        <v>0</v>
      </c>
      <c r="S67" s="68">
        <v>0</v>
      </c>
      <c r="T67" s="68">
        <v>0</v>
      </c>
      <c r="U67" s="68">
        <v>0</v>
      </c>
      <c r="V67" s="83">
        <v>0</v>
      </c>
      <c r="W67" s="85"/>
      <c r="X67" s="86"/>
      <c r="Y67" s="84">
        <v>0</v>
      </c>
      <c r="Z67" s="83">
        <v>0</v>
      </c>
      <c r="AA67" s="83">
        <v>0</v>
      </c>
      <c r="AB67" s="83">
        <v>0</v>
      </c>
      <c r="AC67" s="83">
        <v>0</v>
      </c>
      <c r="AD67" s="85"/>
      <c r="AE67" s="86"/>
      <c r="AF67" s="84">
        <v>1</v>
      </c>
      <c r="AG67" s="83">
        <v>1</v>
      </c>
      <c r="AH67" s="83">
        <v>1</v>
      </c>
      <c r="AI67" s="83">
        <v>1</v>
      </c>
      <c r="AJ67" s="83">
        <v>1</v>
      </c>
      <c r="AK67" s="70"/>
      <c r="AL67" s="71"/>
      <c r="AM67" s="72"/>
      <c r="AN67" s="70"/>
      <c r="AO67" s="70"/>
      <c r="AP67" s="70"/>
      <c r="AQ67" s="70"/>
      <c r="AR67" s="73"/>
      <c r="AS67" s="80"/>
      <c r="AT67" s="188">
        <f t="shared" si="8"/>
        <v>0.2</v>
      </c>
      <c r="AU67" s="229">
        <f t="shared" si="7"/>
        <v>118</v>
      </c>
      <c r="AV67" s="168"/>
      <c r="AW67" s="168"/>
      <c r="AX67" s="168"/>
      <c r="AY67" s="168"/>
      <c r="AZ67" s="168"/>
      <c r="BA67" s="168"/>
      <c r="BB67" s="168"/>
      <c r="BC67" s="168"/>
      <c r="BD67" s="340">
        <v>38844</v>
      </c>
      <c r="BE67" s="182">
        <f t="shared" ref="BE67:BE75" si="13">BD67-DATE(YEAR(BD67)-1,12,31)</f>
        <v>127</v>
      </c>
      <c r="BF67" s="336">
        <v>0.6</v>
      </c>
      <c r="BG67" s="213">
        <v>39198</v>
      </c>
      <c r="BH67" s="182">
        <f t="shared" ref="BH67:BH79" si="14">BG67-DATE(YEAR(BG67)-1,12,31)</f>
        <v>116</v>
      </c>
      <c r="BI67" s="336">
        <v>0</v>
      </c>
      <c r="BJ67" s="213">
        <v>39579</v>
      </c>
      <c r="BK67" s="182">
        <f t="shared" si="4"/>
        <v>132</v>
      </c>
      <c r="BL67" s="336">
        <v>1</v>
      </c>
      <c r="BM67" s="213">
        <v>39934</v>
      </c>
      <c r="BN67" s="182">
        <v>121</v>
      </c>
      <c r="BO67" s="336">
        <v>0.6</v>
      </c>
      <c r="BP67" s="213">
        <v>40320</v>
      </c>
      <c r="BQ67" s="182">
        <v>142</v>
      </c>
      <c r="BR67" s="336">
        <v>1.2</v>
      </c>
      <c r="BS67" s="213">
        <v>40665</v>
      </c>
      <c r="BT67" s="182">
        <v>122</v>
      </c>
      <c r="BU67" s="336">
        <v>1.6</v>
      </c>
      <c r="BV67" s="182"/>
      <c r="BW67" s="182"/>
      <c r="BX67" s="182"/>
    </row>
    <row r="68" spans="1:76">
      <c r="A68" s="16" t="s">
        <v>32</v>
      </c>
      <c r="B68" s="131">
        <v>41031</v>
      </c>
      <c r="C68" s="83" t="s">
        <v>82</v>
      </c>
      <c r="D68" s="84">
        <v>0</v>
      </c>
      <c r="E68" s="68">
        <v>0</v>
      </c>
      <c r="F68" s="68">
        <v>0</v>
      </c>
      <c r="G68" s="68">
        <v>0</v>
      </c>
      <c r="H68" s="68">
        <v>0</v>
      </c>
      <c r="I68" s="70"/>
      <c r="J68" s="71"/>
      <c r="K68" s="69">
        <v>1</v>
      </c>
      <c r="L68" s="68">
        <v>1</v>
      </c>
      <c r="M68" s="68">
        <v>1</v>
      </c>
      <c r="N68" s="68">
        <v>1</v>
      </c>
      <c r="O68" s="68">
        <v>1</v>
      </c>
      <c r="P68" s="70"/>
      <c r="Q68" s="71"/>
      <c r="R68" s="69">
        <v>0</v>
      </c>
      <c r="S68" s="68">
        <v>0</v>
      </c>
      <c r="T68" s="68">
        <v>0</v>
      </c>
      <c r="U68" s="68">
        <v>0</v>
      </c>
      <c r="V68" s="83">
        <v>0</v>
      </c>
      <c r="W68" s="85"/>
      <c r="X68" s="86"/>
      <c r="Y68" s="84">
        <v>0</v>
      </c>
      <c r="Z68" s="83">
        <v>0</v>
      </c>
      <c r="AA68" s="83">
        <v>0</v>
      </c>
      <c r="AB68" s="83">
        <v>0</v>
      </c>
      <c r="AC68" s="83">
        <v>0</v>
      </c>
      <c r="AD68" s="85"/>
      <c r="AE68" s="86"/>
      <c r="AF68" s="84">
        <v>2</v>
      </c>
      <c r="AG68" s="83">
        <v>2</v>
      </c>
      <c r="AH68" s="83">
        <v>2</v>
      </c>
      <c r="AI68" s="83">
        <v>2</v>
      </c>
      <c r="AJ68" s="83">
        <v>2</v>
      </c>
      <c r="AK68" s="70"/>
      <c r="AL68" s="71"/>
      <c r="AM68" s="72"/>
      <c r="AN68" s="70"/>
      <c r="AO68" s="70"/>
      <c r="AP68" s="70"/>
      <c r="AQ68" s="70"/>
      <c r="AR68" s="73"/>
      <c r="AS68" s="80"/>
      <c r="AT68" s="188">
        <f t="shared" si="8"/>
        <v>0.6</v>
      </c>
      <c r="AU68" s="229">
        <f t="shared" si="7"/>
        <v>123</v>
      </c>
      <c r="AV68" s="168"/>
      <c r="AW68" s="168"/>
      <c r="AX68" s="168"/>
      <c r="AY68" s="168"/>
      <c r="AZ68" s="168"/>
      <c r="BA68" s="168"/>
      <c r="BB68" s="168"/>
      <c r="BC68" s="168"/>
      <c r="BD68" s="340">
        <v>38846</v>
      </c>
      <c r="BE68" s="182">
        <f t="shared" si="13"/>
        <v>129</v>
      </c>
      <c r="BF68" s="336">
        <v>0.68</v>
      </c>
      <c r="BG68" s="213">
        <v>39201</v>
      </c>
      <c r="BH68" s="182">
        <f t="shared" si="14"/>
        <v>119</v>
      </c>
      <c r="BI68" s="336">
        <v>0</v>
      </c>
      <c r="BJ68" s="213">
        <v>39583</v>
      </c>
      <c r="BK68" s="182">
        <f t="shared" si="4"/>
        <v>136</v>
      </c>
      <c r="BL68" s="336">
        <v>1.6</v>
      </c>
      <c r="BM68" s="213">
        <v>39940</v>
      </c>
      <c r="BN68" s="182">
        <v>127</v>
      </c>
      <c r="BO68" s="336">
        <v>0.8</v>
      </c>
      <c r="BP68" s="213">
        <v>40327</v>
      </c>
      <c r="BQ68" s="182">
        <v>149</v>
      </c>
      <c r="BR68" s="336">
        <v>2.6</v>
      </c>
      <c r="BS68" s="213">
        <v>40670</v>
      </c>
      <c r="BT68" s="182">
        <v>127</v>
      </c>
      <c r="BU68" s="336">
        <v>2.2000000000000002</v>
      </c>
      <c r="BV68" s="182"/>
      <c r="BW68" s="182"/>
      <c r="BX68" s="182"/>
    </row>
    <row r="69" spans="1:76">
      <c r="A69" s="16" t="s">
        <v>32</v>
      </c>
      <c r="B69" s="131">
        <v>41036</v>
      </c>
      <c r="C69" s="83" t="s">
        <v>83</v>
      </c>
      <c r="D69" s="84">
        <v>0</v>
      </c>
      <c r="E69" s="68">
        <v>0</v>
      </c>
      <c r="F69" s="68">
        <v>0</v>
      </c>
      <c r="G69" s="68">
        <v>0</v>
      </c>
      <c r="H69" s="68">
        <v>0</v>
      </c>
      <c r="I69" s="70"/>
      <c r="J69" s="71"/>
      <c r="K69" s="69">
        <v>2</v>
      </c>
      <c r="L69" s="68">
        <v>2</v>
      </c>
      <c r="M69" s="68">
        <v>2</v>
      </c>
      <c r="N69" s="68">
        <v>2</v>
      </c>
      <c r="O69" s="68">
        <v>2</v>
      </c>
      <c r="P69" s="70"/>
      <c r="Q69" s="71"/>
      <c r="R69" s="69">
        <v>1</v>
      </c>
      <c r="S69" s="68">
        <v>1</v>
      </c>
      <c r="T69" s="68">
        <v>1</v>
      </c>
      <c r="U69" s="68">
        <v>1</v>
      </c>
      <c r="V69" s="83">
        <v>1</v>
      </c>
      <c r="W69" s="85"/>
      <c r="X69" s="86"/>
      <c r="Y69" s="84">
        <v>0</v>
      </c>
      <c r="Z69" s="83">
        <v>0</v>
      </c>
      <c r="AA69" s="83">
        <v>0</v>
      </c>
      <c r="AB69" s="83">
        <v>0</v>
      </c>
      <c r="AC69" s="83">
        <v>0</v>
      </c>
      <c r="AD69" s="85"/>
      <c r="AE69" s="86"/>
      <c r="AF69" s="84">
        <v>3</v>
      </c>
      <c r="AG69" s="83">
        <v>3</v>
      </c>
      <c r="AH69" s="83">
        <v>3</v>
      </c>
      <c r="AI69" s="83">
        <v>3</v>
      </c>
      <c r="AJ69" s="83">
        <v>3</v>
      </c>
      <c r="AK69" s="70"/>
      <c r="AL69" s="71"/>
      <c r="AM69" s="72"/>
      <c r="AN69" s="70"/>
      <c r="AO69" s="70"/>
      <c r="AP69" s="70"/>
      <c r="AQ69" s="70"/>
      <c r="AR69" s="73"/>
      <c r="AS69" s="80"/>
      <c r="AT69" s="188">
        <f>IF(COUNT(D69:AL69)=0,AT68,AVERAGE(D69:AL69))</f>
        <v>1.2</v>
      </c>
      <c r="AU69" s="229">
        <f t="shared" si="7"/>
        <v>128</v>
      </c>
      <c r="AV69" s="168"/>
      <c r="AW69" s="168"/>
      <c r="AX69" s="168"/>
      <c r="AY69" s="168"/>
      <c r="AZ69" s="168"/>
      <c r="BA69" s="168"/>
      <c r="BB69" s="168"/>
      <c r="BC69" s="168"/>
      <c r="BD69" s="340">
        <v>38848</v>
      </c>
      <c r="BE69" s="182">
        <f t="shared" si="13"/>
        <v>131</v>
      </c>
      <c r="BF69" s="336">
        <v>0.96</v>
      </c>
      <c r="BG69" s="213">
        <v>39205</v>
      </c>
      <c r="BH69" s="182">
        <f t="shared" si="14"/>
        <v>123</v>
      </c>
      <c r="BI69" s="336">
        <v>0.2</v>
      </c>
      <c r="BJ69" s="213">
        <v>39594</v>
      </c>
      <c r="BK69" s="182">
        <f t="shared" si="4"/>
        <v>147</v>
      </c>
      <c r="BL69" s="336">
        <v>3</v>
      </c>
      <c r="BM69" s="213">
        <v>39946</v>
      </c>
      <c r="BN69" s="182">
        <v>133</v>
      </c>
      <c r="BO69" s="336">
        <v>1.2</v>
      </c>
      <c r="BP69" s="213">
        <v>40334</v>
      </c>
      <c r="BQ69" s="182">
        <v>156</v>
      </c>
      <c r="BR69" s="336">
        <v>3.8</v>
      </c>
      <c r="BS69" s="213">
        <v>40676</v>
      </c>
      <c r="BT69" s="182">
        <v>133</v>
      </c>
      <c r="BU69" s="336">
        <v>3.4</v>
      </c>
      <c r="BV69" s="182"/>
      <c r="BW69" s="182"/>
      <c r="BX69" s="182"/>
    </row>
    <row r="70" spans="1:76">
      <c r="A70" s="16" t="s">
        <v>32</v>
      </c>
      <c r="B70" s="131">
        <v>41039</v>
      </c>
      <c r="C70" s="83" t="s">
        <v>83</v>
      </c>
      <c r="D70" s="84">
        <v>1</v>
      </c>
      <c r="E70" s="83">
        <v>1</v>
      </c>
      <c r="F70" s="83">
        <v>1</v>
      </c>
      <c r="G70" s="83">
        <v>1</v>
      </c>
      <c r="H70" s="83">
        <v>1</v>
      </c>
      <c r="I70" s="70"/>
      <c r="J70" s="71"/>
      <c r="K70" s="84">
        <v>3</v>
      </c>
      <c r="L70" s="83">
        <v>3</v>
      </c>
      <c r="M70" s="83">
        <v>3</v>
      </c>
      <c r="N70" s="83">
        <v>3</v>
      </c>
      <c r="O70" s="83">
        <v>3</v>
      </c>
      <c r="P70" s="70"/>
      <c r="Q70" s="71"/>
      <c r="R70" s="84">
        <v>2</v>
      </c>
      <c r="S70" s="83">
        <v>2</v>
      </c>
      <c r="T70" s="83">
        <v>2</v>
      </c>
      <c r="U70" s="83">
        <v>2</v>
      </c>
      <c r="V70" s="83">
        <v>2</v>
      </c>
      <c r="W70" s="70"/>
      <c r="X70" s="71"/>
      <c r="Y70" s="69">
        <v>0</v>
      </c>
      <c r="Z70" s="68">
        <v>0</v>
      </c>
      <c r="AA70" s="68">
        <v>0</v>
      </c>
      <c r="AB70" s="68">
        <v>0</v>
      </c>
      <c r="AC70" s="68">
        <v>0</v>
      </c>
      <c r="AD70" s="70"/>
      <c r="AE70" s="71"/>
      <c r="AF70" s="84">
        <v>3</v>
      </c>
      <c r="AG70" s="83">
        <v>3</v>
      </c>
      <c r="AH70" s="83">
        <v>3</v>
      </c>
      <c r="AI70" s="83">
        <v>3</v>
      </c>
      <c r="AJ70" s="83">
        <v>3</v>
      </c>
      <c r="AK70" s="70"/>
      <c r="AL70" s="71"/>
      <c r="AM70" s="72"/>
      <c r="AN70" s="70"/>
      <c r="AO70" s="70"/>
      <c r="AP70" s="70"/>
      <c r="AQ70" s="70"/>
      <c r="AR70" s="73"/>
      <c r="AS70" s="80"/>
      <c r="AT70" s="188">
        <f t="shared" si="8"/>
        <v>1.8</v>
      </c>
      <c r="AU70" s="229">
        <f t="shared" si="7"/>
        <v>131</v>
      </c>
      <c r="AV70" s="168"/>
      <c r="AW70" s="168"/>
      <c r="AX70" s="168"/>
      <c r="AY70" s="168"/>
      <c r="AZ70" s="168"/>
      <c r="BA70" s="168"/>
      <c r="BB70" s="168"/>
      <c r="BC70" s="168"/>
      <c r="BD70" s="340">
        <v>38853</v>
      </c>
      <c r="BE70" s="182">
        <f t="shared" si="13"/>
        <v>136</v>
      </c>
      <c r="BF70" s="336">
        <v>1.2</v>
      </c>
      <c r="BG70" s="213">
        <v>39208</v>
      </c>
      <c r="BH70" s="182">
        <f t="shared" si="14"/>
        <v>126</v>
      </c>
      <c r="BI70" s="336">
        <v>0.4</v>
      </c>
      <c r="BJ70" s="213">
        <v>39601</v>
      </c>
      <c r="BK70" s="182">
        <f t="shared" ref="BK70:BK75" si="15">BJ70-DATE(YEAR(BJ70)-1,12,31)</f>
        <v>154</v>
      </c>
      <c r="BL70" s="336">
        <v>4.4000000000000004</v>
      </c>
      <c r="BM70" s="213">
        <v>39955</v>
      </c>
      <c r="BN70" s="182">
        <v>142</v>
      </c>
      <c r="BO70" s="336">
        <v>3</v>
      </c>
      <c r="BP70" s="213">
        <v>40342</v>
      </c>
      <c r="BQ70" s="182">
        <v>164</v>
      </c>
      <c r="BR70" s="336">
        <v>5.2</v>
      </c>
      <c r="BS70" s="213">
        <v>40683</v>
      </c>
      <c r="BT70" s="182">
        <v>140</v>
      </c>
      <c r="BU70" s="336">
        <v>3.6</v>
      </c>
      <c r="BV70" s="182"/>
      <c r="BW70" s="182"/>
      <c r="BX70" s="182"/>
    </row>
    <row r="71" spans="1:76">
      <c r="A71" s="16" t="s">
        <v>32</v>
      </c>
      <c r="B71" s="131">
        <v>41044</v>
      </c>
      <c r="C71" s="83" t="s">
        <v>83</v>
      </c>
      <c r="D71" s="84">
        <v>1</v>
      </c>
      <c r="E71" s="83">
        <v>1</v>
      </c>
      <c r="F71" s="83">
        <v>1</v>
      </c>
      <c r="G71" s="83">
        <v>1</v>
      </c>
      <c r="H71" s="83">
        <v>1</v>
      </c>
      <c r="I71" s="70"/>
      <c r="J71" s="71"/>
      <c r="K71" s="84">
        <v>4</v>
      </c>
      <c r="L71" s="83">
        <v>4</v>
      </c>
      <c r="M71" s="83">
        <v>4</v>
      </c>
      <c r="N71" s="83">
        <v>4</v>
      </c>
      <c r="O71" s="83">
        <v>4</v>
      </c>
      <c r="P71" s="70"/>
      <c r="Q71" s="71"/>
      <c r="R71" s="84">
        <v>3</v>
      </c>
      <c r="S71" s="83">
        <v>3</v>
      </c>
      <c r="T71" s="83">
        <v>3</v>
      </c>
      <c r="U71" s="83">
        <v>3</v>
      </c>
      <c r="V71" s="83">
        <v>3</v>
      </c>
      <c r="W71" s="70"/>
      <c r="X71" s="71"/>
      <c r="Y71" s="69">
        <v>0</v>
      </c>
      <c r="Z71" s="68">
        <v>0</v>
      </c>
      <c r="AA71" s="68">
        <v>0</v>
      </c>
      <c r="AB71" s="68">
        <v>0</v>
      </c>
      <c r="AC71" s="68">
        <v>0</v>
      </c>
      <c r="AD71" s="70"/>
      <c r="AE71" s="71"/>
      <c r="AF71" s="84">
        <v>4</v>
      </c>
      <c r="AG71" s="83">
        <v>4</v>
      </c>
      <c r="AH71" s="83">
        <v>4</v>
      </c>
      <c r="AI71" s="83">
        <v>4</v>
      </c>
      <c r="AJ71" s="83">
        <v>4</v>
      </c>
      <c r="AK71" s="70"/>
      <c r="AL71" s="71"/>
      <c r="AM71" s="72"/>
      <c r="AN71" s="70"/>
      <c r="AO71" s="70"/>
      <c r="AP71" s="70"/>
      <c r="AQ71" s="70"/>
      <c r="AR71" s="73"/>
      <c r="AS71" s="80"/>
      <c r="AT71" s="188">
        <f t="shared" si="8"/>
        <v>2.4</v>
      </c>
      <c r="AU71" s="229">
        <f t="shared" ref="AU71:AU134" si="16">IF(B71=0,AU70,B71-DATE(YEAR(B71)-1,12,31))</f>
        <v>136</v>
      </c>
      <c r="AV71" s="168"/>
      <c r="AW71" s="168"/>
      <c r="AX71" s="168"/>
      <c r="AY71" s="168"/>
      <c r="AZ71" s="168"/>
      <c r="BA71" s="168"/>
      <c r="BB71" s="168"/>
      <c r="BC71" s="168"/>
      <c r="BD71" s="340">
        <v>38859</v>
      </c>
      <c r="BE71" s="182">
        <f t="shared" si="13"/>
        <v>142</v>
      </c>
      <c r="BF71" s="336">
        <v>1.2</v>
      </c>
      <c r="BG71" s="213">
        <v>39211</v>
      </c>
      <c r="BH71" s="182">
        <f t="shared" si="14"/>
        <v>129</v>
      </c>
      <c r="BI71" s="336">
        <v>0.6</v>
      </c>
      <c r="BJ71" s="213">
        <v>39608</v>
      </c>
      <c r="BK71" s="182">
        <f t="shared" si="15"/>
        <v>161</v>
      </c>
      <c r="BL71" s="336">
        <v>5.4</v>
      </c>
      <c r="BM71" s="213">
        <v>39964</v>
      </c>
      <c r="BN71" s="182">
        <v>151</v>
      </c>
      <c r="BO71" s="336">
        <v>4.5999999999999996</v>
      </c>
      <c r="BP71" s="213">
        <v>40350</v>
      </c>
      <c r="BQ71" s="182">
        <v>172</v>
      </c>
      <c r="BR71" s="336">
        <v>6.2</v>
      </c>
      <c r="BS71" s="213">
        <v>40701</v>
      </c>
      <c r="BT71" s="182">
        <v>158</v>
      </c>
      <c r="BU71" s="336">
        <v>7.6</v>
      </c>
      <c r="BV71" s="182"/>
      <c r="BW71" s="182"/>
      <c r="BX71" s="182"/>
    </row>
    <row r="72" spans="1:76">
      <c r="A72" s="16" t="s">
        <v>32</v>
      </c>
      <c r="B72" s="131">
        <v>41053</v>
      </c>
      <c r="C72" s="83" t="s">
        <v>83</v>
      </c>
      <c r="D72" s="84">
        <v>2</v>
      </c>
      <c r="E72" s="83">
        <v>2</v>
      </c>
      <c r="F72" s="83">
        <v>2</v>
      </c>
      <c r="G72" s="83">
        <v>2</v>
      </c>
      <c r="H72" s="83">
        <v>2</v>
      </c>
      <c r="I72" s="70"/>
      <c r="J72" s="71"/>
      <c r="K72" s="84">
        <v>5</v>
      </c>
      <c r="L72" s="83">
        <v>5</v>
      </c>
      <c r="M72" s="83">
        <v>5</v>
      </c>
      <c r="N72" s="83">
        <v>5</v>
      </c>
      <c r="O72" s="83">
        <v>5</v>
      </c>
      <c r="P72" s="70"/>
      <c r="Q72" s="71"/>
      <c r="R72" s="84">
        <v>5</v>
      </c>
      <c r="S72" s="83">
        <v>5</v>
      </c>
      <c r="T72" s="83">
        <v>5</v>
      </c>
      <c r="U72" s="83">
        <v>5</v>
      </c>
      <c r="V72" s="83">
        <v>5</v>
      </c>
      <c r="W72" s="70"/>
      <c r="X72" s="71"/>
      <c r="Y72" s="69">
        <v>1</v>
      </c>
      <c r="Z72" s="68">
        <v>1</v>
      </c>
      <c r="AA72" s="68">
        <v>1</v>
      </c>
      <c r="AB72" s="68">
        <v>1</v>
      </c>
      <c r="AC72" s="68">
        <v>1</v>
      </c>
      <c r="AD72" s="70"/>
      <c r="AE72" s="71"/>
      <c r="AF72" s="84">
        <v>5</v>
      </c>
      <c r="AG72" s="83">
        <v>5</v>
      </c>
      <c r="AH72" s="83">
        <v>5</v>
      </c>
      <c r="AI72" s="83">
        <v>5</v>
      </c>
      <c r="AJ72" s="83">
        <v>5</v>
      </c>
      <c r="AK72" s="70"/>
      <c r="AL72" s="71"/>
      <c r="AM72" s="72"/>
      <c r="AN72" s="70"/>
      <c r="AO72" s="70"/>
      <c r="AP72" s="70"/>
      <c r="AQ72" s="70"/>
      <c r="AR72" s="73"/>
      <c r="AS72" s="80"/>
      <c r="AT72" s="188">
        <f t="shared" ref="AT72:AT135" si="17">IF(COUNT(D72:AL72)=0,AT71,AVERAGE(D72:AL72))</f>
        <v>3.6</v>
      </c>
      <c r="AU72" s="229">
        <f t="shared" si="16"/>
        <v>145</v>
      </c>
      <c r="AV72" s="168"/>
      <c r="AW72" s="168"/>
      <c r="AX72" s="168"/>
      <c r="AY72" s="168"/>
      <c r="AZ72" s="168"/>
      <c r="BA72" s="168"/>
      <c r="BB72" s="168"/>
      <c r="BC72" s="168"/>
      <c r="BD72" s="340">
        <v>38868</v>
      </c>
      <c r="BE72" s="182">
        <f t="shared" si="13"/>
        <v>151</v>
      </c>
      <c r="BF72" s="336">
        <v>1.8</v>
      </c>
      <c r="BG72" s="213">
        <v>39216</v>
      </c>
      <c r="BH72" s="182">
        <f t="shared" si="14"/>
        <v>134</v>
      </c>
      <c r="BI72" s="336">
        <v>0.8</v>
      </c>
      <c r="BJ72" s="213">
        <v>39615</v>
      </c>
      <c r="BK72" s="182">
        <f t="shared" si="15"/>
        <v>168</v>
      </c>
      <c r="BL72" s="336">
        <v>6</v>
      </c>
      <c r="BM72" s="213">
        <v>39972</v>
      </c>
      <c r="BN72" s="182">
        <v>159</v>
      </c>
      <c r="BO72" s="336">
        <v>5.6</v>
      </c>
      <c r="BP72" s="213">
        <v>40356</v>
      </c>
      <c r="BQ72" s="182">
        <v>178</v>
      </c>
      <c r="BR72" s="336">
        <v>7</v>
      </c>
      <c r="BS72" s="213">
        <v>40707</v>
      </c>
      <c r="BT72" s="182">
        <v>164</v>
      </c>
      <c r="BU72" s="336">
        <v>8</v>
      </c>
      <c r="BV72" s="182"/>
      <c r="BW72" s="182"/>
      <c r="BX72" s="182"/>
    </row>
    <row r="73" spans="1:76">
      <c r="A73" s="16" t="s">
        <v>32</v>
      </c>
      <c r="B73" s="131">
        <v>41059</v>
      </c>
      <c r="C73" s="83" t="s">
        <v>83</v>
      </c>
      <c r="D73" s="84">
        <v>4</v>
      </c>
      <c r="E73" s="83">
        <v>4</v>
      </c>
      <c r="F73" s="83">
        <v>4</v>
      </c>
      <c r="G73" s="83">
        <v>4</v>
      </c>
      <c r="H73" s="83">
        <v>4</v>
      </c>
      <c r="I73" s="70"/>
      <c r="J73" s="71"/>
      <c r="K73" s="84">
        <v>6</v>
      </c>
      <c r="L73" s="83">
        <v>6</v>
      </c>
      <c r="M73" s="83">
        <v>6</v>
      </c>
      <c r="N73" s="83">
        <v>6</v>
      </c>
      <c r="O73" s="83">
        <v>6</v>
      </c>
      <c r="P73" s="70"/>
      <c r="Q73" s="71"/>
      <c r="R73" s="84">
        <v>6</v>
      </c>
      <c r="S73" s="83">
        <v>6</v>
      </c>
      <c r="T73" s="83">
        <v>6</v>
      </c>
      <c r="U73" s="83">
        <v>6</v>
      </c>
      <c r="V73" s="83">
        <v>6</v>
      </c>
      <c r="W73" s="70"/>
      <c r="X73" s="71"/>
      <c r="Y73" s="69">
        <v>3</v>
      </c>
      <c r="Z73" s="68">
        <v>3</v>
      </c>
      <c r="AA73" s="68">
        <v>3</v>
      </c>
      <c r="AB73" s="68">
        <v>3</v>
      </c>
      <c r="AC73" s="68">
        <v>3</v>
      </c>
      <c r="AD73" s="70"/>
      <c r="AE73" s="71"/>
      <c r="AF73" s="84">
        <v>6</v>
      </c>
      <c r="AG73" s="83">
        <v>6</v>
      </c>
      <c r="AH73" s="83">
        <v>6</v>
      </c>
      <c r="AI73" s="83">
        <v>6</v>
      </c>
      <c r="AJ73" s="83">
        <v>6</v>
      </c>
      <c r="AK73" s="70"/>
      <c r="AL73" s="71"/>
      <c r="AM73" s="72"/>
      <c r="AN73" s="70"/>
      <c r="AO73" s="70"/>
      <c r="AP73" s="70"/>
      <c r="AQ73" s="70"/>
      <c r="AR73" s="73"/>
      <c r="AS73" s="80"/>
      <c r="AT73" s="188">
        <f t="shared" si="17"/>
        <v>5</v>
      </c>
      <c r="AU73" s="229">
        <f t="shared" si="16"/>
        <v>151</v>
      </c>
      <c r="AV73" s="168"/>
      <c r="AW73" s="168"/>
      <c r="AX73" s="168"/>
      <c r="AY73" s="168"/>
      <c r="AZ73" s="168"/>
      <c r="BA73" s="168"/>
      <c r="BB73" s="168"/>
      <c r="BC73" s="168"/>
      <c r="BD73" s="340">
        <v>38876</v>
      </c>
      <c r="BE73" s="182">
        <f t="shared" si="13"/>
        <v>159</v>
      </c>
      <c r="BF73" s="336">
        <v>4.2</v>
      </c>
      <c r="BG73" s="213">
        <v>39220</v>
      </c>
      <c r="BH73" s="182">
        <f t="shared" si="14"/>
        <v>138</v>
      </c>
      <c r="BI73" s="336">
        <v>1.4</v>
      </c>
      <c r="BJ73" s="213">
        <v>39622</v>
      </c>
      <c r="BK73" s="182">
        <f t="shared" si="15"/>
        <v>175</v>
      </c>
      <c r="BL73" s="336">
        <v>6.6</v>
      </c>
      <c r="BM73" s="213">
        <v>39981</v>
      </c>
      <c r="BN73" s="182">
        <v>168</v>
      </c>
      <c r="BO73" s="336">
        <v>6.2</v>
      </c>
      <c r="BP73" s="213">
        <v>40364</v>
      </c>
      <c r="BQ73" s="182">
        <v>186</v>
      </c>
      <c r="BR73" s="336">
        <v>7.4</v>
      </c>
      <c r="BS73" s="213"/>
      <c r="BT73" s="182"/>
      <c r="BU73" s="336"/>
      <c r="BV73" s="182"/>
      <c r="BW73" s="182"/>
      <c r="BX73" s="182"/>
    </row>
    <row r="74" spans="1:76">
      <c r="A74" s="16" t="s">
        <v>32</v>
      </c>
      <c r="B74" s="131">
        <v>41073</v>
      </c>
      <c r="C74" s="83" t="s">
        <v>83</v>
      </c>
      <c r="D74" s="69">
        <v>5</v>
      </c>
      <c r="E74" s="68">
        <v>5</v>
      </c>
      <c r="F74" s="68">
        <v>5</v>
      </c>
      <c r="G74" s="68">
        <v>5</v>
      </c>
      <c r="H74" s="68">
        <v>5</v>
      </c>
      <c r="I74" s="70"/>
      <c r="J74" s="71"/>
      <c r="K74" s="84">
        <v>8</v>
      </c>
      <c r="L74" s="83">
        <v>8</v>
      </c>
      <c r="M74" s="83">
        <v>8</v>
      </c>
      <c r="N74" s="83">
        <v>8</v>
      </c>
      <c r="O74" s="83">
        <v>8</v>
      </c>
      <c r="P74" s="70"/>
      <c r="Q74" s="71"/>
      <c r="R74" s="84">
        <v>8</v>
      </c>
      <c r="S74" s="83">
        <v>8</v>
      </c>
      <c r="T74" s="83">
        <v>8</v>
      </c>
      <c r="U74" s="83">
        <v>8</v>
      </c>
      <c r="V74" s="83">
        <v>8</v>
      </c>
      <c r="W74" s="70"/>
      <c r="X74" s="71"/>
      <c r="Y74" s="69">
        <v>5</v>
      </c>
      <c r="Z74" s="68">
        <v>5</v>
      </c>
      <c r="AA74" s="68">
        <v>5</v>
      </c>
      <c r="AB74" s="68">
        <v>5</v>
      </c>
      <c r="AC74" s="68">
        <v>5</v>
      </c>
      <c r="AD74" s="70"/>
      <c r="AE74" s="71"/>
      <c r="AF74" s="84">
        <v>8</v>
      </c>
      <c r="AG74" s="83">
        <v>8</v>
      </c>
      <c r="AH74" s="83">
        <v>8</v>
      </c>
      <c r="AI74" s="83">
        <v>8</v>
      </c>
      <c r="AJ74" s="83">
        <v>8</v>
      </c>
      <c r="AK74" s="70"/>
      <c r="AL74" s="71"/>
      <c r="AM74" s="72"/>
      <c r="AN74" s="70"/>
      <c r="AO74" s="70"/>
      <c r="AP74" s="70"/>
      <c r="AQ74" s="70"/>
      <c r="AR74" s="73"/>
      <c r="AS74" s="80"/>
      <c r="AT74" s="188">
        <f t="shared" si="17"/>
        <v>6.8</v>
      </c>
      <c r="AU74" s="229">
        <f t="shared" si="16"/>
        <v>165</v>
      </c>
      <c r="AV74" s="168"/>
      <c r="AW74" s="168"/>
      <c r="AX74" s="168"/>
      <c r="AY74" s="168"/>
      <c r="AZ74" s="168"/>
      <c r="BA74" s="168"/>
      <c r="BB74" s="168"/>
      <c r="BC74" s="168"/>
      <c r="BD74" s="340">
        <v>38887</v>
      </c>
      <c r="BE74" s="182">
        <f t="shared" si="13"/>
        <v>170</v>
      </c>
      <c r="BF74" s="336">
        <v>5.8</v>
      </c>
      <c r="BG74" s="213">
        <v>39224</v>
      </c>
      <c r="BH74" s="182">
        <f t="shared" si="14"/>
        <v>142</v>
      </c>
      <c r="BI74" s="336">
        <v>2.4</v>
      </c>
      <c r="BJ74" s="213">
        <v>39631</v>
      </c>
      <c r="BK74" s="182">
        <f t="shared" si="15"/>
        <v>184</v>
      </c>
      <c r="BL74" s="336">
        <v>7.2</v>
      </c>
      <c r="BM74" s="213">
        <v>39993</v>
      </c>
      <c r="BN74" s="182">
        <v>180</v>
      </c>
      <c r="BO74" s="336">
        <v>6.2</v>
      </c>
      <c r="BP74" s="213">
        <v>40372</v>
      </c>
      <c r="BQ74" s="182">
        <v>194</v>
      </c>
      <c r="BR74" s="336">
        <v>8</v>
      </c>
      <c r="BS74" s="213"/>
      <c r="BT74" s="182"/>
      <c r="BU74" s="336"/>
      <c r="BV74" s="182"/>
      <c r="BW74" s="182"/>
      <c r="BX74" s="182"/>
    </row>
    <row r="75" spans="1:76">
      <c r="A75" s="16" t="s">
        <v>32</v>
      </c>
      <c r="B75" s="131">
        <v>41092</v>
      </c>
      <c r="C75" s="83" t="s">
        <v>82</v>
      </c>
      <c r="D75" s="69">
        <v>7</v>
      </c>
      <c r="E75" s="68">
        <v>7</v>
      </c>
      <c r="F75" s="68">
        <v>7</v>
      </c>
      <c r="G75" s="68">
        <v>7</v>
      </c>
      <c r="H75" s="68">
        <v>7</v>
      </c>
      <c r="I75" s="70"/>
      <c r="J75" s="71"/>
      <c r="K75" s="84">
        <v>8</v>
      </c>
      <c r="L75" s="83">
        <v>8</v>
      </c>
      <c r="M75" s="83">
        <v>8</v>
      </c>
      <c r="N75" s="83">
        <v>8</v>
      </c>
      <c r="O75" s="83">
        <v>8</v>
      </c>
      <c r="P75" s="70"/>
      <c r="Q75" s="71"/>
      <c r="R75" s="84">
        <v>8</v>
      </c>
      <c r="S75" s="83">
        <v>8</v>
      </c>
      <c r="T75" s="83">
        <v>8</v>
      </c>
      <c r="U75" s="83">
        <v>8</v>
      </c>
      <c r="V75" s="83">
        <v>8</v>
      </c>
      <c r="W75" s="70"/>
      <c r="X75" s="71"/>
      <c r="Y75" s="69">
        <v>7</v>
      </c>
      <c r="Z75" s="68">
        <v>7</v>
      </c>
      <c r="AA75" s="68">
        <v>7</v>
      </c>
      <c r="AB75" s="68">
        <v>7</v>
      </c>
      <c r="AC75" s="68">
        <v>7</v>
      </c>
      <c r="AD75" s="70"/>
      <c r="AE75" s="71"/>
      <c r="AF75" s="84">
        <v>8</v>
      </c>
      <c r="AG75" s="83">
        <v>8</v>
      </c>
      <c r="AH75" s="83">
        <v>8</v>
      </c>
      <c r="AI75" s="83">
        <v>8</v>
      </c>
      <c r="AJ75" s="83">
        <v>8</v>
      </c>
      <c r="AK75" s="70"/>
      <c r="AL75" s="71"/>
      <c r="AM75" s="72"/>
      <c r="AN75" s="70"/>
      <c r="AO75" s="70"/>
      <c r="AP75" s="70"/>
      <c r="AQ75" s="70"/>
      <c r="AR75" s="73"/>
      <c r="AS75" s="80"/>
      <c r="AT75" s="188">
        <f t="shared" si="17"/>
        <v>7.6</v>
      </c>
      <c r="AU75" s="229">
        <f t="shared" si="16"/>
        <v>184</v>
      </c>
      <c r="AV75" s="168"/>
      <c r="AW75" s="168"/>
      <c r="AX75" s="168"/>
      <c r="AY75" s="168"/>
      <c r="AZ75" s="168"/>
      <c r="BA75" s="168"/>
      <c r="BB75" s="168"/>
      <c r="BC75" s="168"/>
      <c r="BD75" s="340">
        <v>38897</v>
      </c>
      <c r="BE75" s="182">
        <f t="shared" si="13"/>
        <v>180</v>
      </c>
      <c r="BF75" s="336">
        <v>7</v>
      </c>
      <c r="BG75" s="213">
        <v>39231</v>
      </c>
      <c r="BH75" s="182">
        <f t="shared" si="14"/>
        <v>149</v>
      </c>
      <c r="BI75" s="336">
        <v>4.4000000000000004</v>
      </c>
      <c r="BJ75" s="213">
        <v>39639</v>
      </c>
      <c r="BK75" s="182">
        <f t="shared" si="15"/>
        <v>192</v>
      </c>
      <c r="BL75" s="336">
        <v>8</v>
      </c>
      <c r="BM75" s="213">
        <v>40002</v>
      </c>
      <c r="BN75" s="182">
        <v>189</v>
      </c>
      <c r="BO75" s="336">
        <v>7.2</v>
      </c>
      <c r="BP75" s="213"/>
      <c r="BQ75" s="182"/>
      <c r="BR75" s="336"/>
      <c r="BS75" s="213"/>
      <c r="BT75" s="182"/>
      <c r="BU75" s="336"/>
      <c r="BV75" s="182"/>
      <c r="BW75" s="182"/>
      <c r="BX75" s="182"/>
    </row>
    <row r="76" spans="1:76">
      <c r="A76" s="16" t="s">
        <v>32</v>
      </c>
      <c r="B76" s="131"/>
      <c r="C76" s="83"/>
      <c r="D76" s="69"/>
      <c r="E76" s="68"/>
      <c r="F76" s="68"/>
      <c r="G76" s="68"/>
      <c r="H76" s="68"/>
      <c r="I76" s="70"/>
      <c r="J76" s="71"/>
      <c r="K76" s="84"/>
      <c r="L76" s="83"/>
      <c r="M76" s="83"/>
      <c r="N76" s="83"/>
      <c r="O76" s="83"/>
      <c r="P76" s="70"/>
      <c r="Q76" s="71"/>
      <c r="R76" s="84"/>
      <c r="S76" s="83"/>
      <c r="T76" s="83"/>
      <c r="U76" s="83"/>
      <c r="V76" s="83"/>
      <c r="W76" s="70"/>
      <c r="X76" s="71"/>
      <c r="Y76" s="69"/>
      <c r="Z76" s="68"/>
      <c r="AA76" s="68"/>
      <c r="AB76" s="68"/>
      <c r="AC76" s="68"/>
      <c r="AD76" s="70"/>
      <c r="AE76" s="71"/>
      <c r="AF76" s="84"/>
      <c r="AG76" s="83"/>
      <c r="AH76" s="83"/>
      <c r="AI76" s="83"/>
      <c r="AJ76" s="83"/>
      <c r="AK76" s="70"/>
      <c r="AL76" s="71"/>
      <c r="AM76" s="72"/>
      <c r="AN76" s="70"/>
      <c r="AO76" s="70"/>
      <c r="AP76" s="70"/>
      <c r="AQ76" s="70"/>
      <c r="AR76" s="73"/>
      <c r="AS76" s="80"/>
      <c r="AT76" s="188">
        <f t="shared" si="17"/>
        <v>7.6</v>
      </c>
      <c r="AU76" s="229">
        <f t="shared" si="16"/>
        <v>184</v>
      </c>
      <c r="AV76" s="168"/>
      <c r="AW76" s="168"/>
      <c r="AX76" s="168"/>
      <c r="AY76" s="168"/>
      <c r="AZ76" s="168"/>
      <c r="BA76" s="168"/>
      <c r="BB76" s="168"/>
      <c r="BC76" s="168"/>
      <c r="BD76" s="340"/>
      <c r="BE76" s="182"/>
      <c r="BF76" s="336"/>
      <c r="BG76" s="213">
        <v>39238</v>
      </c>
      <c r="BH76" s="182">
        <f t="shared" si="14"/>
        <v>156</v>
      </c>
      <c r="BI76" s="336">
        <v>5.2</v>
      </c>
      <c r="BJ76" s="213"/>
      <c r="BK76" s="182"/>
      <c r="BL76" s="336"/>
      <c r="BM76" s="213">
        <v>40015</v>
      </c>
      <c r="BN76" s="182">
        <v>202</v>
      </c>
      <c r="BO76" s="336">
        <v>8</v>
      </c>
      <c r="BP76" s="213"/>
      <c r="BQ76" s="182"/>
      <c r="BR76" s="336"/>
      <c r="BS76" s="213"/>
      <c r="BT76" s="182"/>
      <c r="BU76" s="336"/>
      <c r="BV76" s="182"/>
      <c r="BW76" s="182"/>
      <c r="BX76" s="182"/>
    </row>
    <row r="77" spans="1:76">
      <c r="A77" s="16" t="s">
        <v>32</v>
      </c>
      <c r="B77" s="131"/>
      <c r="C77" s="83"/>
      <c r="D77" s="69"/>
      <c r="E77" s="68"/>
      <c r="F77" s="68"/>
      <c r="G77" s="68"/>
      <c r="H77" s="68"/>
      <c r="I77" s="70"/>
      <c r="J77" s="71"/>
      <c r="K77" s="84"/>
      <c r="L77" s="83"/>
      <c r="M77" s="83"/>
      <c r="N77" s="83"/>
      <c r="O77" s="83"/>
      <c r="P77" s="70"/>
      <c r="Q77" s="71"/>
      <c r="R77" s="84"/>
      <c r="S77" s="83"/>
      <c r="T77" s="83"/>
      <c r="U77" s="83"/>
      <c r="V77" s="83"/>
      <c r="W77" s="70"/>
      <c r="X77" s="71"/>
      <c r="Y77" s="69"/>
      <c r="Z77" s="68"/>
      <c r="AA77" s="68"/>
      <c r="AB77" s="68"/>
      <c r="AC77" s="68"/>
      <c r="AD77" s="70"/>
      <c r="AE77" s="71"/>
      <c r="AF77" s="84"/>
      <c r="AG77" s="83"/>
      <c r="AH77" s="83"/>
      <c r="AI77" s="83"/>
      <c r="AJ77" s="83"/>
      <c r="AK77" s="70"/>
      <c r="AL77" s="71"/>
      <c r="AM77" s="72"/>
      <c r="AN77" s="70"/>
      <c r="AO77" s="70"/>
      <c r="AP77" s="70"/>
      <c r="AQ77" s="70"/>
      <c r="AR77" s="73"/>
      <c r="AS77" s="80"/>
      <c r="AT77" s="188">
        <f t="shared" si="17"/>
        <v>7.6</v>
      </c>
      <c r="AU77" s="229">
        <f t="shared" si="16"/>
        <v>184</v>
      </c>
      <c r="AV77" s="168"/>
      <c r="AW77" s="168"/>
      <c r="AX77" s="168"/>
      <c r="AY77" s="168"/>
      <c r="AZ77" s="168"/>
      <c r="BA77" s="168"/>
      <c r="BB77" s="168"/>
      <c r="BC77" s="168"/>
      <c r="BD77" s="340"/>
      <c r="BE77" s="182"/>
      <c r="BF77" s="336"/>
      <c r="BG77" s="213">
        <v>39245</v>
      </c>
      <c r="BH77" s="182">
        <f t="shared" si="14"/>
        <v>163</v>
      </c>
      <c r="BI77" s="336">
        <v>6.2</v>
      </c>
      <c r="BJ77" s="213"/>
      <c r="BK77" s="182"/>
      <c r="BL77" s="336"/>
      <c r="BM77" s="213"/>
      <c r="BN77" s="182"/>
      <c r="BO77" s="336"/>
      <c r="BP77" s="213"/>
      <c r="BQ77" s="182"/>
      <c r="BR77" s="336"/>
      <c r="BS77" s="213"/>
      <c r="BT77" s="182"/>
      <c r="BU77" s="336"/>
      <c r="BV77" s="182"/>
      <c r="BW77" s="182"/>
      <c r="BX77" s="182"/>
    </row>
    <row r="78" spans="1:76">
      <c r="A78" s="16" t="s">
        <v>32</v>
      </c>
      <c r="B78" s="131"/>
      <c r="C78" s="83"/>
      <c r="D78" s="69"/>
      <c r="E78" s="68"/>
      <c r="F78" s="68"/>
      <c r="G78" s="68"/>
      <c r="H78" s="68"/>
      <c r="I78" s="70"/>
      <c r="J78" s="71"/>
      <c r="K78" s="84"/>
      <c r="L78" s="83"/>
      <c r="M78" s="83"/>
      <c r="N78" s="83"/>
      <c r="O78" s="83"/>
      <c r="P78" s="70"/>
      <c r="Q78" s="71"/>
      <c r="R78" s="84"/>
      <c r="S78" s="83"/>
      <c r="T78" s="83"/>
      <c r="U78" s="83"/>
      <c r="V78" s="83"/>
      <c r="W78" s="70"/>
      <c r="X78" s="71"/>
      <c r="Y78" s="69"/>
      <c r="Z78" s="68"/>
      <c r="AA78" s="68"/>
      <c r="AB78" s="68"/>
      <c r="AC78" s="68"/>
      <c r="AD78" s="70"/>
      <c r="AE78" s="71"/>
      <c r="AF78" s="84"/>
      <c r="AG78" s="83"/>
      <c r="AH78" s="83"/>
      <c r="AI78" s="83"/>
      <c r="AJ78" s="83"/>
      <c r="AK78" s="70"/>
      <c r="AL78" s="71"/>
      <c r="AM78" s="72"/>
      <c r="AN78" s="70"/>
      <c r="AO78" s="70"/>
      <c r="AP78" s="70"/>
      <c r="AQ78" s="70"/>
      <c r="AR78" s="73"/>
      <c r="AS78" s="80"/>
      <c r="AT78" s="188">
        <f t="shared" si="17"/>
        <v>7.6</v>
      </c>
      <c r="AU78" s="229">
        <f t="shared" si="16"/>
        <v>184</v>
      </c>
      <c r="AV78" s="168"/>
      <c r="AW78" s="168"/>
      <c r="AX78" s="168"/>
      <c r="AY78" s="168"/>
      <c r="AZ78" s="168"/>
      <c r="BA78" s="168"/>
      <c r="BB78" s="168"/>
      <c r="BC78" s="168"/>
      <c r="BD78" s="340"/>
      <c r="BE78" s="182"/>
      <c r="BF78" s="336"/>
      <c r="BG78" s="213">
        <v>39252</v>
      </c>
      <c r="BH78" s="182">
        <f t="shared" si="14"/>
        <v>170</v>
      </c>
      <c r="BI78" s="336">
        <v>7</v>
      </c>
      <c r="BJ78" s="213"/>
      <c r="BK78" s="182"/>
      <c r="BL78" s="336"/>
      <c r="BM78" s="213"/>
      <c r="BN78" s="182"/>
      <c r="BO78" s="336"/>
      <c r="BP78" s="213"/>
      <c r="BQ78" s="182"/>
      <c r="BR78" s="336"/>
      <c r="BS78" s="213"/>
      <c r="BT78" s="182"/>
      <c r="BU78" s="336"/>
      <c r="BV78" s="182"/>
      <c r="BW78" s="182"/>
      <c r="BX78" s="182"/>
    </row>
    <row r="79" spans="1:76">
      <c r="A79" s="16" t="s">
        <v>32</v>
      </c>
      <c r="B79" s="131"/>
      <c r="C79" s="83"/>
      <c r="D79" s="69"/>
      <c r="E79" s="68"/>
      <c r="F79" s="68"/>
      <c r="G79" s="68"/>
      <c r="H79" s="68"/>
      <c r="I79" s="70"/>
      <c r="J79" s="71"/>
      <c r="K79" s="84"/>
      <c r="L79" s="83"/>
      <c r="M79" s="83"/>
      <c r="N79" s="83"/>
      <c r="O79" s="83"/>
      <c r="P79" s="70"/>
      <c r="Q79" s="71"/>
      <c r="R79" s="84"/>
      <c r="S79" s="83"/>
      <c r="T79" s="83"/>
      <c r="U79" s="83"/>
      <c r="V79" s="83"/>
      <c r="W79" s="70"/>
      <c r="X79" s="71"/>
      <c r="Y79" s="69"/>
      <c r="Z79" s="68"/>
      <c r="AA79" s="68"/>
      <c r="AB79" s="68"/>
      <c r="AC79" s="68"/>
      <c r="AD79" s="70"/>
      <c r="AE79" s="71"/>
      <c r="AF79" s="84"/>
      <c r="AG79" s="83"/>
      <c r="AH79" s="83"/>
      <c r="AI79" s="83"/>
      <c r="AJ79" s="83"/>
      <c r="AK79" s="70"/>
      <c r="AL79" s="71"/>
      <c r="AM79" s="72"/>
      <c r="AN79" s="70"/>
      <c r="AO79" s="70"/>
      <c r="AP79" s="70"/>
      <c r="AQ79" s="70"/>
      <c r="AR79" s="73"/>
      <c r="AS79" s="80"/>
      <c r="AT79" s="188">
        <f t="shared" si="17"/>
        <v>7.6</v>
      </c>
      <c r="AU79" s="229">
        <f t="shared" si="16"/>
        <v>184</v>
      </c>
      <c r="AV79" s="168"/>
      <c r="AW79" s="168"/>
      <c r="AX79" s="168"/>
      <c r="AY79" s="168"/>
      <c r="AZ79" s="168"/>
      <c r="BA79" s="168"/>
      <c r="BB79" s="168"/>
      <c r="BC79" s="168"/>
      <c r="BD79" s="340"/>
      <c r="BE79" s="182"/>
      <c r="BF79" s="336"/>
      <c r="BG79" s="213">
        <v>39261</v>
      </c>
      <c r="BH79" s="182">
        <f t="shared" si="14"/>
        <v>179</v>
      </c>
      <c r="BI79" s="336">
        <v>8</v>
      </c>
      <c r="BJ79" s="213"/>
      <c r="BK79" s="182"/>
      <c r="BL79" s="336"/>
      <c r="BM79" s="213"/>
      <c r="BN79" s="182"/>
      <c r="BO79" s="336"/>
      <c r="BP79" s="213"/>
      <c r="BQ79" s="182"/>
      <c r="BR79" s="336"/>
      <c r="BS79" s="213"/>
      <c r="BT79" s="182"/>
      <c r="BU79" s="336"/>
      <c r="BV79" s="182"/>
      <c r="BW79" s="182"/>
      <c r="BX79" s="182"/>
    </row>
    <row r="80" spans="1:76">
      <c r="A80" s="16" t="s">
        <v>32</v>
      </c>
      <c r="B80" s="131"/>
      <c r="C80" s="83"/>
      <c r="D80" s="69"/>
      <c r="E80" s="68"/>
      <c r="F80" s="68"/>
      <c r="G80" s="68"/>
      <c r="H80" s="68"/>
      <c r="I80" s="70"/>
      <c r="J80" s="71"/>
      <c r="K80" s="84"/>
      <c r="L80" s="83"/>
      <c r="M80" s="83"/>
      <c r="N80" s="83"/>
      <c r="O80" s="83"/>
      <c r="P80" s="70"/>
      <c r="Q80" s="71"/>
      <c r="R80" s="84"/>
      <c r="S80" s="83"/>
      <c r="T80" s="83"/>
      <c r="U80" s="83"/>
      <c r="V80" s="83"/>
      <c r="W80" s="70"/>
      <c r="X80" s="71"/>
      <c r="Y80" s="69"/>
      <c r="Z80" s="68"/>
      <c r="AA80" s="68"/>
      <c r="AB80" s="68"/>
      <c r="AC80" s="68"/>
      <c r="AD80" s="70"/>
      <c r="AE80" s="71"/>
      <c r="AF80" s="84"/>
      <c r="AG80" s="83"/>
      <c r="AH80" s="83"/>
      <c r="AI80" s="83"/>
      <c r="AJ80" s="83"/>
      <c r="AK80" s="70"/>
      <c r="AL80" s="71"/>
      <c r="AM80" s="72"/>
      <c r="AN80" s="70"/>
      <c r="AO80" s="70"/>
      <c r="AP80" s="70"/>
      <c r="AQ80" s="70"/>
      <c r="AR80" s="73"/>
      <c r="AS80" s="80"/>
      <c r="AT80" s="188">
        <f t="shared" si="17"/>
        <v>7.6</v>
      </c>
      <c r="AU80" s="229">
        <f t="shared" si="16"/>
        <v>184</v>
      </c>
      <c r="AV80" s="168"/>
      <c r="AW80" s="168"/>
      <c r="AX80" s="168"/>
      <c r="AY80" s="168"/>
      <c r="AZ80" s="168"/>
      <c r="BA80" s="168"/>
      <c r="BB80" s="168"/>
      <c r="BC80" s="168"/>
      <c r="BD80" s="340"/>
      <c r="BE80" s="182"/>
      <c r="BF80" s="336"/>
      <c r="BG80" s="213"/>
      <c r="BH80" s="182"/>
      <c r="BI80" s="336"/>
      <c r="BJ80" s="213"/>
      <c r="BK80" s="182"/>
      <c r="BL80" s="336"/>
      <c r="BM80" s="213"/>
      <c r="BN80" s="182"/>
      <c r="BO80" s="336"/>
      <c r="BP80" s="213"/>
      <c r="BQ80" s="182"/>
      <c r="BR80" s="336"/>
      <c r="BS80" s="213"/>
      <c r="BT80" s="182"/>
      <c r="BU80" s="336"/>
      <c r="BV80" s="182"/>
      <c r="BW80" s="182"/>
      <c r="BX80" s="182"/>
    </row>
    <row r="81" spans="1:76">
      <c r="A81" s="16" t="s">
        <v>32</v>
      </c>
      <c r="B81" s="131"/>
      <c r="C81" s="68"/>
      <c r="D81" s="69"/>
      <c r="E81" s="68"/>
      <c r="F81" s="68"/>
      <c r="G81" s="68"/>
      <c r="H81" s="68"/>
      <c r="I81" s="70"/>
      <c r="J81" s="71"/>
      <c r="K81" s="69"/>
      <c r="L81" s="68"/>
      <c r="M81" s="68"/>
      <c r="N81" s="68"/>
      <c r="O81" s="68"/>
      <c r="P81" s="70"/>
      <c r="Q81" s="71"/>
      <c r="R81" s="69"/>
      <c r="S81" s="68"/>
      <c r="T81" s="68"/>
      <c r="U81" s="68"/>
      <c r="V81" s="68"/>
      <c r="W81" s="70"/>
      <c r="X81" s="71"/>
      <c r="Y81" s="69"/>
      <c r="Z81" s="68"/>
      <c r="AA81" s="68"/>
      <c r="AB81" s="68"/>
      <c r="AC81" s="68"/>
      <c r="AD81" s="70"/>
      <c r="AE81" s="71"/>
      <c r="AF81" s="69"/>
      <c r="AG81" s="68"/>
      <c r="AH81" s="68"/>
      <c r="AI81" s="68"/>
      <c r="AJ81" s="68"/>
      <c r="AK81" s="70"/>
      <c r="AL81" s="71"/>
      <c r="AM81" s="72"/>
      <c r="AN81" s="70"/>
      <c r="AO81" s="70"/>
      <c r="AP81" s="70"/>
      <c r="AQ81" s="70"/>
      <c r="AR81" s="73"/>
      <c r="AS81" s="80"/>
      <c r="AT81" s="188">
        <f t="shared" si="17"/>
        <v>7.6</v>
      </c>
      <c r="AU81" s="229">
        <f t="shared" si="16"/>
        <v>184</v>
      </c>
      <c r="AV81" s="168"/>
      <c r="AW81" s="168"/>
      <c r="AX81" s="168"/>
      <c r="AY81" s="168"/>
      <c r="AZ81" s="168"/>
      <c r="BA81" s="168"/>
      <c r="BB81" s="168"/>
      <c r="BC81" s="168"/>
      <c r="BD81" s="340"/>
      <c r="BE81" s="182"/>
      <c r="BF81" s="336"/>
      <c r="BG81" s="213"/>
      <c r="BH81" s="182"/>
      <c r="BI81" s="336"/>
      <c r="BJ81" s="213"/>
      <c r="BK81" s="182"/>
      <c r="BL81" s="336"/>
      <c r="BM81" s="213"/>
      <c r="BN81" s="182"/>
      <c r="BO81" s="336"/>
      <c r="BP81" s="213"/>
      <c r="BQ81" s="182"/>
      <c r="BR81" s="336"/>
      <c r="BS81" s="213"/>
      <c r="BT81" s="182"/>
      <c r="BU81" s="336"/>
      <c r="BV81" s="182"/>
      <c r="BW81" s="182"/>
      <c r="BX81" s="182"/>
    </row>
    <row r="82" spans="1:76">
      <c r="A82" s="16" t="s">
        <v>32</v>
      </c>
      <c r="B82" s="131"/>
      <c r="C82" s="68"/>
      <c r="D82" s="69"/>
      <c r="E82" s="68"/>
      <c r="F82" s="68"/>
      <c r="G82" s="68"/>
      <c r="H82" s="68"/>
      <c r="I82" s="70"/>
      <c r="J82" s="71"/>
      <c r="K82" s="69"/>
      <c r="L82" s="68"/>
      <c r="M82" s="68"/>
      <c r="N82" s="68"/>
      <c r="O82" s="68"/>
      <c r="P82" s="70"/>
      <c r="Q82" s="71"/>
      <c r="R82" s="69"/>
      <c r="S82" s="68"/>
      <c r="T82" s="68"/>
      <c r="U82" s="68"/>
      <c r="V82" s="68"/>
      <c r="W82" s="70"/>
      <c r="X82" s="71"/>
      <c r="Y82" s="69"/>
      <c r="Z82" s="68"/>
      <c r="AA82" s="68"/>
      <c r="AB82" s="68"/>
      <c r="AC82" s="68"/>
      <c r="AD82" s="70"/>
      <c r="AE82" s="71"/>
      <c r="AF82" s="69"/>
      <c r="AG82" s="68"/>
      <c r="AH82" s="68"/>
      <c r="AI82" s="68"/>
      <c r="AJ82" s="68"/>
      <c r="AK82" s="70"/>
      <c r="AL82" s="71"/>
      <c r="AM82" s="72"/>
      <c r="AN82" s="70"/>
      <c r="AO82" s="70"/>
      <c r="AP82" s="70"/>
      <c r="AQ82" s="70"/>
      <c r="AR82" s="73"/>
      <c r="AS82" s="80"/>
      <c r="AT82" s="188">
        <f t="shared" si="17"/>
        <v>7.6</v>
      </c>
      <c r="AU82" s="229">
        <f t="shared" si="16"/>
        <v>184</v>
      </c>
      <c r="AV82" s="168"/>
      <c r="AW82" s="168"/>
      <c r="AX82" s="168"/>
      <c r="AY82" s="168"/>
      <c r="AZ82" s="168"/>
      <c r="BA82" s="168"/>
      <c r="BB82" s="168"/>
      <c r="BC82" s="168"/>
      <c r="BD82" s="340"/>
      <c r="BE82" s="182"/>
      <c r="BF82" s="336"/>
      <c r="BG82" s="213"/>
      <c r="BH82" s="182"/>
      <c r="BI82" s="336"/>
      <c r="BJ82" s="213"/>
      <c r="BK82" s="182"/>
      <c r="BL82" s="336"/>
      <c r="BM82" s="213"/>
      <c r="BN82" s="182"/>
      <c r="BO82" s="336"/>
      <c r="BP82" s="213"/>
      <c r="BQ82" s="182"/>
      <c r="BR82" s="336"/>
      <c r="BS82" s="213"/>
      <c r="BT82" s="182"/>
      <c r="BU82" s="336"/>
      <c r="BV82" s="182"/>
      <c r="BW82" s="182"/>
      <c r="BX82" s="182"/>
    </row>
    <row r="83" spans="1:76">
      <c r="A83" s="16" t="s">
        <v>32</v>
      </c>
      <c r="B83" s="131"/>
      <c r="C83" s="68"/>
      <c r="D83" s="69"/>
      <c r="E83" s="68"/>
      <c r="F83" s="68"/>
      <c r="G83" s="68"/>
      <c r="H83" s="68"/>
      <c r="I83" s="70"/>
      <c r="J83" s="71"/>
      <c r="K83" s="69"/>
      <c r="L83" s="68"/>
      <c r="M83" s="68"/>
      <c r="N83" s="68"/>
      <c r="O83" s="68"/>
      <c r="P83" s="70"/>
      <c r="Q83" s="71"/>
      <c r="R83" s="69"/>
      <c r="S83" s="68"/>
      <c r="T83" s="68"/>
      <c r="U83" s="68"/>
      <c r="V83" s="68"/>
      <c r="W83" s="70"/>
      <c r="X83" s="71"/>
      <c r="Y83" s="69"/>
      <c r="Z83" s="68"/>
      <c r="AA83" s="68"/>
      <c r="AB83" s="68"/>
      <c r="AC83" s="68"/>
      <c r="AD83" s="70"/>
      <c r="AE83" s="71"/>
      <c r="AF83" s="69"/>
      <c r="AG83" s="68"/>
      <c r="AH83" s="68"/>
      <c r="AI83" s="68"/>
      <c r="AJ83" s="68"/>
      <c r="AK83" s="70"/>
      <c r="AL83" s="71"/>
      <c r="AM83" s="72"/>
      <c r="AN83" s="70"/>
      <c r="AO83" s="70"/>
      <c r="AP83" s="70"/>
      <c r="AQ83" s="70"/>
      <c r="AR83" s="73"/>
      <c r="AS83" s="80"/>
      <c r="AT83" s="188">
        <f t="shared" si="17"/>
        <v>7.6</v>
      </c>
      <c r="AU83" s="229">
        <f t="shared" si="16"/>
        <v>184</v>
      </c>
      <c r="AV83" s="168"/>
      <c r="AW83" s="168"/>
      <c r="AX83" s="168"/>
      <c r="AY83" s="168"/>
      <c r="AZ83" s="168"/>
      <c r="BA83" s="168"/>
      <c r="BB83" s="168"/>
      <c r="BC83" s="168"/>
      <c r="BD83" s="340"/>
      <c r="BE83" s="182"/>
      <c r="BF83" s="336"/>
      <c r="BG83" s="213"/>
      <c r="BH83" s="182"/>
      <c r="BI83" s="336"/>
      <c r="BJ83" s="213"/>
      <c r="BK83" s="182"/>
      <c r="BL83" s="336"/>
      <c r="BM83" s="213"/>
      <c r="BN83" s="182"/>
      <c r="BO83" s="336"/>
      <c r="BP83" s="213"/>
      <c r="BQ83" s="182"/>
      <c r="BR83" s="336"/>
      <c r="BS83" s="213"/>
      <c r="BT83" s="182"/>
      <c r="BU83" s="336"/>
      <c r="BV83" s="182"/>
      <c r="BW83" s="182"/>
      <c r="BX83" s="182"/>
    </row>
    <row r="84" spans="1:76">
      <c r="A84" s="16" t="s">
        <v>32</v>
      </c>
      <c r="B84" s="131"/>
      <c r="C84" s="68"/>
      <c r="D84" s="69"/>
      <c r="E84" s="68"/>
      <c r="F84" s="68"/>
      <c r="G84" s="68"/>
      <c r="H84" s="68"/>
      <c r="I84" s="70"/>
      <c r="J84" s="71"/>
      <c r="K84" s="69"/>
      <c r="L84" s="68"/>
      <c r="M84" s="68"/>
      <c r="N84" s="68"/>
      <c r="O84" s="68"/>
      <c r="P84" s="70"/>
      <c r="Q84" s="71"/>
      <c r="R84" s="69"/>
      <c r="S84" s="68"/>
      <c r="T84" s="68"/>
      <c r="U84" s="68"/>
      <c r="V84" s="68"/>
      <c r="W84" s="70"/>
      <c r="X84" s="71"/>
      <c r="Y84" s="69"/>
      <c r="Z84" s="68"/>
      <c r="AA84" s="68"/>
      <c r="AB84" s="68"/>
      <c r="AC84" s="68"/>
      <c r="AD84" s="70"/>
      <c r="AE84" s="71"/>
      <c r="AF84" s="69"/>
      <c r="AG84" s="68"/>
      <c r="AH84" s="68"/>
      <c r="AI84" s="68"/>
      <c r="AJ84" s="68"/>
      <c r="AK84" s="70"/>
      <c r="AL84" s="71"/>
      <c r="AM84" s="72"/>
      <c r="AN84" s="70"/>
      <c r="AO84" s="70"/>
      <c r="AP84" s="70"/>
      <c r="AQ84" s="70"/>
      <c r="AR84" s="73"/>
      <c r="AS84" s="80"/>
      <c r="AT84" s="188">
        <f t="shared" si="17"/>
        <v>7.6</v>
      </c>
      <c r="AU84" s="229">
        <f t="shared" si="16"/>
        <v>184</v>
      </c>
      <c r="AV84" s="168"/>
      <c r="AW84" s="168"/>
      <c r="AX84" s="168"/>
      <c r="AY84" s="168"/>
      <c r="AZ84" s="168"/>
      <c r="BA84" s="168"/>
      <c r="BB84" s="168"/>
      <c r="BC84" s="168"/>
      <c r="BD84" s="340"/>
      <c r="BE84" s="182"/>
      <c r="BF84" s="336"/>
      <c r="BG84" s="213"/>
      <c r="BH84" s="182"/>
      <c r="BI84" s="336"/>
      <c r="BJ84" s="213"/>
      <c r="BK84" s="182"/>
      <c r="BL84" s="336"/>
      <c r="BM84" s="213"/>
      <c r="BN84" s="182"/>
      <c r="BO84" s="336"/>
      <c r="BP84" s="213"/>
      <c r="BQ84" s="182"/>
      <c r="BR84" s="336"/>
      <c r="BS84" s="213"/>
      <c r="BT84" s="182"/>
      <c r="BU84" s="336"/>
      <c r="BV84" s="182"/>
      <c r="BW84" s="182"/>
      <c r="BX84" s="182"/>
    </row>
    <row r="85" spans="1:76">
      <c r="A85" s="16" t="s">
        <v>32</v>
      </c>
      <c r="B85" s="131"/>
      <c r="C85" s="68"/>
      <c r="D85" s="69"/>
      <c r="E85" s="68"/>
      <c r="F85" s="68"/>
      <c r="G85" s="68"/>
      <c r="H85" s="68"/>
      <c r="I85" s="70"/>
      <c r="J85" s="71"/>
      <c r="K85" s="69"/>
      <c r="L85" s="68"/>
      <c r="M85" s="68"/>
      <c r="N85" s="68"/>
      <c r="O85" s="68"/>
      <c r="P85" s="70"/>
      <c r="Q85" s="71"/>
      <c r="R85" s="69"/>
      <c r="S85" s="68"/>
      <c r="T85" s="68"/>
      <c r="U85" s="68"/>
      <c r="V85" s="68"/>
      <c r="W85" s="70"/>
      <c r="X85" s="71"/>
      <c r="Y85" s="69"/>
      <c r="Z85" s="68"/>
      <c r="AA85" s="68"/>
      <c r="AB85" s="68"/>
      <c r="AC85" s="68"/>
      <c r="AD85" s="70"/>
      <c r="AE85" s="71"/>
      <c r="AF85" s="69"/>
      <c r="AG85" s="68"/>
      <c r="AH85" s="68"/>
      <c r="AI85" s="68"/>
      <c r="AJ85" s="68"/>
      <c r="AK85" s="70"/>
      <c r="AL85" s="71"/>
      <c r="AM85" s="72"/>
      <c r="AN85" s="70"/>
      <c r="AO85" s="70"/>
      <c r="AP85" s="70"/>
      <c r="AQ85" s="70"/>
      <c r="AR85" s="73"/>
      <c r="AS85" s="80"/>
      <c r="AT85" s="188">
        <f t="shared" si="17"/>
        <v>7.6</v>
      </c>
      <c r="AU85" s="229">
        <f t="shared" si="16"/>
        <v>184</v>
      </c>
      <c r="AV85" s="168"/>
      <c r="AW85" s="168"/>
      <c r="AX85" s="168"/>
      <c r="AY85" s="168"/>
      <c r="AZ85" s="168"/>
      <c r="BA85" s="168"/>
      <c r="BB85" s="168"/>
      <c r="BC85" s="168"/>
      <c r="BD85" s="340"/>
      <c r="BE85" s="182"/>
      <c r="BF85" s="336"/>
      <c r="BG85" s="213"/>
      <c r="BH85" s="182"/>
      <c r="BI85" s="336"/>
      <c r="BJ85" s="213"/>
      <c r="BK85" s="182"/>
      <c r="BL85" s="336"/>
      <c r="BM85" s="213"/>
      <c r="BN85" s="182"/>
      <c r="BO85" s="336"/>
      <c r="BP85" s="213"/>
      <c r="BQ85" s="182"/>
      <c r="BR85" s="336"/>
      <c r="BS85" s="213"/>
      <c r="BT85" s="182"/>
      <c r="BU85" s="336"/>
      <c r="BV85" s="182"/>
      <c r="BW85" s="182"/>
      <c r="BX85" s="182"/>
    </row>
    <row r="86" spans="1:76">
      <c r="A86" s="16" t="s">
        <v>32</v>
      </c>
      <c r="B86" s="131"/>
      <c r="C86" s="68"/>
      <c r="D86" s="69"/>
      <c r="E86" s="68"/>
      <c r="F86" s="68"/>
      <c r="G86" s="68"/>
      <c r="H86" s="68"/>
      <c r="I86" s="70"/>
      <c r="J86" s="71"/>
      <c r="K86" s="69"/>
      <c r="L86" s="68"/>
      <c r="M86" s="68"/>
      <c r="N86" s="68"/>
      <c r="O86" s="68"/>
      <c r="P86" s="70"/>
      <c r="Q86" s="71"/>
      <c r="R86" s="69"/>
      <c r="S86" s="68"/>
      <c r="T86" s="68"/>
      <c r="U86" s="68"/>
      <c r="V86" s="68"/>
      <c r="W86" s="70"/>
      <c r="X86" s="71"/>
      <c r="Y86" s="69"/>
      <c r="Z86" s="68"/>
      <c r="AA86" s="68"/>
      <c r="AB86" s="68"/>
      <c r="AC86" s="68"/>
      <c r="AD86" s="70"/>
      <c r="AE86" s="71"/>
      <c r="AF86" s="69"/>
      <c r="AG86" s="68"/>
      <c r="AH86" s="68"/>
      <c r="AI86" s="68"/>
      <c r="AJ86" s="68"/>
      <c r="AK86" s="70"/>
      <c r="AL86" s="71"/>
      <c r="AM86" s="72"/>
      <c r="AN86" s="70"/>
      <c r="AO86" s="70"/>
      <c r="AP86" s="70"/>
      <c r="AQ86" s="70"/>
      <c r="AR86" s="73"/>
      <c r="AS86" s="80"/>
      <c r="AT86" s="188">
        <f t="shared" si="17"/>
        <v>7.6</v>
      </c>
      <c r="AU86" s="229">
        <f t="shared" si="16"/>
        <v>184</v>
      </c>
      <c r="AV86" s="168"/>
      <c r="AW86" s="168"/>
      <c r="AX86" s="168"/>
      <c r="AY86" s="168"/>
      <c r="AZ86" s="168"/>
      <c r="BA86" s="168"/>
      <c r="BB86" s="168"/>
      <c r="BC86" s="168"/>
      <c r="BD86" s="340"/>
      <c r="BE86" s="182"/>
      <c r="BF86" s="336"/>
      <c r="BG86" s="213"/>
      <c r="BH86" s="182"/>
      <c r="BI86" s="336"/>
      <c r="BJ86" s="213"/>
      <c r="BK86" s="182"/>
      <c r="BL86" s="336"/>
      <c r="BM86" s="213"/>
      <c r="BN86" s="182"/>
      <c r="BO86" s="336"/>
      <c r="BP86" s="213"/>
      <c r="BQ86" s="182"/>
      <c r="BR86" s="336"/>
      <c r="BS86" s="213"/>
      <c r="BT86" s="182"/>
      <c r="BU86" s="336"/>
      <c r="BV86" s="182"/>
      <c r="BW86" s="182"/>
      <c r="BX86" s="182"/>
    </row>
    <row r="87" spans="1:76">
      <c r="A87" s="16" t="s">
        <v>32</v>
      </c>
      <c r="B87" s="131"/>
      <c r="C87" s="68"/>
      <c r="D87" s="69"/>
      <c r="E87" s="68"/>
      <c r="F87" s="68"/>
      <c r="G87" s="68"/>
      <c r="H87" s="68"/>
      <c r="I87" s="70"/>
      <c r="J87" s="71"/>
      <c r="K87" s="69"/>
      <c r="L87" s="68"/>
      <c r="M87" s="68"/>
      <c r="N87" s="68"/>
      <c r="O87" s="68"/>
      <c r="P87" s="70"/>
      <c r="Q87" s="71"/>
      <c r="R87" s="69"/>
      <c r="S87" s="68"/>
      <c r="T87" s="68"/>
      <c r="U87" s="68"/>
      <c r="V87" s="68"/>
      <c r="W87" s="70"/>
      <c r="X87" s="71"/>
      <c r="Y87" s="69"/>
      <c r="Z87" s="68"/>
      <c r="AA87" s="68"/>
      <c r="AB87" s="68"/>
      <c r="AC87" s="68"/>
      <c r="AD87" s="70"/>
      <c r="AE87" s="71"/>
      <c r="AF87" s="69"/>
      <c r="AG87" s="68"/>
      <c r="AH87" s="68"/>
      <c r="AI87" s="68"/>
      <c r="AJ87" s="68"/>
      <c r="AK87" s="70"/>
      <c r="AL87" s="71"/>
      <c r="AM87" s="72"/>
      <c r="AN87" s="70"/>
      <c r="AO87" s="70"/>
      <c r="AP87" s="70"/>
      <c r="AQ87" s="70"/>
      <c r="AR87" s="73"/>
      <c r="AS87" s="80"/>
      <c r="AT87" s="188">
        <f t="shared" si="17"/>
        <v>7.6</v>
      </c>
      <c r="AU87" s="229">
        <f t="shared" si="16"/>
        <v>184</v>
      </c>
      <c r="AV87" s="168"/>
      <c r="AW87" s="168"/>
      <c r="AX87" s="168"/>
      <c r="AY87" s="168"/>
      <c r="AZ87" s="168"/>
      <c r="BA87" s="168"/>
      <c r="BB87" s="168"/>
      <c r="BC87" s="168"/>
      <c r="BD87" s="340"/>
      <c r="BE87" s="182"/>
      <c r="BF87" s="336"/>
      <c r="BG87" s="213"/>
      <c r="BH87" s="182"/>
      <c r="BI87" s="336"/>
      <c r="BJ87" s="213"/>
      <c r="BK87" s="182"/>
      <c r="BL87" s="336"/>
      <c r="BM87" s="213"/>
      <c r="BN87" s="182"/>
      <c r="BO87" s="336"/>
      <c r="BP87" s="213"/>
      <c r="BQ87" s="182"/>
      <c r="BR87" s="336"/>
      <c r="BS87" s="213"/>
      <c r="BT87" s="182"/>
      <c r="BU87" s="336"/>
      <c r="BV87" s="182"/>
      <c r="BW87" s="182"/>
      <c r="BX87" s="182"/>
    </row>
    <row r="88" spans="1:76">
      <c r="A88" s="16" t="s">
        <v>32</v>
      </c>
      <c r="B88" s="131"/>
      <c r="C88" s="68"/>
      <c r="D88" s="69"/>
      <c r="E88" s="68"/>
      <c r="F88" s="68"/>
      <c r="G88" s="68"/>
      <c r="H88" s="68"/>
      <c r="I88" s="70"/>
      <c r="J88" s="71"/>
      <c r="K88" s="69"/>
      <c r="L88" s="68"/>
      <c r="M88" s="68"/>
      <c r="N88" s="68"/>
      <c r="O88" s="68"/>
      <c r="P88" s="70"/>
      <c r="Q88" s="71"/>
      <c r="R88" s="69"/>
      <c r="S88" s="68"/>
      <c r="T88" s="68"/>
      <c r="U88" s="68"/>
      <c r="V88" s="68"/>
      <c r="W88" s="70"/>
      <c r="X88" s="71"/>
      <c r="Y88" s="69"/>
      <c r="Z88" s="68"/>
      <c r="AA88" s="68"/>
      <c r="AB88" s="68"/>
      <c r="AC88" s="68"/>
      <c r="AD88" s="70"/>
      <c r="AE88" s="71"/>
      <c r="AF88" s="69"/>
      <c r="AG88" s="68"/>
      <c r="AH88" s="68"/>
      <c r="AI88" s="68"/>
      <c r="AJ88" s="68"/>
      <c r="AK88" s="70"/>
      <c r="AL88" s="71"/>
      <c r="AM88" s="72"/>
      <c r="AN88" s="70"/>
      <c r="AO88" s="70"/>
      <c r="AP88" s="70"/>
      <c r="AQ88" s="70"/>
      <c r="AR88" s="73"/>
      <c r="AS88" s="80"/>
      <c r="AT88" s="188">
        <f t="shared" si="17"/>
        <v>7.6</v>
      </c>
      <c r="AU88" s="229">
        <f t="shared" si="16"/>
        <v>184</v>
      </c>
      <c r="AV88" s="168"/>
      <c r="AW88" s="168"/>
      <c r="AX88" s="168"/>
      <c r="AY88" s="168"/>
      <c r="AZ88" s="168"/>
      <c r="BA88" s="168"/>
      <c r="BB88" s="168"/>
      <c r="BC88" s="168"/>
      <c r="BD88" s="340"/>
      <c r="BE88" s="182"/>
      <c r="BF88" s="336"/>
      <c r="BG88" s="213"/>
      <c r="BH88" s="182"/>
      <c r="BI88" s="336"/>
      <c r="BJ88" s="213"/>
      <c r="BK88" s="182"/>
      <c r="BL88" s="336"/>
      <c r="BM88" s="213"/>
      <c r="BN88" s="182"/>
      <c r="BO88" s="336"/>
      <c r="BP88" s="213"/>
      <c r="BQ88" s="182"/>
      <c r="BR88" s="336"/>
      <c r="BS88" s="213"/>
      <c r="BT88" s="182"/>
      <c r="BU88" s="336"/>
      <c r="BV88" s="182"/>
      <c r="BW88" s="182"/>
      <c r="BX88" s="182"/>
    </row>
    <row r="89" spans="1:76">
      <c r="A89" s="16" t="s">
        <v>32</v>
      </c>
      <c r="B89" s="131"/>
      <c r="C89" s="68"/>
      <c r="D89" s="69"/>
      <c r="E89" s="68"/>
      <c r="F89" s="68"/>
      <c r="G89" s="68"/>
      <c r="H89" s="68"/>
      <c r="I89" s="70"/>
      <c r="J89" s="71"/>
      <c r="K89" s="69"/>
      <c r="L89" s="68"/>
      <c r="M89" s="68"/>
      <c r="N89" s="68"/>
      <c r="O89" s="68"/>
      <c r="P89" s="70"/>
      <c r="Q89" s="71"/>
      <c r="R89" s="69"/>
      <c r="S89" s="68"/>
      <c r="T89" s="68"/>
      <c r="U89" s="68"/>
      <c r="V89" s="68"/>
      <c r="W89" s="70"/>
      <c r="X89" s="71"/>
      <c r="Y89" s="69"/>
      <c r="Z89" s="68"/>
      <c r="AA89" s="68"/>
      <c r="AB89" s="68"/>
      <c r="AC89" s="68"/>
      <c r="AD89" s="70"/>
      <c r="AE89" s="71"/>
      <c r="AF89" s="69"/>
      <c r="AG89" s="68"/>
      <c r="AH89" s="68"/>
      <c r="AI89" s="68"/>
      <c r="AJ89" s="68"/>
      <c r="AK89" s="70"/>
      <c r="AL89" s="71"/>
      <c r="AM89" s="72"/>
      <c r="AN89" s="70"/>
      <c r="AO89" s="70"/>
      <c r="AP89" s="70"/>
      <c r="AQ89" s="70"/>
      <c r="AR89" s="73"/>
      <c r="AS89" s="80"/>
      <c r="AT89" s="188">
        <f t="shared" si="17"/>
        <v>7.6</v>
      </c>
      <c r="AU89" s="229">
        <f t="shared" si="16"/>
        <v>184</v>
      </c>
      <c r="AV89" s="168"/>
      <c r="AW89" s="168"/>
      <c r="AX89" s="168"/>
      <c r="AY89" s="168"/>
      <c r="AZ89" s="168"/>
      <c r="BA89" s="168"/>
      <c r="BB89" s="168"/>
      <c r="BC89" s="168"/>
      <c r="BD89" s="340"/>
      <c r="BE89" s="182"/>
      <c r="BF89" s="336"/>
      <c r="BG89" s="213"/>
      <c r="BH89" s="182"/>
      <c r="BI89" s="336"/>
      <c r="BJ89" s="213"/>
      <c r="BK89" s="182"/>
      <c r="BL89" s="336"/>
      <c r="BM89" s="213"/>
      <c r="BN89" s="182"/>
      <c r="BO89" s="336"/>
      <c r="BP89" s="213"/>
      <c r="BQ89" s="182"/>
      <c r="BR89" s="336"/>
      <c r="BS89" s="213"/>
      <c r="BT89" s="182"/>
      <c r="BU89" s="336"/>
      <c r="BV89" s="182"/>
      <c r="BW89" s="182"/>
      <c r="BX89" s="182"/>
    </row>
    <row r="90" spans="1:76">
      <c r="A90" s="16" t="s">
        <v>32</v>
      </c>
      <c r="B90" s="131"/>
      <c r="C90" s="68"/>
      <c r="D90" s="69"/>
      <c r="E90" s="68"/>
      <c r="F90" s="68"/>
      <c r="G90" s="68"/>
      <c r="H90" s="68"/>
      <c r="I90" s="70"/>
      <c r="J90" s="71"/>
      <c r="K90" s="69"/>
      <c r="L90" s="68"/>
      <c r="M90" s="68"/>
      <c r="N90" s="68"/>
      <c r="O90" s="68"/>
      <c r="P90" s="70"/>
      <c r="Q90" s="71"/>
      <c r="R90" s="69"/>
      <c r="S90" s="68"/>
      <c r="T90" s="68"/>
      <c r="U90" s="68"/>
      <c r="V90" s="68"/>
      <c r="W90" s="70"/>
      <c r="X90" s="71"/>
      <c r="Y90" s="69"/>
      <c r="Z90" s="68"/>
      <c r="AA90" s="68"/>
      <c r="AB90" s="68"/>
      <c r="AC90" s="68"/>
      <c r="AD90" s="70"/>
      <c r="AE90" s="71"/>
      <c r="AF90" s="69"/>
      <c r="AG90" s="68"/>
      <c r="AH90" s="68"/>
      <c r="AI90" s="68"/>
      <c r="AJ90" s="68"/>
      <c r="AK90" s="70"/>
      <c r="AL90" s="71"/>
      <c r="AM90" s="72"/>
      <c r="AN90" s="70"/>
      <c r="AO90" s="70"/>
      <c r="AP90" s="70"/>
      <c r="AQ90" s="70"/>
      <c r="AR90" s="73"/>
      <c r="AS90" s="80"/>
      <c r="AT90" s="188">
        <f t="shared" si="17"/>
        <v>7.6</v>
      </c>
      <c r="AU90" s="229">
        <f t="shared" si="16"/>
        <v>184</v>
      </c>
      <c r="AV90" s="168"/>
      <c r="AW90" s="168"/>
      <c r="AX90" s="168"/>
      <c r="AY90" s="168"/>
      <c r="AZ90" s="168"/>
      <c r="BA90" s="168"/>
      <c r="BB90" s="168"/>
      <c r="BC90" s="168"/>
      <c r="BD90" s="340"/>
      <c r="BE90" s="182"/>
      <c r="BF90" s="336"/>
      <c r="BG90" s="213"/>
      <c r="BH90" s="182"/>
      <c r="BI90" s="336"/>
      <c r="BJ90" s="213"/>
      <c r="BK90" s="182"/>
      <c r="BL90" s="336"/>
      <c r="BM90" s="213"/>
      <c r="BN90" s="182"/>
      <c r="BO90" s="336"/>
      <c r="BP90" s="213"/>
      <c r="BQ90" s="182"/>
      <c r="BR90" s="336"/>
      <c r="BS90" s="213"/>
      <c r="BT90" s="182"/>
      <c r="BU90" s="336"/>
      <c r="BV90" s="182"/>
      <c r="BW90" s="182"/>
      <c r="BX90" s="182"/>
    </row>
    <row r="91" spans="1:76">
      <c r="A91" s="16" t="s">
        <v>32</v>
      </c>
      <c r="B91" s="131"/>
      <c r="C91" s="68"/>
      <c r="D91" s="69"/>
      <c r="E91" s="68"/>
      <c r="F91" s="68"/>
      <c r="G91" s="68"/>
      <c r="H91" s="68"/>
      <c r="I91" s="70"/>
      <c r="J91" s="71"/>
      <c r="K91" s="69"/>
      <c r="L91" s="68"/>
      <c r="M91" s="68"/>
      <c r="N91" s="68"/>
      <c r="O91" s="68"/>
      <c r="P91" s="70"/>
      <c r="Q91" s="71"/>
      <c r="R91" s="69"/>
      <c r="S91" s="68"/>
      <c r="T91" s="68"/>
      <c r="U91" s="68"/>
      <c r="V91" s="68"/>
      <c r="W91" s="70"/>
      <c r="X91" s="71"/>
      <c r="Y91" s="69"/>
      <c r="Z91" s="68"/>
      <c r="AA91" s="68"/>
      <c r="AB91" s="68"/>
      <c r="AC91" s="68"/>
      <c r="AD91" s="70"/>
      <c r="AE91" s="71"/>
      <c r="AF91" s="69"/>
      <c r="AG91" s="68"/>
      <c r="AH91" s="68"/>
      <c r="AI91" s="68"/>
      <c r="AJ91" s="68"/>
      <c r="AK91" s="70"/>
      <c r="AL91" s="71"/>
      <c r="AM91" s="72"/>
      <c r="AN91" s="70"/>
      <c r="AO91" s="70"/>
      <c r="AP91" s="70"/>
      <c r="AQ91" s="70"/>
      <c r="AR91" s="73"/>
      <c r="AS91" s="80"/>
      <c r="AT91" s="188">
        <f t="shared" si="17"/>
        <v>7.6</v>
      </c>
      <c r="AU91" s="229">
        <f t="shared" si="16"/>
        <v>184</v>
      </c>
      <c r="AV91" s="168"/>
      <c r="AW91" s="168"/>
      <c r="AX91" s="168"/>
      <c r="AY91" s="168"/>
      <c r="AZ91" s="168"/>
      <c r="BA91" s="168"/>
      <c r="BB91" s="168"/>
      <c r="BC91" s="168"/>
      <c r="BD91" s="340"/>
      <c r="BE91" s="182"/>
      <c r="BF91" s="336"/>
      <c r="BG91" s="213"/>
      <c r="BH91" s="182"/>
      <c r="BI91" s="336"/>
      <c r="BJ91" s="213"/>
      <c r="BK91" s="182"/>
      <c r="BL91" s="336"/>
      <c r="BM91" s="213"/>
      <c r="BN91" s="182"/>
      <c r="BO91" s="336"/>
      <c r="BP91" s="213"/>
      <c r="BQ91" s="182"/>
      <c r="BR91" s="336"/>
      <c r="BS91" s="213"/>
      <c r="BT91" s="182"/>
      <c r="BU91" s="336"/>
      <c r="BV91" s="182"/>
      <c r="BW91" s="182"/>
      <c r="BX91" s="182"/>
    </row>
    <row r="92" spans="1:76">
      <c r="A92" s="16" t="s">
        <v>32</v>
      </c>
      <c r="B92" s="131"/>
      <c r="C92" s="68"/>
      <c r="D92" s="69"/>
      <c r="E92" s="68"/>
      <c r="F92" s="68"/>
      <c r="G92" s="68"/>
      <c r="H92" s="68"/>
      <c r="I92" s="70"/>
      <c r="J92" s="71"/>
      <c r="K92" s="69"/>
      <c r="L92" s="68"/>
      <c r="M92" s="68"/>
      <c r="N92" s="68"/>
      <c r="O92" s="68"/>
      <c r="P92" s="70"/>
      <c r="Q92" s="71"/>
      <c r="R92" s="69"/>
      <c r="S92" s="68"/>
      <c r="T92" s="68"/>
      <c r="U92" s="68"/>
      <c r="V92" s="68"/>
      <c r="W92" s="70"/>
      <c r="X92" s="71"/>
      <c r="Y92" s="69"/>
      <c r="Z92" s="68"/>
      <c r="AA92" s="68"/>
      <c r="AB92" s="68"/>
      <c r="AC92" s="68"/>
      <c r="AD92" s="70"/>
      <c r="AE92" s="71"/>
      <c r="AF92" s="69"/>
      <c r="AG92" s="68"/>
      <c r="AH92" s="68"/>
      <c r="AI92" s="68"/>
      <c r="AJ92" s="68"/>
      <c r="AK92" s="70"/>
      <c r="AL92" s="71"/>
      <c r="AM92" s="72"/>
      <c r="AN92" s="70"/>
      <c r="AO92" s="70"/>
      <c r="AP92" s="70"/>
      <c r="AQ92" s="70"/>
      <c r="AR92" s="73"/>
      <c r="AS92" s="80"/>
      <c r="AT92" s="188">
        <f t="shared" si="17"/>
        <v>7.6</v>
      </c>
      <c r="AU92" s="229">
        <f t="shared" si="16"/>
        <v>184</v>
      </c>
      <c r="AV92" s="168"/>
      <c r="AW92" s="168"/>
      <c r="AX92" s="168"/>
      <c r="AY92" s="168"/>
      <c r="AZ92" s="168"/>
      <c r="BA92" s="168"/>
      <c r="BB92" s="168"/>
      <c r="BC92" s="168"/>
      <c r="BD92" s="340"/>
      <c r="BE92" s="182"/>
      <c r="BF92" s="336"/>
      <c r="BG92" s="213"/>
      <c r="BH92" s="182"/>
      <c r="BI92" s="336"/>
      <c r="BJ92" s="213"/>
      <c r="BK92" s="182"/>
      <c r="BL92" s="336"/>
      <c r="BM92" s="213"/>
      <c r="BN92" s="182"/>
      <c r="BO92" s="336"/>
      <c r="BP92" s="213"/>
      <c r="BQ92" s="182"/>
      <c r="BR92" s="336"/>
      <c r="BS92" s="213"/>
      <c r="BT92" s="182"/>
      <c r="BU92" s="336"/>
      <c r="BV92" s="182"/>
      <c r="BW92" s="182"/>
      <c r="BX92" s="182"/>
    </row>
    <row r="93" spans="1:76">
      <c r="A93" s="16" t="s">
        <v>32</v>
      </c>
      <c r="B93" s="131"/>
      <c r="C93" s="68"/>
      <c r="D93" s="69"/>
      <c r="E93" s="68"/>
      <c r="F93" s="68"/>
      <c r="G93" s="68"/>
      <c r="H93" s="68"/>
      <c r="I93" s="70"/>
      <c r="J93" s="71"/>
      <c r="K93" s="69"/>
      <c r="L93" s="68"/>
      <c r="M93" s="68"/>
      <c r="N93" s="68"/>
      <c r="O93" s="68"/>
      <c r="P93" s="70"/>
      <c r="Q93" s="71"/>
      <c r="R93" s="69"/>
      <c r="S93" s="68"/>
      <c r="T93" s="68"/>
      <c r="U93" s="68"/>
      <c r="V93" s="68"/>
      <c r="W93" s="70"/>
      <c r="X93" s="71"/>
      <c r="Y93" s="69"/>
      <c r="Z93" s="68"/>
      <c r="AA93" s="68"/>
      <c r="AB93" s="68"/>
      <c r="AC93" s="68"/>
      <c r="AD93" s="70"/>
      <c r="AE93" s="71"/>
      <c r="AF93" s="69"/>
      <c r="AG93" s="68"/>
      <c r="AH93" s="68"/>
      <c r="AI93" s="68"/>
      <c r="AJ93" s="68"/>
      <c r="AK93" s="70"/>
      <c r="AL93" s="71"/>
      <c r="AM93" s="72"/>
      <c r="AN93" s="70"/>
      <c r="AO93" s="70"/>
      <c r="AP93" s="70"/>
      <c r="AQ93" s="70"/>
      <c r="AR93" s="73"/>
      <c r="AS93" s="80"/>
      <c r="AT93" s="188">
        <f t="shared" si="17"/>
        <v>7.6</v>
      </c>
      <c r="AU93" s="229">
        <f t="shared" si="16"/>
        <v>184</v>
      </c>
      <c r="AV93" s="168"/>
      <c r="AW93" s="168"/>
      <c r="AX93" s="168"/>
      <c r="AY93" s="168"/>
      <c r="AZ93" s="168"/>
      <c r="BA93" s="168"/>
      <c r="BB93" s="168"/>
      <c r="BC93" s="168"/>
      <c r="BD93" s="340"/>
      <c r="BE93" s="182"/>
      <c r="BF93" s="336"/>
      <c r="BG93" s="213"/>
      <c r="BH93" s="182"/>
      <c r="BI93" s="336"/>
      <c r="BJ93" s="213"/>
      <c r="BK93" s="182"/>
      <c r="BL93" s="336"/>
      <c r="BM93" s="213"/>
      <c r="BN93" s="182"/>
      <c r="BO93" s="336"/>
      <c r="BP93" s="213"/>
      <c r="BQ93" s="182"/>
      <c r="BR93" s="336"/>
      <c r="BS93" s="213"/>
      <c r="BT93" s="182"/>
      <c r="BU93" s="336"/>
      <c r="BV93" s="182"/>
      <c r="BW93" s="182"/>
      <c r="BX93" s="182"/>
    </row>
    <row r="94" spans="1:76">
      <c r="A94" s="16" t="s">
        <v>32</v>
      </c>
      <c r="B94" s="131"/>
      <c r="C94" s="68"/>
      <c r="D94" s="69"/>
      <c r="E94" s="68"/>
      <c r="F94" s="68"/>
      <c r="G94" s="68"/>
      <c r="H94" s="68"/>
      <c r="I94" s="70"/>
      <c r="J94" s="71"/>
      <c r="K94" s="69"/>
      <c r="L94" s="68"/>
      <c r="M94" s="68"/>
      <c r="N94" s="68"/>
      <c r="O94" s="68"/>
      <c r="P94" s="70"/>
      <c r="Q94" s="71"/>
      <c r="R94" s="69"/>
      <c r="S94" s="68"/>
      <c r="T94" s="68"/>
      <c r="U94" s="68"/>
      <c r="V94" s="68"/>
      <c r="W94" s="70"/>
      <c r="X94" s="71"/>
      <c r="Y94" s="69"/>
      <c r="Z94" s="68"/>
      <c r="AA94" s="68"/>
      <c r="AB94" s="68"/>
      <c r="AC94" s="68"/>
      <c r="AD94" s="70"/>
      <c r="AE94" s="71"/>
      <c r="AF94" s="69"/>
      <c r="AG94" s="68"/>
      <c r="AH94" s="68"/>
      <c r="AI94" s="68"/>
      <c r="AJ94" s="68"/>
      <c r="AK94" s="70"/>
      <c r="AL94" s="71"/>
      <c r="AM94" s="72"/>
      <c r="AN94" s="70"/>
      <c r="AO94" s="70"/>
      <c r="AP94" s="70"/>
      <c r="AQ94" s="70"/>
      <c r="AR94" s="73"/>
      <c r="AS94" s="80"/>
      <c r="AT94" s="188">
        <f t="shared" si="17"/>
        <v>7.6</v>
      </c>
      <c r="AU94" s="229">
        <f t="shared" si="16"/>
        <v>184</v>
      </c>
      <c r="AV94" s="168"/>
      <c r="AW94" s="168"/>
      <c r="AX94" s="168"/>
      <c r="AY94" s="168"/>
      <c r="AZ94" s="168"/>
      <c r="BA94" s="168"/>
      <c r="BB94" s="168"/>
      <c r="BC94" s="168"/>
      <c r="BD94" s="340"/>
      <c r="BE94" s="182"/>
      <c r="BF94" s="336"/>
      <c r="BG94" s="213"/>
      <c r="BH94" s="182"/>
      <c r="BI94" s="336"/>
      <c r="BJ94" s="213"/>
      <c r="BK94" s="182"/>
      <c r="BL94" s="336"/>
      <c r="BM94" s="213"/>
      <c r="BN94" s="182"/>
      <c r="BO94" s="336"/>
      <c r="BP94" s="213"/>
      <c r="BQ94" s="182"/>
      <c r="BR94" s="336"/>
      <c r="BS94" s="213"/>
      <c r="BT94" s="182"/>
      <c r="BU94" s="336"/>
      <c r="BV94" s="182"/>
      <c r="BW94" s="182"/>
      <c r="BX94" s="182"/>
    </row>
    <row r="95" spans="1:76" ht="13" thickBot="1">
      <c r="A95" s="17" t="s">
        <v>32</v>
      </c>
      <c r="B95" s="132"/>
      <c r="C95" s="75"/>
      <c r="D95" s="74"/>
      <c r="E95" s="75"/>
      <c r="F95" s="75"/>
      <c r="G95" s="75"/>
      <c r="H95" s="75"/>
      <c r="I95" s="76"/>
      <c r="J95" s="77"/>
      <c r="K95" s="74"/>
      <c r="L95" s="75"/>
      <c r="M95" s="75"/>
      <c r="N95" s="75"/>
      <c r="O95" s="75"/>
      <c r="P95" s="76"/>
      <c r="Q95" s="77"/>
      <c r="R95" s="74"/>
      <c r="S95" s="75"/>
      <c r="T95" s="75"/>
      <c r="U95" s="75"/>
      <c r="V95" s="75"/>
      <c r="W95" s="76"/>
      <c r="X95" s="77"/>
      <c r="Y95" s="74"/>
      <c r="Z95" s="75"/>
      <c r="AA95" s="75"/>
      <c r="AB95" s="75"/>
      <c r="AC95" s="75"/>
      <c r="AD95" s="76"/>
      <c r="AE95" s="77"/>
      <c r="AF95" s="74"/>
      <c r="AG95" s="75"/>
      <c r="AH95" s="75"/>
      <c r="AI95" s="75"/>
      <c r="AJ95" s="75"/>
      <c r="AK95" s="76"/>
      <c r="AL95" s="77"/>
      <c r="AM95" s="78"/>
      <c r="AN95" s="76"/>
      <c r="AO95" s="76"/>
      <c r="AP95" s="76"/>
      <c r="AQ95" s="76"/>
      <c r="AR95" s="79"/>
      <c r="AS95" s="81"/>
      <c r="AT95" s="189"/>
      <c r="AU95" s="230"/>
      <c r="AV95" s="186"/>
      <c r="AW95" s="186"/>
      <c r="AX95" s="186"/>
      <c r="AY95" s="186"/>
      <c r="AZ95" s="186"/>
      <c r="BA95" s="186"/>
      <c r="BB95" s="186"/>
      <c r="BC95" s="186"/>
      <c r="BD95" s="341"/>
      <c r="BE95" s="330"/>
      <c r="BF95" s="342"/>
      <c r="BG95" s="329"/>
      <c r="BH95" s="330"/>
      <c r="BI95" s="342"/>
      <c r="BJ95" s="329"/>
      <c r="BK95" s="330"/>
      <c r="BL95" s="342"/>
      <c r="BM95" s="329"/>
      <c r="BN95" s="330"/>
      <c r="BO95" s="342"/>
      <c r="BP95" s="329"/>
      <c r="BQ95" s="330"/>
      <c r="BR95" s="342"/>
      <c r="BS95" s="329"/>
      <c r="BT95" s="330"/>
      <c r="BU95" s="342"/>
      <c r="BV95" s="182"/>
      <c r="BW95" s="182"/>
      <c r="BX95" s="182"/>
    </row>
    <row r="96" spans="1:76">
      <c r="A96" s="15" t="s">
        <v>34</v>
      </c>
      <c r="B96" s="130">
        <v>41057</v>
      </c>
      <c r="C96" s="83" t="s">
        <v>93</v>
      </c>
      <c r="D96" s="84">
        <v>0</v>
      </c>
      <c r="E96" s="68">
        <v>0</v>
      </c>
      <c r="F96" s="68">
        <v>0</v>
      </c>
      <c r="G96" s="68">
        <v>1</v>
      </c>
      <c r="H96" s="68">
        <v>0</v>
      </c>
      <c r="I96" s="70"/>
      <c r="J96" s="71"/>
      <c r="K96" s="69">
        <v>2</v>
      </c>
      <c r="L96" s="68">
        <v>2</v>
      </c>
      <c r="M96" s="68">
        <v>2</v>
      </c>
      <c r="N96" s="68">
        <v>2</v>
      </c>
      <c r="O96" s="68">
        <v>2</v>
      </c>
      <c r="P96" s="70"/>
      <c r="Q96" s="71"/>
      <c r="R96" s="69">
        <v>0</v>
      </c>
      <c r="S96" s="68">
        <v>1</v>
      </c>
      <c r="T96" s="68">
        <v>0</v>
      </c>
      <c r="U96" s="68">
        <v>0</v>
      </c>
      <c r="V96" s="68">
        <v>0</v>
      </c>
      <c r="W96" s="70"/>
      <c r="X96" s="71"/>
      <c r="Y96" s="69">
        <v>0</v>
      </c>
      <c r="Z96" s="68">
        <v>0</v>
      </c>
      <c r="AA96" s="68">
        <v>1</v>
      </c>
      <c r="AB96" s="68">
        <v>0</v>
      </c>
      <c r="AC96" s="68">
        <v>0</v>
      </c>
      <c r="AD96" s="70"/>
      <c r="AE96" s="71"/>
      <c r="AF96" s="69">
        <v>1</v>
      </c>
      <c r="AG96" s="68">
        <v>1</v>
      </c>
      <c r="AH96" s="68">
        <v>1</v>
      </c>
      <c r="AI96" s="68">
        <v>1</v>
      </c>
      <c r="AJ96" s="68">
        <v>1</v>
      </c>
      <c r="AK96" s="85"/>
      <c r="AL96" s="86"/>
      <c r="AM96" s="87"/>
      <c r="AN96" s="85"/>
      <c r="AO96" s="85"/>
      <c r="AP96" s="85"/>
      <c r="AQ96" s="85"/>
      <c r="AR96" s="88"/>
      <c r="AS96" s="89"/>
      <c r="AT96" s="187">
        <f t="shared" si="17"/>
        <v>0.72</v>
      </c>
      <c r="AU96" s="228">
        <f t="shared" si="16"/>
        <v>149</v>
      </c>
      <c r="AV96" s="168"/>
      <c r="AW96" s="168"/>
      <c r="AX96" s="168"/>
      <c r="AY96" s="168"/>
      <c r="AZ96" s="168"/>
      <c r="BA96" s="168"/>
      <c r="BB96" s="168"/>
      <c r="BC96" s="168"/>
      <c r="BD96" s="340">
        <v>38845</v>
      </c>
      <c r="BE96" s="182">
        <f>BD96-DATE(YEAR(BD96)-1,12,31)</f>
        <v>128</v>
      </c>
      <c r="BF96" s="336">
        <v>0</v>
      </c>
      <c r="BG96" s="213">
        <v>39202</v>
      </c>
      <c r="BH96" s="182">
        <f>BG96-DATE(YEAR(BG96)-1,12,31)</f>
        <v>120</v>
      </c>
      <c r="BI96" s="336">
        <v>0</v>
      </c>
      <c r="BJ96" s="213">
        <v>39569</v>
      </c>
      <c r="BK96" s="182">
        <f t="shared" ref="BK96:BK102" si="18">BJ96-DATE(YEAR(BJ96)-1,12,31)</f>
        <v>122</v>
      </c>
      <c r="BL96" s="336">
        <v>0</v>
      </c>
      <c r="BM96" s="213">
        <v>39919</v>
      </c>
      <c r="BN96" s="182">
        <v>106</v>
      </c>
      <c r="BO96" s="336">
        <v>0</v>
      </c>
      <c r="BP96" s="213">
        <v>40315</v>
      </c>
      <c r="BQ96" s="182">
        <v>137</v>
      </c>
      <c r="BR96" s="336">
        <v>0.4</v>
      </c>
      <c r="BS96" s="213">
        <v>40683</v>
      </c>
      <c r="BT96" s="182">
        <v>140</v>
      </c>
      <c r="BU96" s="336">
        <v>1.48</v>
      </c>
      <c r="BV96" s="182"/>
      <c r="BW96" s="182"/>
      <c r="BX96" s="182"/>
    </row>
    <row r="97" spans="1:76">
      <c r="A97" s="16" t="s">
        <v>34</v>
      </c>
      <c r="B97" s="131">
        <v>41064</v>
      </c>
      <c r="C97" s="83" t="s">
        <v>93</v>
      </c>
      <c r="D97" s="69">
        <v>3</v>
      </c>
      <c r="E97" s="68">
        <v>3</v>
      </c>
      <c r="F97" s="68">
        <v>3</v>
      </c>
      <c r="G97" s="68">
        <v>3</v>
      </c>
      <c r="H97" s="68">
        <v>2</v>
      </c>
      <c r="I97" s="70"/>
      <c r="J97" s="71"/>
      <c r="K97" s="69">
        <v>5</v>
      </c>
      <c r="L97" s="68">
        <v>4</v>
      </c>
      <c r="M97" s="68">
        <v>4</v>
      </c>
      <c r="N97" s="68">
        <v>4</v>
      </c>
      <c r="O97" s="68">
        <v>3</v>
      </c>
      <c r="P97" s="70"/>
      <c r="Q97" s="71"/>
      <c r="R97" s="69">
        <v>2</v>
      </c>
      <c r="S97" s="68">
        <v>2</v>
      </c>
      <c r="T97" s="68">
        <v>3</v>
      </c>
      <c r="U97" s="68">
        <v>3</v>
      </c>
      <c r="V97" s="68">
        <v>3</v>
      </c>
      <c r="W97" s="70"/>
      <c r="X97" s="71"/>
      <c r="Y97" s="69">
        <v>1</v>
      </c>
      <c r="Z97" s="68">
        <v>1</v>
      </c>
      <c r="AA97" s="68">
        <v>1</v>
      </c>
      <c r="AB97" s="68">
        <v>2</v>
      </c>
      <c r="AC97" s="68">
        <v>2</v>
      </c>
      <c r="AD97" s="70"/>
      <c r="AE97" s="71"/>
      <c r="AF97" s="69">
        <v>3</v>
      </c>
      <c r="AG97" s="68">
        <v>3</v>
      </c>
      <c r="AH97" s="68">
        <v>3</v>
      </c>
      <c r="AI97" s="68">
        <v>2</v>
      </c>
      <c r="AJ97" s="68">
        <v>3</v>
      </c>
      <c r="AK97" s="70"/>
      <c r="AL97" s="71"/>
      <c r="AM97" s="72"/>
      <c r="AN97" s="70"/>
      <c r="AO97" s="70"/>
      <c r="AP97" s="70"/>
      <c r="AQ97" s="70"/>
      <c r="AR97" s="73"/>
      <c r="AS97" s="80"/>
      <c r="AT97" s="188">
        <f t="shared" si="17"/>
        <v>2.72</v>
      </c>
      <c r="AU97" s="229">
        <f t="shared" si="16"/>
        <v>156</v>
      </c>
      <c r="AV97" s="168"/>
      <c r="AW97" s="168"/>
      <c r="AX97" s="168"/>
      <c r="AY97" s="168"/>
      <c r="AZ97" s="168"/>
      <c r="BA97" s="168"/>
      <c r="BB97" s="168"/>
      <c r="BC97" s="168"/>
      <c r="BD97" s="340"/>
      <c r="BE97" s="182"/>
      <c r="BF97" s="336"/>
      <c r="BG97" s="213">
        <v>39209</v>
      </c>
      <c r="BH97" s="182">
        <f t="shared" ref="BH97:BH102" si="19">BG97-DATE(YEAR(BG97)-1,12,31)</f>
        <v>127</v>
      </c>
      <c r="BI97" s="336">
        <v>0</v>
      </c>
      <c r="BJ97" s="213">
        <v>39587</v>
      </c>
      <c r="BK97" s="182">
        <f t="shared" si="18"/>
        <v>140</v>
      </c>
      <c r="BL97" s="336">
        <v>0.32</v>
      </c>
      <c r="BM97" s="213">
        <v>39948</v>
      </c>
      <c r="BN97" s="182">
        <v>135</v>
      </c>
      <c r="BO97" s="336">
        <v>0</v>
      </c>
      <c r="BP97" s="213">
        <v>40322</v>
      </c>
      <c r="BQ97" s="182">
        <v>144</v>
      </c>
      <c r="BR97" s="336">
        <v>2.6</v>
      </c>
      <c r="BS97" s="213">
        <v>40693</v>
      </c>
      <c r="BT97" s="182">
        <v>150</v>
      </c>
      <c r="BU97" s="336">
        <v>3.28</v>
      </c>
      <c r="BV97" s="182"/>
      <c r="BW97" s="182"/>
      <c r="BX97" s="182"/>
    </row>
    <row r="98" spans="1:76">
      <c r="A98" s="16" t="s">
        <v>34</v>
      </c>
      <c r="B98" s="131">
        <v>41072</v>
      </c>
      <c r="C98" s="83" t="s">
        <v>93</v>
      </c>
      <c r="D98" s="69">
        <v>4</v>
      </c>
      <c r="E98" s="68">
        <v>4</v>
      </c>
      <c r="F98" s="68">
        <v>4</v>
      </c>
      <c r="G98" s="68">
        <v>4</v>
      </c>
      <c r="H98" s="68">
        <v>4</v>
      </c>
      <c r="I98" s="70"/>
      <c r="J98" s="71"/>
      <c r="K98" s="69">
        <v>4</v>
      </c>
      <c r="L98" s="68">
        <v>4</v>
      </c>
      <c r="M98" s="68">
        <v>5</v>
      </c>
      <c r="N98" s="68">
        <v>5</v>
      </c>
      <c r="O98" s="68">
        <v>5</v>
      </c>
      <c r="P98" s="70"/>
      <c r="Q98" s="71"/>
      <c r="R98" s="69">
        <v>3</v>
      </c>
      <c r="S98" s="68">
        <v>3</v>
      </c>
      <c r="T98" s="68">
        <v>3</v>
      </c>
      <c r="U98" s="68">
        <v>3</v>
      </c>
      <c r="V98" s="68">
        <v>3</v>
      </c>
      <c r="W98" s="70"/>
      <c r="X98" s="71"/>
      <c r="Y98" s="69">
        <v>2</v>
      </c>
      <c r="Z98" s="68">
        <v>3</v>
      </c>
      <c r="AA98" s="68">
        <v>3</v>
      </c>
      <c r="AB98" s="68">
        <v>2</v>
      </c>
      <c r="AC98" s="68">
        <v>3</v>
      </c>
      <c r="AD98" s="70"/>
      <c r="AE98" s="71"/>
      <c r="AF98" s="69">
        <v>4</v>
      </c>
      <c r="AG98" s="68">
        <v>4</v>
      </c>
      <c r="AH98" s="68">
        <v>4</v>
      </c>
      <c r="AI98" s="68">
        <v>4</v>
      </c>
      <c r="AJ98" s="68">
        <v>4</v>
      </c>
      <c r="AK98" s="70"/>
      <c r="AL98" s="71"/>
      <c r="AM98" s="72"/>
      <c r="AN98" s="70"/>
      <c r="AO98" s="70"/>
      <c r="AP98" s="70"/>
      <c r="AQ98" s="70"/>
      <c r="AR98" s="73"/>
      <c r="AS98" s="80"/>
      <c r="AT98" s="188">
        <f t="shared" si="17"/>
        <v>3.64</v>
      </c>
      <c r="AU98" s="229">
        <f t="shared" si="16"/>
        <v>164</v>
      </c>
      <c r="AV98" s="168"/>
      <c r="AW98" s="168"/>
      <c r="AX98" s="168"/>
      <c r="AY98" s="168"/>
      <c r="AZ98" s="168"/>
      <c r="BA98" s="168"/>
      <c r="BB98" s="168"/>
      <c r="BC98" s="168"/>
      <c r="BD98" s="340"/>
      <c r="BE98" s="182"/>
      <c r="BF98" s="336"/>
      <c r="BG98" s="213">
        <v>39213</v>
      </c>
      <c r="BH98" s="182">
        <f t="shared" si="19"/>
        <v>131</v>
      </c>
      <c r="BI98" s="336">
        <v>0</v>
      </c>
      <c r="BJ98" s="213">
        <v>39591</v>
      </c>
      <c r="BK98" s="182">
        <f t="shared" si="18"/>
        <v>144</v>
      </c>
      <c r="BL98" s="336">
        <v>0.72</v>
      </c>
      <c r="BM98" s="213">
        <v>39953</v>
      </c>
      <c r="BN98" s="182">
        <v>140</v>
      </c>
      <c r="BO98" s="336">
        <v>0.76</v>
      </c>
      <c r="BP98" s="213">
        <v>40331</v>
      </c>
      <c r="BQ98" s="182">
        <v>153</v>
      </c>
      <c r="BR98" s="336">
        <v>4</v>
      </c>
      <c r="BS98" s="213">
        <v>40702</v>
      </c>
      <c r="BT98" s="182">
        <v>159</v>
      </c>
      <c r="BU98" s="336">
        <v>5.4</v>
      </c>
      <c r="BV98" s="182"/>
      <c r="BW98" s="182"/>
      <c r="BX98" s="182"/>
    </row>
    <row r="99" spans="1:76">
      <c r="A99" s="16" t="s">
        <v>34</v>
      </c>
      <c r="B99" s="131">
        <v>41078</v>
      </c>
      <c r="C99" s="83" t="s">
        <v>93</v>
      </c>
      <c r="D99" s="69">
        <v>6</v>
      </c>
      <c r="E99" s="68">
        <v>6</v>
      </c>
      <c r="F99" s="68">
        <v>6</v>
      </c>
      <c r="G99" s="68">
        <v>6</v>
      </c>
      <c r="H99" s="68">
        <v>5</v>
      </c>
      <c r="I99" s="70"/>
      <c r="J99" s="71"/>
      <c r="K99" s="69">
        <v>6</v>
      </c>
      <c r="L99" s="68">
        <v>6</v>
      </c>
      <c r="M99" s="68">
        <v>6</v>
      </c>
      <c r="N99" s="68">
        <v>6</v>
      </c>
      <c r="O99" s="68">
        <v>6</v>
      </c>
      <c r="P99" s="70"/>
      <c r="Q99" s="71"/>
      <c r="R99" s="69">
        <v>4</v>
      </c>
      <c r="S99" s="68">
        <v>4</v>
      </c>
      <c r="T99" s="68">
        <v>4</v>
      </c>
      <c r="U99" s="68">
        <v>4</v>
      </c>
      <c r="V99" s="68">
        <v>4</v>
      </c>
      <c r="W99" s="70"/>
      <c r="X99" s="71"/>
      <c r="Y99" s="69">
        <v>4</v>
      </c>
      <c r="Z99" s="68">
        <v>4</v>
      </c>
      <c r="AA99" s="68">
        <v>4</v>
      </c>
      <c r="AB99" s="68">
        <v>4</v>
      </c>
      <c r="AC99" s="68">
        <v>4</v>
      </c>
      <c r="AD99" s="70"/>
      <c r="AE99" s="71"/>
      <c r="AF99" s="69">
        <v>5</v>
      </c>
      <c r="AG99" s="68">
        <v>5</v>
      </c>
      <c r="AH99" s="68">
        <v>5</v>
      </c>
      <c r="AI99" s="68">
        <v>5</v>
      </c>
      <c r="AJ99" s="68">
        <v>5</v>
      </c>
      <c r="AK99" s="70"/>
      <c r="AL99" s="71"/>
      <c r="AM99" s="72"/>
      <c r="AN99" s="70"/>
      <c r="AO99" s="70"/>
      <c r="AP99" s="70"/>
      <c r="AQ99" s="70"/>
      <c r="AR99" s="73"/>
      <c r="AS99" s="80"/>
      <c r="AT99" s="188">
        <f t="shared" si="17"/>
        <v>4.96</v>
      </c>
      <c r="AU99" s="229">
        <f t="shared" si="16"/>
        <v>170</v>
      </c>
      <c r="AV99" s="168"/>
      <c r="AW99" s="168"/>
      <c r="AX99" s="168"/>
      <c r="AY99" s="168"/>
      <c r="AZ99" s="168"/>
      <c r="BA99" s="168"/>
      <c r="BB99" s="168"/>
      <c r="BC99" s="168"/>
      <c r="BD99" s="340"/>
      <c r="BE99" s="182"/>
      <c r="BF99" s="336"/>
      <c r="BG99" s="213">
        <v>39223</v>
      </c>
      <c r="BH99" s="182">
        <f t="shared" si="19"/>
        <v>141</v>
      </c>
      <c r="BI99" s="336">
        <v>0.6</v>
      </c>
      <c r="BJ99" s="213">
        <v>39601</v>
      </c>
      <c r="BK99" s="182">
        <f t="shared" si="18"/>
        <v>154</v>
      </c>
      <c r="BL99" s="336">
        <v>2.88</v>
      </c>
      <c r="BM99" s="213">
        <v>39958</v>
      </c>
      <c r="BN99" s="182">
        <v>145</v>
      </c>
      <c r="BO99" s="336">
        <v>0.76</v>
      </c>
      <c r="BP99" s="213">
        <v>40338</v>
      </c>
      <c r="BQ99" s="182">
        <v>160</v>
      </c>
      <c r="BR99" s="336">
        <v>5.6</v>
      </c>
      <c r="BS99" s="213">
        <v>40710</v>
      </c>
      <c r="BT99" s="182">
        <v>167</v>
      </c>
      <c r="BU99" s="336">
        <v>7</v>
      </c>
      <c r="BV99" s="182"/>
      <c r="BW99" s="182"/>
      <c r="BX99" s="182"/>
    </row>
    <row r="100" spans="1:76">
      <c r="A100" s="16" t="s">
        <v>34</v>
      </c>
      <c r="B100" s="131"/>
      <c r="C100" s="68"/>
      <c r="D100" s="69"/>
      <c r="E100" s="68"/>
      <c r="F100" s="68"/>
      <c r="G100" s="68"/>
      <c r="H100" s="68"/>
      <c r="I100" s="70"/>
      <c r="J100" s="71"/>
      <c r="K100" s="69"/>
      <c r="L100" s="68"/>
      <c r="M100" s="68"/>
      <c r="N100" s="68"/>
      <c r="O100" s="68"/>
      <c r="P100" s="70"/>
      <c r="Q100" s="71"/>
      <c r="R100" s="69"/>
      <c r="S100" s="68"/>
      <c r="T100" s="68"/>
      <c r="U100" s="68"/>
      <c r="V100" s="68"/>
      <c r="W100" s="70"/>
      <c r="X100" s="71"/>
      <c r="Y100" s="69"/>
      <c r="Z100" s="68"/>
      <c r="AA100" s="68"/>
      <c r="AB100" s="68"/>
      <c r="AC100" s="68"/>
      <c r="AD100" s="70"/>
      <c r="AE100" s="71"/>
      <c r="AF100" s="69"/>
      <c r="AG100" s="68"/>
      <c r="AH100" s="68"/>
      <c r="AI100" s="68"/>
      <c r="AJ100" s="68"/>
      <c r="AK100" s="70"/>
      <c r="AL100" s="71"/>
      <c r="AM100" s="72"/>
      <c r="AN100" s="70"/>
      <c r="AO100" s="70"/>
      <c r="AP100" s="70"/>
      <c r="AQ100" s="70"/>
      <c r="AR100" s="73"/>
      <c r="AS100" s="80"/>
      <c r="AT100" s="188">
        <f t="shared" si="17"/>
        <v>4.96</v>
      </c>
      <c r="AU100" s="229">
        <f t="shared" si="16"/>
        <v>170</v>
      </c>
      <c r="AV100" s="168"/>
      <c r="AW100" s="168"/>
      <c r="AX100" s="168"/>
      <c r="AY100" s="168"/>
      <c r="AZ100" s="168"/>
      <c r="BA100" s="168"/>
      <c r="BB100" s="168"/>
      <c r="BC100" s="168"/>
      <c r="BD100" s="340"/>
      <c r="BE100" s="182"/>
      <c r="BF100" s="336"/>
      <c r="BG100" s="213">
        <v>39227</v>
      </c>
      <c r="BH100" s="182">
        <f t="shared" si="19"/>
        <v>145</v>
      </c>
      <c r="BI100" s="336">
        <v>2.4</v>
      </c>
      <c r="BJ100" s="213">
        <v>39615</v>
      </c>
      <c r="BK100" s="182">
        <f t="shared" si="18"/>
        <v>168</v>
      </c>
      <c r="BL100" s="336">
        <v>5.2</v>
      </c>
      <c r="BM100" s="213">
        <v>39961</v>
      </c>
      <c r="BN100" s="182">
        <v>148</v>
      </c>
      <c r="BO100" s="336">
        <v>1.52</v>
      </c>
      <c r="BP100" s="213">
        <v>40352</v>
      </c>
      <c r="BQ100" s="182">
        <v>174</v>
      </c>
      <c r="BR100" s="336">
        <v>7</v>
      </c>
      <c r="BS100" s="213"/>
      <c r="BT100" s="182"/>
      <c r="BU100" s="336"/>
      <c r="BV100" s="182"/>
      <c r="BW100" s="182"/>
      <c r="BX100" s="182"/>
    </row>
    <row r="101" spans="1:76">
      <c r="A101" s="16" t="s">
        <v>34</v>
      </c>
      <c r="B101" s="131"/>
      <c r="C101" s="68"/>
      <c r="D101" s="69"/>
      <c r="E101" s="68"/>
      <c r="F101" s="68"/>
      <c r="G101" s="68"/>
      <c r="H101" s="68"/>
      <c r="I101" s="70"/>
      <c r="J101" s="71"/>
      <c r="K101" s="69"/>
      <c r="L101" s="68"/>
      <c r="M101" s="68"/>
      <c r="N101" s="68"/>
      <c r="O101" s="68"/>
      <c r="P101" s="70"/>
      <c r="Q101" s="71"/>
      <c r="R101" s="69"/>
      <c r="S101" s="68"/>
      <c r="T101" s="68"/>
      <c r="U101" s="68"/>
      <c r="V101" s="68"/>
      <c r="W101" s="70"/>
      <c r="X101" s="71"/>
      <c r="Y101" s="69"/>
      <c r="Z101" s="68"/>
      <c r="AA101" s="68"/>
      <c r="AB101" s="68"/>
      <c r="AC101" s="68"/>
      <c r="AD101" s="70"/>
      <c r="AE101" s="71"/>
      <c r="AF101" s="69"/>
      <c r="AG101" s="68"/>
      <c r="AH101" s="68"/>
      <c r="AI101" s="68"/>
      <c r="AJ101" s="68"/>
      <c r="AK101" s="70"/>
      <c r="AL101" s="71"/>
      <c r="AM101" s="72"/>
      <c r="AN101" s="70"/>
      <c r="AO101" s="70"/>
      <c r="AP101" s="70"/>
      <c r="AQ101" s="70"/>
      <c r="AR101" s="73"/>
      <c r="AS101" s="80"/>
      <c r="AT101" s="188">
        <f t="shared" si="17"/>
        <v>4.96</v>
      </c>
      <c r="AU101" s="229">
        <f t="shared" si="16"/>
        <v>170</v>
      </c>
      <c r="AV101" s="168"/>
      <c r="AW101" s="168"/>
      <c r="AX101" s="168"/>
      <c r="AY101" s="168"/>
      <c r="AZ101" s="168"/>
      <c r="BA101" s="168"/>
      <c r="BB101" s="168"/>
      <c r="BC101" s="168"/>
      <c r="BD101" s="340"/>
      <c r="BE101" s="182"/>
      <c r="BF101" s="336"/>
      <c r="BG101" s="213">
        <v>39232</v>
      </c>
      <c r="BH101" s="182">
        <f t="shared" si="19"/>
        <v>150</v>
      </c>
      <c r="BI101" s="336">
        <v>2.92</v>
      </c>
      <c r="BJ101" s="213">
        <v>39626</v>
      </c>
      <c r="BK101" s="182">
        <f t="shared" si="18"/>
        <v>179</v>
      </c>
      <c r="BL101" s="336">
        <v>6.4</v>
      </c>
      <c r="BM101" s="213">
        <v>39965</v>
      </c>
      <c r="BN101" s="182">
        <v>152</v>
      </c>
      <c r="BO101" s="336">
        <v>3.28</v>
      </c>
      <c r="BP101" s="213">
        <v>40359</v>
      </c>
      <c r="BQ101" s="182">
        <v>181</v>
      </c>
      <c r="BR101" s="336">
        <v>7.6</v>
      </c>
      <c r="BS101" s="213"/>
      <c r="BT101" s="182"/>
      <c r="BU101" s="336"/>
      <c r="BV101" s="182"/>
      <c r="BW101" s="182"/>
      <c r="BX101" s="182"/>
    </row>
    <row r="102" spans="1:76">
      <c r="A102" s="16" t="s">
        <v>34</v>
      </c>
      <c r="B102" s="131"/>
      <c r="C102" s="68"/>
      <c r="D102" s="69"/>
      <c r="E102" s="68"/>
      <c r="F102" s="68"/>
      <c r="G102" s="68"/>
      <c r="H102" s="68"/>
      <c r="I102" s="70"/>
      <c r="J102" s="71"/>
      <c r="K102" s="69"/>
      <c r="L102" s="68"/>
      <c r="M102" s="68"/>
      <c r="N102" s="68"/>
      <c r="O102" s="68"/>
      <c r="P102" s="70"/>
      <c r="Q102" s="71"/>
      <c r="R102" s="69"/>
      <c r="S102" s="68"/>
      <c r="T102" s="68"/>
      <c r="U102" s="68"/>
      <c r="V102" s="68"/>
      <c r="W102" s="70"/>
      <c r="X102" s="71"/>
      <c r="Y102" s="69"/>
      <c r="Z102" s="68"/>
      <c r="AA102" s="68"/>
      <c r="AB102" s="68"/>
      <c r="AC102" s="68"/>
      <c r="AD102" s="70"/>
      <c r="AE102" s="71"/>
      <c r="AF102" s="69"/>
      <c r="AG102" s="68"/>
      <c r="AH102" s="68"/>
      <c r="AI102" s="68"/>
      <c r="AJ102" s="68"/>
      <c r="AK102" s="70"/>
      <c r="AL102" s="71"/>
      <c r="AM102" s="72"/>
      <c r="AN102" s="70"/>
      <c r="AO102" s="70"/>
      <c r="AP102" s="70"/>
      <c r="AQ102" s="70"/>
      <c r="AR102" s="73"/>
      <c r="AS102" s="80"/>
      <c r="AT102" s="188">
        <f t="shared" si="17"/>
        <v>4.96</v>
      </c>
      <c r="AU102" s="229">
        <f t="shared" si="16"/>
        <v>170</v>
      </c>
      <c r="AV102" s="168"/>
      <c r="AW102" s="168"/>
      <c r="AX102" s="168"/>
      <c r="AY102" s="168"/>
      <c r="AZ102" s="168"/>
      <c r="BA102" s="168"/>
      <c r="BB102" s="168"/>
      <c r="BC102" s="168"/>
      <c r="BD102" s="340"/>
      <c r="BE102" s="182"/>
      <c r="BF102" s="336"/>
      <c r="BG102" s="213">
        <v>39238</v>
      </c>
      <c r="BH102" s="182">
        <f t="shared" si="19"/>
        <v>156</v>
      </c>
      <c r="BI102" s="336">
        <v>4.4000000000000004</v>
      </c>
      <c r="BJ102" s="213">
        <v>39633</v>
      </c>
      <c r="BK102" s="182">
        <f t="shared" si="18"/>
        <v>186</v>
      </c>
      <c r="BL102" s="336">
        <v>8</v>
      </c>
      <c r="BM102" s="213">
        <v>39969</v>
      </c>
      <c r="BN102" s="182">
        <v>156</v>
      </c>
      <c r="BO102" s="336">
        <v>4.2</v>
      </c>
      <c r="BP102" s="213">
        <v>40366</v>
      </c>
      <c r="BQ102" s="182">
        <v>188</v>
      </c>
      <c r="BR102" s="336">
        <v>8</v>
      </c>
      <c r="BS102" s="213"/>
      <c r="BT102" s="182"/>
      <c r="BU102" s="336"/>
      <c r="BV102" s="182"/>
      <c r="BW102" s="182"/>
      <c r="BX102" s="182"/>
    </row>
    <row r="103" spans="1:76">
      <c r="A103" s="16" t="s">
        <v>34</v>
      </c>
      <c r="B103" s="131"/>
      <c r="C103" s="68"/>
      <c r="D103" s="69"/>
      <c r="E103" s="68"/>
      <c r="F103" s="68"/>
      <c r="G103" s="68"/>
      <c r="H103" s="68"/>
      <c r="I103" s="70"/>
      <c r="J103" s="71"/>
      <c r="K103" s="69"/>
      <c r="L103" s="68"/>
      <c r="M103" s="68"/>
      <c r="N103" s="68"/>
      <c r="O103" s="68"/>
      <c r="P103" s="70"/>
      <c r="Q103" s="71"/>
      <c r="R103" s="69"/>
      <c r="S103" s="68"/>
      <c r="T103" s="68"/>
      <c r="U103" s="68"/>
      <c r="V103" s="68"/>
      <c r="W103" s="70"/>
      <c r="X103" s="71"/>
      <c r="Y103" s="69"/>
      <c r="Z103" s="68"/>
      <c r="AA103" s="68"/>
      <c r="AB103" s="68"/>
      <c r="AC103" s="68"/>
      <c r="AD103" s="70"/>
      <c r="AE103" s="71"/>
      <c r="AF103" s="69"/>
      <c r="AG103" s="68"/>
      <c r="AH103" s="68"/>
      <c r="AI103" s="68"/>
      <c r="AJ103" s="68"/>
      <c r="AK103" s="70"/>
      <c r="AL103" s="71"/>
      <c r="AM103" s="72"/>
      <c r="AN103" s="70"/>
      <c r="AO103" s="70"/>
      <c r="AP103" s="70"/>
      <c r="AQ103" s="70"/>
      <c r="AR103" s="73"/>
      <c r="AS103" s="80"/>
      <c r="AT103" s="188">
        <f t="shared" si="17"/>
        <v>4.96</v>
      </c>
      <c r="AU103" s="229">
        <f t="shared" si="16"/>
        <v>170</v>
      </c>
      <c r="AV103" s="168"/>
      <c r="AW103" s="168"/>
      <c r="AX103" s="168"/>
      <c r="AY103" s="168"/>
      <c r="AZ103" s="168"/>
      <c r="BA103" s="168"/>
      <c r="BB103" s="168"/>
      <c r="BC103" s="168"/>
      <c r="BD103" s="340"/>
      <c r="BE103" s="182"/>
      <c r="BF103" s="336"/>
      <c r="BG103" s="213"/>
      <c r="BH103" s="182"/>
      <c r="BI103" s="336"/>
      <c r="BJ103" s="213"/>
      <c r="BK103" s="182"/>
      <c r="BL103" s="336"/>
      <c r="BM103" s="213">
        <v>39976</v>
      </c>
      <c r="BN103" s="182">
        <v>163</v>
      </c>
      <c r="BO103" s="336">
        <v>5.24</v>
      </c>
      <c r="BP103" s="213"/>
      <c r="BQ103" s="182"/>
      <c r="BR103" s="336"/>
      <c r="BS103" s="213"/>
      <c r="BT103" s="182"/>
      <c r="BU103" s="336"/>
      <c r="BV103" s="182"/>
      <c r="BW103" s="182"/>
      <c r="BX103" s="182"/>
    </row>
    <row r="104" spans="1:76">
      <c r="A104" s="16" t="s">
        <v>34</v>
      </c>
      <c r="B104" s="131"/>
      <c r="C104" s="68"/>
      <c r="D104" s="69"/>
      <c r="E104" s="68"/>
      <c r="F104" s="68"/>
      <c r="G104" s="68"/>
      <c r="H104" s="68"/>
      <c r="I104" s="70"/>
      <c r="J104" s="71"/>
      <c r="K104" s="69"/>
      <c r="L104" s="68"/>
      <c r="M104" s="68"/>
      <c r="N104" s="68"/>
      <c r="O104" s="68"/>
      <c r="P104" s="70"/>
      <c r="Q104" s="71"/>
      <c r="R104" s="69"/>
      <c r="S104" s="68"/>
      <c r="T104" s="68"/>
      <c r="U104" s="68"/>
      <c r="V104" s="68"/>
      <c r="W104" s="70"/>
      <c r="X104" s="71"/>
      <c r="Y104" s="69"/>
      <c r="Z104" s="68"/>
      <c r="AA104" s="68"/>
      <c r="AB104" s="68"/>
      <c r="AC104" s="68"/>
      <c r="AD104" s="70"/>
      <c r="AE104" s="71"/>
      <c r="AF104" s="69"/>
      <c r="AG104" s="68"/>
      <c r="AH104" s="68"/>
      <c r="AI104" s="68"/>
      <c r="AJ104" s="68"/>
      <c r="AK104" s="70"/>
      <c r="AL104" s="71"/>
      <c r="AM104" s="72"/>
      <c r="AN104" s="70"/>
      <c r="AO104" s="70"/>
      <c r="AP104" s="70"/>
      <c r="AQ104" s="70"/>
      <c r="AR104" s="73"/>
      <c r="AS104" s="80"/>
      <c r="AT104" s="188">
        <f t="shared" si="17"/>
        <v>4.96</v>
      </c>
      <c r="AU104" s="229">
        <f t="shared" si="16"/>
        <v>170</v>
      </c>
      <c r="AV104" s="168"/>
      <c r="AW104" s="168"/>
      <c r="AX104" s="168"/>
      <c r="AY104" s="168"/>
      <c r="AZ104" s="168"/>
      <c r="BA104" s="168"/>
      <c r="BB104" s="168"/>
      <c r="BC104" s="168"/>
      <c r="BD104" s="340"/>
      <c r="BE104" s="182"/>
      <c r="BF104" s="336"/>
      <c r="BG104" s="213"/>
      <c r="BH104" s="182"/>
      <c r="BI104" s="336"/>
      <c r="BJ104" s="213"/>
      <c r="BK104" s="182"/>
      <c r="BL104" s="336"/>
      <c r="BM104" s="213">
        <v>39982</v>
      </c>
      <c r="BN104" s="182">
        <v>169</v>
      </c>
      <c r="BO104" s="336">
        <v>6.08</v>
      </c>
      <c r="BP104" s="213"/>
      <c r="BQ104" s="182"/>
      <c r="BR104" s="336"/>
      <c r="BS104" s="213"/>
      <c r="BT104" s="182"/>
      <c r="BU104" s="336"/>
      <c r="BV104" s="182"/>
      <c r="BW104" s="182"/>
      <c r="BX104" s="182"/>
    </row>
    <row r="105" spans="1:76">
      <c r="A105" s="16" t="s">
        <v>34</v>
      </c>
      <c r="B105" s="131"/>
      <c r="C105" s="68"/>
      <c r="D105" s="69"/>
      <c r="E105" s="68"/>
      <c r="F105" s="68"/>
      <c r="G105" s="68"/>
      <c r="H105" s="68"/>
      <c r="I105" s="70"/>
      <c r="J105" s="71"/>
      <c r="K105" s="69"/>
      <c r="L105" s="68"/>
      <c r="M105" s="68"/>
      <c r="N105" s="68"/>
      <c r="O105" s="68"/>
      <c r="P105" s="70"/>
      <c r="Q105" s="71"/>
      <c r="R105" s="69"/>
      <c r="S105" s="68"/>
      <c r="T105" s="68"/>
      <c r="U105" s="68"/>
      <c r="V105" s="68"/>
      <c r="W105" s="70"/>
      <c r="X105" s="71"/>
      <c r="Y105" s="69"/>
      <c r="Z105" s="68"/>
      <c r="AA105" s="68"/>
      <c r="AB105" s="68"/>
      <c r="AC105" s="68"/>
      <c r="AD105" s="70"/>
      <c r="AE105" s="71"/>
      <c r="AF105" s="69"/>
      <c r="AG105" s="68"/>
      <c r="AH105" s="68"/>
      <c r="AI105" s="68"/>
      <c r="AJ105" s="68"/>
      <c r="AK105" s="70"/>
      <c r="AL105" s="71"/>
      <c r="AM105" s="72"/>
      <c r="AN105" s="70"/>
      <c r="AO105" s="70"/>
      <c r="AP105" s="70"/>
      <c r="AQ105" s="70"/>
      <c r="AR105" s="73"/>
      <c r="AS105" s="80"/>
      <c r="AT105" s="188">
        <f t="shared" si="17"/>
        <v>4.96</v>
      </c>
      <c r="AU105" s="229">
        <f t="shared" si="16"/>
        <v>170</v>
      </c>
      <c r="AV105" s="168"/>
      <c r="AW105" s="168"/>
      <c r="AX105" s="168"/>
      <c r="AY105" s="168"/>
      <c r="AZ105" s="168"/>
      <c r="BA105" s="168"/>
      <c r="BB105" s="168"/>
      <c r="BC105" s="168"/>
      <c r="BD105" s="340"/>
      <c r="BE105" s="182"/>
      <c r="BF105" s="336"/>
      <c r="BG105" s="213"/>
      <c r="BH105" s="182"/>
      <c r="BI105" s="336"/>
      <c r="BJ105" s="213"/>
      <c r="BK105" s="182"/>
      <c r="BL105" s="336"/>
      <c r="BM105" s="213">
        <v>39989</v>
      </c>
      <c r="BN105" s="182">
        <v>176</v>
      </c>
      <c r="BO105" s="336">
        <v>6.88</v>
      </c>
      <c r="BP105" s="213"/>
      <c r="BQ105" s="182"/>
      <c r="BR105" s="336"/>
      <c r="BS105" s="213"/>
      <c r="BT105" s="182"/>
      <c r="BU105" s="336"/>
      <c r="BV105" s="182"/>
      <c r="BW105" s="182"/>
      <c r="BX105" s="182"/>
    </row>
    <row r="106" spans="1:76">
      <c r="A106" s="16" t="s">
        <v>34</v>
      </c>
      <c r="B106" s="131"/>
      <c r="C106" s="68"/>
      <c r="D106" s="69"/>
      <c r="E106" s="68"/>
      <c r="F106" s="68"/>
      <c r="G106" s="68"/>
      <c r="H106" s="68"/>
      <c r="I106" s="70"/>
      <c r="J106" s="71"/>
      <c r="K106" s="69"/>
      <c r="L106" s="68"/>
      <c r="M106" s="68"/>
      <c r="N106" s="68"/>
      <c r="O106" s="68"/>
      <c r="P106" s="70"/>
      <c r="Q106" s="71"/>
      <c r="R106" s="69"/>
      <c r="S106" s="68"/>
      <c r="T106" s="68"/>
      <c r="U106" s="68"/>
      <c r="V106" s="68"/>
      <c r="W106" s="70"/>
      <c r="X106" s="71"/>
      <c r="Y106" s="69"/>
      <c r="Z106" s="68"/>
      <c r="AA106" s="68"/>
      <c r="AB106" s="68"/>
      <c r="AC106" s="68"/>
      <c r="AD106" s="70"/>
      <c r="AE106" s="71"/>
      <c r="AF106" s="69"/>
      <c r="AG106" s="68"/>
      <c r="AH106" s="68"/>
      <c r="AI106" s="68"/>
      <c r="AJ106" s="68"/>
      <c r="AK106" s="70"/>
      <c r="AL106" s="71"/>
      <c r="AM106" s="72"/>
      <c r="AN106" s="70"/>
      <c r="AO106" s="70"/>
      <c r="AP106" s="70"/>
      <c r="AQ106" s="70"/>
      <c r="AR106" s="73"/>
      <c r="AS106" s="80"/>
      <c r="AT106" s="188">
        <f t="shared" si="17"/>
        <v>4.96</v>
      </c>
      <c r="AU106" s="229">
        <f t="shared" si="16"/>
        <v>170</v>
      </c>
      <c r="AV106" s="168"/>
      <c r="AW106" s="168"/>
      <c r="AX106" s="168"/>
      <c r="AY106" s="168"/>
      <c r="AZ106" s="168"/>
      <c r="BA106" s="168"/>
      <c r="BB106" s="168"/>
      <c r="BC106" s="168"/>
      <c r="BD106" s="340"/>
      <c r="BE106" s="182"/>
      <c r="BF106" s="336"/>
      <c r="BG106" s="213"/>
      <c r="BH106" s="182"/>
      <c r="BI106" s="336"/>
      <c r="BJ106" s="213"/>
      <c r="BK106" s="182"/>
      <c r="BL106" s="336"/>
      <c r="BM106" s="213">
        <v>39996</v>
      </c>
      <c r="BN106" s="182">
        <v>183</v>
      </c>
      <c r="BO106" s="336">
        <v>7.64</v>
      </c>
      <c r="BP106" s="213"/>
      <c r="BQ106" s="182"/>
      <c r="BR106" s="336"/>
      <c r="BS106" s="213"/>
      <c r="BT106" s="182"/>
      <c r="BU106" s="336"/>
      <c r="BV106" s="182"/>
      <c r="BW106" s="182"/>
      <c r="BX106" s="182"/>
    </row>
    <row r="107" spans="1:76">
      <c r="A107" s="16" t="s">
        <v>34</v>
      </c>
      <c r="B107" s="131"/>
      <c r="C107" s="68"/>
      <c r="D107" s="69"/>
      <c r="E107" s="68"/>
      <c r="F107" s="68"/>
      <c r="G107" s="68"/>
      <c r="H107" s="68"/>
      <c r="I107" s="70"/>
      <c r="J107" s="71"/>
      <c r="K107" s="69"/>
      <c r="L107" s="68"/>
      <c r="M107" s="68"/>
      <c r="N107" s="68"/>
      <c r="O107" s="68"/>
      <c r="P107" s="70"/>
      <c r="Q107" s="71"/>
      <c r="R107" s="69"/>
      <c r="S107" s="68"/>
      <c r="T107" s="68"/>
      <c r="U107" s="68"/>
      <c r="V107" s="68"/>
      <c r="W107" s="70"/>
      <c r="X107" s="71"/>
      <c r="Y107" s="69"/>
      <c r="Z107" s="68"/>
      <c r="AA107" s="68"/>
      <c r="AB107" s="68"/>
      <c r="AC107" s="68"/>
      <c r="AD107" s="70"/>
      <c r="AE107" s="71"/>
      <c r="AF107" s="69"/>
      <c r="AG107" s="68"/>
      <c r="AH107" s="68"/>
      <c r="AI107" s="68"/>
      <c r="AJ107" s="68"/>
      <c r="AK107" s="70"/>
      <c r="AL107" s="71"/>
      <c r="AM107" s="72"/>
      <c r="AN107" s="70"/>
      <c r="AO107" s="70"/>
      <c r="AP107" s="70"/>
      <c r="AQ107" s="70"/>
      <c r="AR107" s="73"/>
      <c r="AS107" s="80"/>
      <c r="AT107" s="188">
        <f t="shared" si="17"/>
        <v>4.96</v>
      </c>
      <c r="AU107" s="229">
        <f t="shared" si="16"/>
        <v>170</v>
      </c>
      <c r="AV107" s="168"/>
      <c r="AW107" s="168"/>
      <c r="AX107" s="168"/>
      <c r="AY107" s="168"/>
      <c r="AZ107" s="168"/>
      <c r="BA107" s="168"/>
      <c r="BB107" s="168"/>
      <c r="BC107" s="168"/>
      <c r="BD107" s="340"/>
      <c r="BE107" s="182"/>
      <c r="BF107" s="336"/>
      <c r="BG107" s="213"/>
      <c r="BH107" s="182"/>
      <c r="BI107" s="336"/>
      <c r="BJ107" s="213"/>
      <c r="BK107" s="182"/>
      <c r="BL107" s="336"/>
      <c r="BM107" s="213">
        <v>40002</v>
      </c>
      <c r="BN107" s="182">
        <v>189</v>
      </c>
      <c r="BO107" s="336">
        <v>8</v>
      </c>
      <c r="BP107" s="213"/>
      <c r="BQ107" s="182"/>
      <c r="BR107" s="336"/>
      <c r="BS107" s="213"/>
      <c r="BT107" s="182"/>
      <c r="BU107" s="336"/>
      <c r="BV107" s="182"/>
      <c r="BW107" s="182"/>
      <c r="BX107" s="182"/>
    </row>
    <row r="108" spans="1:76">
      <c r="A108" s="16" t="s">
        <v>34</v>
      </c>
      <c r="B108" s="131"/>
      <c r="C108" s="68"/>
      <c r="D108" s="69"/>
      <c r="E108" s="68"/>
      <c r="F108" s="68"/>
      <c r="G108" s="68"/>
      <c r="H108" s="68"/>
      <c r="I108" s="70"/>
      <c r="J108" s="71"/>
      <c r="K108" s="69"/>
      <c r="L108" s="68"/>
      <c r="M108" s="68"/>
      <c r="N108" s="68"/>
      <c r="O108" s="68"/>
      <c r="P108" s="70"/>
      <c r="Q108" s="71"/>
      <c r="R108" s="69"/>
      <c r="S108" s="68"/>
      <c r="T108" s="68"/>
      <c r="U108" s="68"/>
      <c r="V108" s="68"/>
      <c r="W108" s="70"/>
      <c r="X108" s="71"/>
      <c r="Y108" s="69"/>
      <c r="Z108" s="68"/>
      <c r="AA108" s="68"/>
      <c r="AB108" s="68"/>
      <c r="AC108" s="68"/>
      <c r="AD108" s="70"/>
      <c r="AE108" s="71"/>
      <c r="AF108" s="69"/>
      <c r="AG108" s="68"/>
      <c r="AH108" s="68"/>
      <c r="AI108" s="68"/>
      <c r="AJ108" s="68"/>
      <c r="AK108" s="70"/>
      <c r="AL108" s="71"/>
      <c r="AM108" s="72"/>
      <c r="AN108" s="70"/>
      <c r="AO108" s="70"/>
      <c r="AP108" s="70"/>
      <c r="AQ108" s="70"/>
      <c r="AR108" s="73"/>
      <c r="AS108" s="80"/>
      <c r="AT108" s="188">
        <f t="shared" si="17"/>
        <v>4.96</v>
      </c>
      <c r="AU108" s="229">
        <f t="shared" si="16"/>
        <v>170</v>
      </c>
      <c r="AV108" s="168"/>
      <c r="AW108" s="168"/>
      <c r="AX108" s="168"/>
      <c r="AY108" s="168"/>
      <c r="AZ108" s="168"/>
      <c r="BA108" s="168"/>
      <c r="BB108" s="168"/>
      <c r="BC108" s="168"/>
      <c r="BD108" s="340"/>
      <c r="BE108" s="182"/>
      <c r="BF108" s="336"/>
      <c r="BG108" s="213"/>
      <c r="BH108" s="182"/>
      <c r="BI108" s="336"/>
      <c r="BJ108" s="213"/>
      <c r="BK108" s="182"/>
      <c r="BL108" s="336"/>
      <c r="BM108" s="213"/>
      <c r="BN108" s="182"/>
      <c r="BO108" s="336"/>
      <c r="BP108" s="213"/>
      <c r="BQ108" s="182"/>
      <c r="BR108" s="336"/>
      <c r="BS108" s="213"/>
      <c r="BT108" s="182"/>
      <c r="BU108" s="336"/>
      <c r="BV108" s="182"/>
      <c r="BW108" s="182"/>
      <c r="BX108" s="182"/>
    </row>
    <row r="109" spans="1:76">
      <c r="A109" s="16" t="s">
        <v>34</v>
      </c>
      <c r="B109" s="131"/>
      <c r="C109" s="68"/>
      <c r="D109" s="69"/>
      <c r="E109" s="68"/>
      <c r="F109" s="68"/>
      <c r="G109" s="68"/>
      <c r="H109" s="68"/>
      <c r="I109" s="70"/>
      <c r="J109" s="71"/>
      <c r="K109" s="69"/>
      <c r="L109" s="68"/>
      <c r="M109" s="68"/>
      <c r="N109" s="68"/>
      <c r="O109" s="68"/>
      <c r="P109" s="70"/>
      <c r="Q109" s="71"/>
      <c r="R109" s="69"/>
      <c r="S109" s="68"/>
      <c r="T109" s="68"/>
      <c r="U109" s="68"/>
      <c r="V109" s="68"/>
      <c r="W109" s="70"/>
      <c r="X109" s="71"/>
      <c r="Y109" s="69"/>
      <c r="Z109" s="68"/>
      <c r="AA109" s="68"/>
      <c r="AB109" s="68"/>
      <c r="AC109" s="68"/>
      <c r="AD109" s="70"/>
      <c r="AE109" s="71"/>
      <c r="AF109" s="69"/>
      <c r="AG109" s="68"/>
      <c r="AH109" s="68"/>
      <c r="AI109" s="68"/>
      <c r="AJ109" s="68"/>
      <c r="AK109" s="70"/>
      <c r="AL109" s="71"/>
      <c r="AM109" s="72"/>
      <c r="AN109" s="70"/>
      <c r="AO109" s="70"/>
      <c r="AP109" s="70"/>
      <c r="AQ109" s="70"/>
      <c r="AR109" s="73"/>
      <c r="AS109" s="80"/>
      <c r="AT109" s="188">
        <f t="shared" si="17"/>
        <v>4.96</v>
      </c>
      <c r="AU109" s="229">
        <f t="shared" si="16"/>
        <v>170</v>
      </c>
      <c r="AV109" s="168"/>
      <c r="AW109" s="168"/>
      <c r="AX109" s="168"/>
      <c r="AY109" s="168"/>
      <c r="AZ109" s="168"/>
      <c r="BA109" s="168"/>
      <c r="BB109" s="168"/>
      <c r="BC109" s="168"/>
      <c r="BD109" s="340"/>
      <c r="BE109" s="182"/>
      <c r="BF109" s="336"/>
      <c r="BG109" s="213"/>
      <c r="BH109" s="182"/>
      <c r="BI109" s="336"/>
      <c r="BJ109" s="213"/>
      <c r="BK109" s="182"/>
      <c r="BL109" s="336"/>
      <c r="BM109" s="213"/>
      <c r="BN109" s="182"/>
      <c r="BO109" s="336"/>
      <c r="BP109" s="213"/>
      <c r="BQ109" s="182"/>
      <c r="BR109" s="336"/>
      <c r="BS109" s="213"/>
      <c r="BT109" s="182"/>
      <c r="BU109" s="336"/>
      <c r="BV109" s="182"/>
      <c r="BW109" s="182"/>
      <c r="BX109" s="182"/>
    </row>
    <row r="110" spans="1:76">
      <c r="A110" s="16" t="s">
        <v>34</v>
      </c>
      <c r="B110" s="131"/>
      <c r="C110" s="68"/>
      <c r="D110" s="69"/>
      <c r="E110" s="68"/>
      <c r="F110" s="68"/>
      <c r="G110" s="68"/>
      <c r="H110" s="68"/>
      <c r="I110" s="70"/>
      <c r="J110" s="71"/>
      <c r="K110" s="69"/>
      <c r="L110" s="68"/>
      <c r="M110" s="68"/>
      <c r="N110" s="68"/>
      <c r="O110" s="68"/>
      <c r="P110" s="70"/>
      <c r="Q110" s="71"/>
      <c r="R110" s="69"/>
      <c r="S110" s="68"/>
      <c r="T110" s="68"/>
      <c r="U110" s="68"/>
      <c r="V110" s="68"/>
      <c r="W110" s="70"/>
      <c r="X110" s="71"/>
      <c r="Y110" s="69"/>
      <c r="Z110" s="68"/>
      <c r="AA110" s="68"/>
      <c r="AB110" s="68"/>
      <c r="AC110" s="68"/>
      <c r="AD110" s="70"/>
      <c r="AE110" s="71"/>
      <c r="AF110" s="69"/>
      <c r="AG110" s="68"/>
      <c r="AH110" s="68"/>
      <c r="AI110" s="68"/>
      <c r="AJ110" s="68"/>
      <c r="AK110" s="70"/>
      <c r="AL110" s="71"/>
      <c r="AM110" s="72"/>
      <c r="AN110" s="70"/>
      <c r="AO110" s="70"/>
      <c r="AP110" s="70"/>
      <c r="AQ110" s="70"/>
      <c r="AR110" s="73"/>
      <c r="AS110" s="80"/>
      <c r="AT110" s="188">
        <f t="shared" si="17"/>
        <v>4.96</v>
      </c>
      <c r="AU110" s="229">
        <f t="shared" si="16"/>
        <v>170</v>
      </c>
      <c r="AV110" s="168"/>
      <c r="AW110" s="168"/>
      <c r="AX110" s="168"/>
      <c r="AY110" s="168"/>
      <c r="AZ110" s="168"/>
      <c r="BA110" s="168"/>
      <c r="BB110" s="168"/>
      <c r="BC110" s="168"/>
      <c r="BD110" s="340"/>
      <c r="BE110" s="182"/>
      <c r="BF110" s="336"/>
      <c r="BG110" s="213"/>
      <c r="BH110" s="182"/>
      <c r="BI110" s="336"/>
      <c r="BJ110" s="213"/>
      <c r="BK110" s="182"/>
      <c r="BL110" s="336"/>
      <c r="BM110" s="213"/>
      <c r="BN110" s="182"/>
      <c r="BO110" s="336"/>
      <c r="BP110" s="213"/>
      <c r="BQ110" s="182"/>
      <c r="BR110" s="336"/>
      <c r="BS110" s="213"/>
      <c r="BT110" s="182"/>
      <c r="BU110" s="336"/>
      <c r="BV110" s="182"/>
      <c r="BW110" s="182"/>
      <c r="BX110" s="182"/>
    </row>
    <row r="111" spans="1:76">
      <c r="A111" s="16" t="s">
        <v>34</v>
      </c>
      <c r="B111" s="131"/>
      <c r="C111" s="68"/>
      <c r="D111" s="69"/>
      <c r="E111" s="68"/>
      <c r="F111" s="68"/>
      <c r="G111" s="68"/>
      <c r="H111" s="68"/>
      <c r="I111" s="70"/>
      <c r="J111" s="71"/>
      <c r="K111" s="69"/>
      <c r="L111" s="68"/>
      <c r="M111" s="68"/>
      <c r="N111" s="68"/>
      <c r="O111" s="68"/>
      <c r="P111" s="70"/>
      <c r="Q111" s="71"/>
      <c r="R111" s="69"/>
      <c r="S111" s="68"/>
      <c r="T111" s="68"/>
      <c r="U111" s="68"/>
      <c r="V111" s="68"/>
      <c r="W111" s="70"/>
      <c r="X111" s="71"/>
      <c r="Y111" s="69"/>
      <c r="Z111" s="68"/>
      <c r="AA111" s="68"/>
      <c r="AB111" s="68"/>
      <c r="AC111" s="68"/>
      <c r="AD111" s="70"/>
      <c r="AE111" s="71"/>
      <c r="AF111" s="69"/>
      <c r="AG111" s="68"/>
      <c r="AH111" s="68"/>
      <c r="AI111" s="68"/>
      <c r="AJ111" s="68"/>
      <c r="AK111" s="70"/>
      <c r="AL111" s="71"/>
      <c r="AM111" s="72"/>
      <c r="AN111" s="70"/>
      <c r="AO111" s="70"/>
      <c r="AP111" s="70"/>
      <c r="AQ111" s="70"/>
      <c r="AR111" s="73"/>
      <c r="AS111" s="80"/>
      <c r="AT111" s="188">
        <f t="shared" si="17"/>
        <v>4.96</v>
      </c>
      <c r="AU111" s="229">
        <f t="shared" si="16"/>
        <v>170</v>
      </c>
      <c r="AV111" s="168"/>
      <c r="AW111" s="168"/>
      <c r="AX111" s="168"/>
      <c r="AY111" s="168"/>
      <c r="AZ111" s="168"/>
      <c r="BA111" s="168"/>
      <c r="BB111" s="168"/>
      <c r="BC111" s="168"/>
      <c r="BD111" s="340"/>
      <c r="BE111" s="182"/>
      <c r="BF111" s="336"/>
      <c r="BG111" s="213"/>
      <c r="BH111" s="182"/>
      <c r="BI111" s="336"/>
      <c r="BJ111" s="213"/>
      <c r="BK111" s="182"/>
      <c r="BL111" s="336"/>
      <c r="BM111" s="213"/>
      <c r="BN111" s="182"/>
      <c r="BO111" s="336"/>
      <c r="BP111" s="213"/>
      <c r="BQ111" s="182"/>
      <c r="BR111" s="336"/>
      <c r="BS111" s="213"/>
      <c r="BT111" s="182"/>
      <c r="BU111" s="336"/>
      <c r="BV111" s="182"/>
      <c r="BW111" s="182"/>
      <c r="BX111" s="182"/>
    </row>
    <row r="112" spans="1:76">
      <c r="A112" s="16" t="s">
        <v>34</v>
      </c>
      <c r="B112" s="131"/>
      <c r="C112" s="68"/>
      <c r="D112" s="69"/>
      <c r="E112" s="68"/>
      <c r="F112" s="68"/>
      <c r="G112" s="68"/>
      <c r="H112" s="68"/>
      <c r="I112" s="70"/>
      <c r="J112" s="71"/>
      <c r="K112" s="69"/>
      <c r="L112" s="68"/>
      <c r="M112" s="68"/>
      <c r="N112" s="68"/>
      <c r="O112" s="68"/>
      <c r="P112" s="70"/>
      <c r="Q112" s="71"/>
      <c r="R112" s="69"/>
      <c r="S112" s="68"/>
      <c r="T112" s="68"/>
      <c r="U112" s="68"/>
      <c r="V112" s="68"/>
      <c r="W112" s="70"/>
      <c r="X112" s="71"/>
      <c r="Y112" s="69"/>
      <c r="Z112" s="68"/>
      <c r="AA112" s="68"/>
      <c r="AB112" s="68"/>
      <c r="AC112" s="68"/>
      <c r="AD112" s="70"/>
      <c r="AE112" s="71"/>
      <c r="AF112" s="69"/>
      <c r="AG112" s="68"/>
      <c r="AH112" s="68"/>
      <c r="AI112" s="68"/>
      <c r="AJ112" s="68"/>
      <c r="AK112" s="70"/>
      <c r="AL112" s="71"/>
      <c r="AM112" s="72"/>
      <c r="AN112" s="70"/>
      <c r="AO112" s="70"/>
      <c r="AP112" s="70"/>
      <c r="AQ112" s="70"/>
      <c r="AR112" s="73"/>
      <c r="AS112" s="80"/>
      <c r="AT112" s="188">
        <f t="shared" si="17"/>
        <v>4.96</v>
      </c>
      <c r="AU112" s="229">
        <f t="shared" si="16"/>
        <v>170</v>
      </c>
      <c r="AV112" s="168"/>
      <c r="AW112" s="168"/>
      <c r="AX112" s="168"/>
      <c r="AY112" s="168"/>
      <c r="AZ112" s="168"/>
      <c r="BA112" s="168"/>
      <c r="BB112" s="168"/>
      <c r="BC112" s="168"/>
      <c r="BD112" s="340"/>
      <c r="BE112" s="182"/>
      <c r="BF112" s="336"/>
      <c r="BG112" s="213"/>
      <c r="BH112" s="182"/>
      <c r="BI112" s="336"/>
      <c r="BJ112" s="213"/>
      <c r="BK112" s="182"/>
      <c r="BL112" s="336"/>
      <c r="BM112" s="213"/>
      <c r="BN112" s="182"/>
      <c r="BO112" s="336"/>
      <c r="BP112" s="213"/>
      <c r="BQ112" s="182"/>
      <c r="BR112" s="336"/>
      <c r="BS112" s="213"/>
      <c r="BT112" s="182"/>
      <c r="BU112" s="336"/>
      <c r="BV112" s="182"/>
      <c r="BW112" s="182"/>
      <c r="BX112" s="182"/>
    </row>
    <row r="113" spans="1:76">
      <c r="A113" s="16" t="s">
        <v>34</v>
      </c>
      <c r="B113" s="131"/>
      <c r="C113" s="68"/>
      <c r="D113" s="69"/>
      <c r="E113" s="68"/>
      <c r="F113" s="68"/>
      <c r="G113" s="68"/>
      <c r="H113" s="68"/>
      <c r="I113" s="70"/>
      <c r="J113" s="71"/>
      <c r="K113" s="69"/>
      <c r="L113" s="68"/>
      <c r="M113" s="68"/>
      <c r="N113" s="68"/>
      <c r="O113" s="68"/>
      <c r="P113" s="70"/>
      <c r="Q113" s="71"/>
      <c r="R113" s="69"/>
      <c r="S113" s="68"/>
      <c r="T113" s="68"/>
      <c r="U113" s="68"/>
      <c r="V113" s="68"/>
      <c r="W113" s="70"/>
      <c r="X113" s="71"/>
      <c r="Y113" s="69"/>
      <c r="Z113" s="68"/>
      <c r="AA113" s="68"/>
      <c r="AB113" s="68"/>
      <c r="AC113" s="68"/>
      <c r="AD113" s="70"/>
      <c r="AE113" s="71"/>
      <c r="AF113" s="69"/>
      <c r="AG113" s="68"/>
      <c r="AH113" s="68"/>
      <c r="AI113" s="68"/>
      <c r="AJ113" s="68"/>
      <c r="AK113" s="70"/>
      <c r="AL113" s="71"/>
      <c r="AM113" s="72"/>
      <c r="AN113" s="70"/>
      <c r="AO113" s="70"/>
      <c r="AP113" s="70"/>
      <c r="AQ113" s="70"/>
      <c r="AR113" s="73"/>
      <c r="AS113" s="80"/>
      <c r="AT113" s="188">
        <f t="shared" si="17"/>
        <v>4.96</v>
      </c>
      <c r="AU113" s="229">
        <f t="shared" si="16"/>
        <v>170</v>
      </c>
      <c r="AV113" s="168"/>
      <c r="AW113" s="168"/>
      <c r="AX113" s="168"/>
      <c r="AY113" s="168"/>
      <c r="AZ113" s="168"/>
      <c r="BA113" s="168"/>
      <c r="BB113" s="168"/>
      <c r="BC113" s="168"/>
      <c r="BD113" s="340"/>
      <c r="BE113" s="182"/>
      <c r="BF113" s="336"/>
      <c r="BG113" s="213"/>
      <c r="BH113" s="182"/>
      <c r="BI113" s="336"/>
      <c r="BJ113" s="213"/>
      <c r="BK113" s="182"/>
      <c r="BL113" s="336"/>
      <c r="BM113" s="213"/>
      <c r="BN113" s="182"/>
      <c r="BO113" s="336"/>
      <c r="BP113" s="213"/>
      <c r="BQ113" s="182"/>
      <c r="BR113" s="336"/>
      <c r="BS113" s="213"/>
      <c r="BT113" s="182"/>
      <c r="BU113" s="336"/>
      <c r="BV113" s="182"/>
      <c r="BW113" s="182"/>
      <c r="BX113" s="182"/>
    </row>
    <row r="114" spans="1:76">
      <c r="A114" s="16" t="s">
        <v>34</v>
      </c>
      <c r="B114" s="131"/>
      <c r="C114" s="68"/>
      <c r="D114" s="69"/>
      <c r="E114" s="68"/>
      <c r="F114" s="68"/>
      <c r="G114" s="68"/>
      <c r="H114" s="68"/>
      <c r="I114" s="70"/>
      <c r="J114" s="71"/>
      <c r="K114" s="69"/>
      <c r="L114" s="68"/>
      <c r="M114" s="68"/>
      <c r="N114" s="68"/>
      <c r="O114" s="68"/>
      <c r="P114" s="70"/>
      <c r="Q114" s="71"/>
      <c r="R114" s="69"/>
      <c r="S114" s="68"/>
      <c r="T114" s="68"/>
      <c r="U114" s="68"/>
      <c r="V114" s="68"/>
      <c r="W114" s="70"/>
      <c r="X114" s="71"/>
      <c r="Y114" s="69"/>
      <c r="Z114" s="68"/>
      <c r="AA114" s="68"/>
      <c r="AB114" s="68"/>
      <c r="AC114" s="68"/>
      <c r="AD114" s="70"/>
      <c r="AE114" s="71"/>
      <c r="AF114" s="69"/>
      <c r="AG114" s="68"/>
      <c r="AH114" s="68"/>
      <c r="AI114" s="68"/>
      <c r="AJ114" s="68"/>
      <c r="AK114" s="70"/>
      <c r="AL114" s="71"/>
      <c r="AM114" s="72"/>
      <c r="AN114" s="70"/>
      <c r="AO114" s="70"/>
      <c r="AP114" s="70"/>
      <c r="AQ114" s="70"/>
      <c r="AR114" s="73"/>
      <c r="AS114" s="80"/>
      <c r="AT114" s="188">
        <f t="shared" si="17"/>
        <v>4.96</v>
      </c>
      <c r="AU114" s="229">
        <f t="shared" si="16"/>
        <v>170</v>
      </c>
      <c r="AV114" s="168"/>
      <c r="AW114" s="168"/>
      <c r="AX114" s="168"/>
      <c r="AY114" s="168"/>
      <c r="AZ114" s="168"/>
      <c r="BA114" s="168"/>
      <c r="BB114" s="168"/>
      <c r="BC114" s="168"/>
      <c r="BD114" s="340"/>
      <c r="BE114" s="182"/>
      <c r="BF114" s="336"/>
      <c r="BG114" s="213"/>
      <c r="BH114" s="182"/>
      <c r="BI114" s="336"/>
      <c r="BJ114" s="213"/>
      <c r="BK114" s="182"/>
      <c r="BL114" s="336"/>
      <c r="BM114" s="213"/>
      <c r="BN114" s="182"/>
      <c r="BO114" s="336"/>
      <c r="BP114" s="213"/>
      <c r="BQ114" s="182"/>
      <c r="BR114" s="336"/>
      <c r="BS114" s="213"/>
      <c r="BT114" s="182"/>
      <c r="BU114" s="336"/>
      <c r="BV114" s="182"/>
      <c r="BW114" s="182"/>
      <c r="BX114" s="182"/>
    </row>
    <row r="115" spans="1:76">
      <c r="A115" s="16" t="s">
        <v>34</v>
      </c>
      <c r="B115" s="131"/>
      <c r="C115" s="68"/>
      <c r="D115" s="69"/>
      <c r="E115" s="68"/>
      <c r="F115" s="68"/>
      <c r="G115" s="68"/>
      <c r="H115" s="68"/>
      <c r="I115" s="70"/>
      <c r="J115" s="71"/>
      <c r="K115" s="69"/>
      <c r="L115" s="68"/>
      <c r="M115" s="68"/>
      <c r="N115" s="68"/>
      <c r="O115" s="68"/>
      <c r="P115" s="70"/>
      <c r="Q115" s="71"/>
      <c r="R115" s="69"/>
      <c r="S115" s="68"/>
      <c r="T115" s="68"/>
      <c r="U115" s="68"/>
      <c r="V115" s="68"/>
      <c r="W115" s="70"/>
      <c r="X115" s="71"/>
      <c r="Y115" s="69"/>
      <c r="Z115" s="68"/>
      <c r="AA115" s="68"/>
      <c r="AB115" s="68"/>
      <c r="AC115" s="68"/>
      <c r="AD115" s="70"/>
      <c r="AE115" s="71"/>
      <c r="AF115" s="69"/>
      <c r="AG115" s="68"/>
      <c r="AH115" s="68"/>
      <c r="AI115" s="68"/>
      <c r="AJ115" s="68"/>
      <c r="AK115" s="70"/>
      <c r="AL115" s="71"/>
      <c r="AM115" s="72"/>
      <c r="AN115" s="70"/>
      <c r="AO115" s="70"/>
      <c r="AP115" s="70"/>
      <c r="AQ115" s="70"/>
      <c r="AR115" s="73"/>
      <c r="AS115" s="80"/>
      <c r="AT115" s="188">
        <f t="shared" si="17"/>
        <v>4.96</v>
      </c>
      <c r="AU115" s="229">
        <f t="shared" si="16"/>
        <v>170</v>
      </c>
      <c r="AV115" s="168"/>
      <c r="AW115" s="168"/>
      <c r="AX115" s="168"/>
      <c r="AY115" s="168"/>
      <c r="AZ115" s="168"/>
      <c r="BA115" s="168"/>
      <c r="BB115" s="168"/>
      <c r="BC115" s="168"/>
      <c r="BD115" s="340"/>
      <c r="BE115" s="182"/>
      <c r="BF115" s="336"/>
      <c r="BG115" s="213"/>
      <c r="BH115" s="182"/>
      <c r="BI115" s="336"/>
      <c r="BJ115" s="213"/>
      <c r="BK115" s="182"/>
      <c r="BL115" s="336"/>
      <c r="BM115" s="213"/>
      <c r="BN115" s="182"/>
      <c r="BO115" s="336"/>
      <c r="BP115" s="213"/>
      <c r="BQ115" s="182"/>
      <c r="BR115" s="336"/>
      <c r="BS115" s="213"/>
      <c r="BT115" s="182"/>
      <c r="BU115" s="336"/>
      <c r="BV115" s="182"/>
      <c r="BW115" s="182"/>
      <c r="BX115" s="182"/>
    </row>
    <row r="116" spans="1:76">
      <c r="A116" s="16" t="s">
        <v>34</v>
      </c>
      <c r="B116" s="131"/>
      <c r="C116" s="68"/>
      <c r="D116" s="69"/>
      <c r="E116" s="68"/>
      <c r="F116" s="68"/>
      <c r="G116" s="68"/>
      <c r="H116" s="68"/>
      <c r="I116" s="70"/>
      <c r="J116" s="71"/>
      <c r="K116" s="69"/>
      <c r="L116" s="68"/>
      <c r="M116" s="68"/>
      <c r="N116" s="68"/>
      <c r="O116" s="68"/>
      <c r="P116" s="70"/>
      <c r="Q116" s="71"/>
      <c r="R116" s="69"/>
      <c r="S116" s="68"/>
      <c r="T116" s="68"/>
      <c r="U116" s="68"/>
      <c r="V116" s="68"/>
      <c r="W116" s="70"/>
      <c r="X116" s="71"/>
      <c r="Y116" s="69"/>
      <c r="Z116" s="68"/>
      <c r="AA116" s="68"/>
      <c r="AB116" s="68"/>
      <c r="AC116" s="68"/>
      <c r="AD116" s="70"/>
      <c r="AE116" s="71"/>
      <c r="AF116" s="69"/>
      <c r="AG116" s="68"/>
      <c r="AH116" s="68"/>
      <c r="AI116" s="68"/>
      <c r="AJ116" s="68"/>
      <c r="AK116" s="70"/>
      <c r="AL116" s="71"/>
      <c r="AM116" s="72"/>
      <c r="AN116" s="70"/>
      <c r="AO116" s="70"/>
      <c r="AP116" s="70"/>
      <c r="AQ116" s="70"/>
      <c r="AR116" s="73"/>
      <c r="AS116" s="80"/>
      <c r="AT116" s="188">
        <f t="shared" si="17"/>
        <v>4.96</v>
      </c>
      <c r="AU116" s="229">
        <f t="shared" si="16"/>
        <v>170</v>
      </c>
      <c r="AV116" s="168"/>
      <c r="AW116" s="168"/>
      <c r="AX116" s="168"/>
      <c r="AY116" s="168"/>
      <c r="AZ116" s="168"/>
      <c r="BA116" s="168"/>
      <c r="BB116" s="168"/>
      <c r="BC116" s="168"/>
      <c r="BD116" s="340"/>
      <c r="BE116" s="182"/>
      <c r="BF116" s="336"/>
      <c r="BG116" s="213"/>
      <c r="BH116" s="182"/>
      <c r="BI116" s="336"/>
      <c r="BJ116" s="213"/>
      <c r="BK116" s="182"/>
      <c r="BL116" s="336"/>
      <c r="BM116" s="213"/>
      <c r="BN116" s="182"/>
      <c r="BO116" s="336"/>
      <c r="BP116" s="213"/>
      <c r="BQ116" s="182"/>
      <c r="BR116" s="336"/>
      <c r="BS116" s="213"/>
      <c r="BT116" s="182"/>
      <c r="BU116" s="336"/>
      <c r="BV116" s="182"/>
      <c r="BW116" s="182"/>
      <c r="BX116" s="182"/>
    </row>
    <row r="117" spans="1:76">
      <c r="A117" s="16" t="s">
        <v>34</v>
      </c>
      <c r="B117" s="131"/>
      <c r="C117" s="68"/>
      <c r="D117" s="69"/>
      <c r="E117" s="68"/>
      <c r="F117" s="68"/>
      <c r="G117" s="68"/>
      <c r="H117" s="68"/>
      <c r="I117" s="70"/>
      <c r="J117" s="71"/>
      <c r="K117" s="69"/>
      <c r="L117" s="68"/>
      <c r="M117" s="68"/>
      <c r="N117" s="68"/>
      <c r="O117" s="68"/>
      <c r="P117" s="70"/>
      <c r="Q117" s="71"/>
      <c r="R117" s="69"/>
      <c r="S117" s="68"/>
      <c r="T117" s="68"/>
      <c r="U117" s="68"/>
      <c r="V117" s="68"/>
      <c r="W117" s="70"/>
      <c r="X117" s="71"/>
      <c r="Y117" s="69"/>
      <c r="Z117" s="68"/>
      <c r="AA117" s="68"/>
      <c r="AB117" s="68"/>
      <c r="AC117" s="68"/>
      <c r="AD117" s="70"/>
      <c r="AE117" s="71"/>
      <c r="AF117" s="69"/>
      <c r="AG117" s="68"/>
      <c r="AH117" s="68"/>
      <c r="AI117" s="68"/>
      <c r="AJ117" s="68"/>
      <c r="AK117" s="70"/>
      <c r="AL117" s="71"/>
      <c r="AM117" s="72"/>
      <c r="AN117" s="70"/>
      <c r="AO117" s="70"/>
      <c r="AP117" s="70"/>
      <c r="AQ117" s="70"/>
      <c r="AR117" s="73"/>
      <c r="AS117" s="80"/>
      <c r="AT117" s="188">
        <f t="shared" si="17"/>
        <v>4.96</v>
      </c>
      <c r="AU117" s="229">
        <f t="shared" si="16"/>
        <v>170</v>
      </c>
      <c r="AV117" s="168"/>
      <c r="AW117" s="168"/>
      <c r="AX117" s="168"/>
      <c r="AY117" s="168"/>
      <c r="AZ117" s="168"/>
      <c r="BA117" s="168"/>
      <c r="BB117" s="168"/>
      <c r="BC117" s="168"/>
      <c r="BD117" s="340"/>
      <c r="BE117" s="182"/>
      <c r="BF117" s="336"/>
      <c r="BG117" s="213"/>
      <c r="BH117" s="182"/>
      <c r="BI117" s="336"/>
      <c r="BJ117" s="213"/>
      <c r="BK117" s="182"/>
      <c r="BL117" s="336"/>
      <c r="BM117" s="213"/>
      <c r="BN117" s="182"/>
      <c r="BO117" s="336"/>
      <c r="BP117" s="213"/>
      <c r="BQ117" s="182"/>
      <c r="BR117" s="336"/>
      <c r="BS117" s="213"/>
      <c r="BT117" s="182"/>
      <c r="BU117" s="336"/>
      <c r="BV117" s="182"/>
      <c r="BW117" s="182"/>
      <c r="BX117" s="182"/>
    </row>
    <row r="118" spans="1:76">
      <c r="A118" s="16" t="s">
        <v>34</v>
      </c>
      <c r="B118" s="131"/>
      <c r="C118" s="68"/>
      <c r="D118" s="69"/>
      <c r="E118" s="68"/>
      <c r="F118" s="68"/>
      <c r="G118" s="68"/>
      <c r="H118" s="68"/>
      <c r="I118" s="70"/>
      <c r="J118" s="71"/>
      <c r="K118" s="69"/>
      <c r="L118" s="68"/>
      <c r="M118" s="68"/>
      <c r="N118" s="68"/>
      <c r="O118" s="68"/>
      <c r="P118" s="70"/>
      <c r="Q118" s="71"/>
      <c r="R118" s="69"/>
      <c r="S118" s="68"/>
      <c r="T118" s="68"/>
      <c r="U118" s="68"/>
      <c r="V118" s="68"/>
      <c r="W118" s="70"/>
      <c r="X118" s="71"/>
      <c r="Y118" s="69"/>
      <c r="Z118" s="68"/>
      <c r="AA118" s="68"/>
      <c r="AB118" s="68"/>
      <c r="AC118" s="68"/>
      <c r="AD118" s="70"/>
      <c r="AE118" s="71"/>
      <c r="AF118" s="69"/>
      <c r="AG118" s="68"/>
      <c r="AH118" s="68"/>
      <c r="AI118" s="68"/>
      <c r="AJ118" s="68"/>
      <c r="AK118" s="70"/>
      <c r="AL118" s="71"/>
      <c r="AM118" s="72"/>
      <c r="AN118" s="70"/>
      <c r="AO118" s="70"/>
      <c r="AP118" s="70"/>
      <c r="AQ118" s="70"/>
      <c r="AR118" s="73"/>
      <c r="AS118" s="80"/>
      <c r="AT118" s="188">
        <f t="shared" si="17"/>
        <v>4.96</v>
      </c>
      <c r="AU118" s="229">
        <f t="shared" si="16"/>
        <v>170</v>
      </c>
      <c r="AV118" s="168"/>
      <c r="AW118" s="168"/>
      <c r="AX118" s="168"/>
      <c r="AY118" s="168"/>
      <c r="AZ118" s="168"/>
      <c r="BA118" s="168"/>
      <c r="BB118" s="168"/>
      <c r="BC118" s="168"/>
      <c r="BD118" s="340"/>
      <c r="BE118" s="182"/>
      <c r="BF118" s="336"/>
      <c r="BG118" s="213"/>
      <c r="BH118" s="182"/>
      <c r="BI118" s="336"/>
      <c r="BJ118" s="213"/>
      <c r="BK118" s="182"/>
      <c r="BL118" s="336"/>
      <c r="BM118" s="213"/>
      <c r="BN118" s="182"/>
      <c r="BO118" s="336"/>
      <c r="BP118" s="213"/>
      <c r="BQ118" s="182"/>
      <c r="BR118" s="336"/>
      <c r="BS118" s="213"/>
      <c r="BT118" s="182"/>
      <c r="BU118" s="336"/>
      <c r="BV118" s="182"/>
      <c r="BW118" s="182"/>
      <c r="BX118" s="182"/>
    </row>
    <row r="119" spans="1:76">
      <c r="A119" s="16" t="s">
        <v>34</v>
      </c>
      <c r="B119" s="131"/>
      <c r="C119" s="68"/>
      <c r="D119" s="69"/>
      <c r="E119" s="68"/>
      <c r="F119" s="68"/>
      <c r="G119" s="68"/>
      <c r="H119" s="68"/>
      <c r="I119" s="70"/>
      <c r="J119" s="71"/>
      <c r="K119" s="69"/>
      <c r="L119" s="68"/>
      <c r="M119" s="68"/>
      <c r="N119" s="68"/>
      <c r="O119" s="68"/>
      <c r="P119" s="70"/>
      <c r="Q119" s="71"/>
      <c r="R119" s="69"/>
      <c r="S119" s="68"/>
      <c r="T119" s="68"/>
      <c r="U119" s="68"/>
      <c r="V119" s="68"/>
      <c r="W119" s="70"/>
      <c r="X119" s="71"/>
      <c r="Y119" s="69"/>
      <c r="Z119" s="68"/>
      <c r="AA119" s="68"/>
      <c r="AB119" s="68"/>
      <c r="AC119" s="68"/>
      <c r="AD119" s="70"/>
      <c r="AE119" s="71"/>
      <c r="AF119" s="69"/>
      <c r="AG119" s="68"/>
      <c r="AH119" s="68"/>
      <c r="AI119" s="68"/>
      <c r="AJ119" s="68"/>
      <c r="AK119" s="70"/>
      <c r="AL119" s="71"/>
      <c r="AM119" s="72"/>
      <c r="AN119" s="70"/>
      <c r="AO119" s="70"/>
      <c r="AP119" s="70"/>
      <c r="AQ119" s="70"/>
      <c r="AR119" s="73"/>
      <c r="AS119" s="80"/>
      <c r="AT119" s="188">
        <f t="shared" si="17"/>
        <v>4.96</v>
      </c>
      <c r="AU119" s="229">
        <f t="shared" si="16"/>
        <v>170</v>
      </c>
      <c r="AV119" s="168"/>
      <c r="AW119" s="168"/>
      <c r="AX119" s="168"/>
      <c r="AY119" s="168"/>
      <c r="AZ119" s="168"/>
      <c r="BA119" s="168"/>
      <c r="BB119" s="168"/>
      <c r="BC119" s="168"/>
      <c r="BD119" s="340"/>
      <c r="BE119" s="182"/>
      <c r="BF119" s="336"/>
      <c r="BG119" s="213"/>
      <c r="BH119" s="182"/>
      <c r="BI119" s="336"/>
      <c r="BJ119" s="213"/>
      <c r="BK119" s="182"/>
      <c r="BL119" s="336"/>
      <c r="BM119" s="213"/>
      <c r="BN119" s="182"/>
      <c r="BO119" s="336"/>
      <c r="BP119" s="213"/>
      <c r="BQ119" s="182"/>
      <c r="BR119" s="336"/>
      <c r="BS119" s="213"/>
      <c r="BT119" s="182"/>
      <c r="BU119" s="336"/>
      <c r="BV119" s="182"/>
      <c r="BW119" s="182"/>
      <c r="BX119" s="182"/>
    </row>
    <row r="120" spans="1:76">
      <c r="A120" s="16" t="s">
        <v>34</v>
      </c>
      <c r="B120" s="131"/>
      <c r="C120" s="68"/>
      <c r="D120" s="69"/>
      <c r="E120" s="68"/>
      <c r="F120" s="68"/>
      <c r="G120" s="68"/>
      <c r="H120" s="68"/>
      <c r="I120" s="70"/>
      <c r="J120" s="71"/>
      <c r="K120" s="69"/>
      <c r="L120" s="68"/>
      <c r="M120" s="68"/>
      <c r="N120" s="68"/>
      <c r="O120" s="68"/>
      <c r="P120" s="70"/>
      <c r="Q120" s="71"/>
      <c r="R120" s="69"/>
      <c r="S120" s="68"/>
      <c r="T120" s="68"/>
      <c r="U120" s="68"/>
      <c r="V120" s="68"/>
      <c r="W120" s="70"/>
      <c r="X120" s="71"/>
      <c r="Y120" s="69"/>
      <c r="Z120" s="68"/>
      <c r="AA120" s="68"/>
      <c r="AB120" s="68"/>
      <c r="AC120" s="68"/>
      <c r="AD120" s="70"/>
      <c r="AE120" s="71"/>
      <c r="AF120" s="69"/>
      <c r="AG120" s="68"/>
      <c r="AH120" s="68"/>
      <c r="AI120" s="68"/>
      <c r="AJ120" s="68"/>
      <c r="AK120" s="70"/>
      <c r="AL120" s="71"/>
      <c r="AM120" s="72"/>
      <c r="AN120" s="70"/>
      <c r="AO120" s="70"/>
      <c r="AP120" s="70"/>
      <c r="AQ120" s="70"/>
      <c r="AR120" s="73"/>
      <c r="AS120" s="80"/>
      <c r="AT120" s="188">
        <f t="shared" si="17"/>
        <v>4.96</v>
      </c>
      <c r="AU120" s="229">
        <f t="shared" si="16"/>
        <v>170</v>
      </c>
      <c r="AV120" s="168"/>
      <c r="AW120" s="168"/>
      <c r="AX120" s="168"/>
      <c r="AY120" s="168"/>
      <c r="AZ120" s="168"/>
      <c r="BA120" s="168"/>
      <c r="BB120" s="168"/>
      <c r="BC120" s="168"/>
      <c r="BD120" s="340"/>
      <c r="BE120" s="182"/>
      <c r="BF120" s="336"/>
      <c r="BG120" s="213"/>
      <c r="BH120" s="182"/>
      <c r="BI120" s="336"/>
      <c r="BJ120" s="213"/>
      <c r="BK120" s="182"/>
      <c r="BL120" s="336"/>
      <c r="BM120" s="213"/>
      <c r="BN120" s="182"/>
      <c r="BO120" s="336"/>
      <c r="BP120" s="213"/>
      <c r="BQ120" s="182"/>
      <c r="BR120" s="336"/>
      <c r="BS120" s="213"/>
      <c r="BT120" s="182"/>
      <c r="BU120" s="336"/>
      <c r="BV120" s="182"/>
      <c r="BW120" s="182"/>
      <c r="BX120" s="182"/>
    </row>
    <row r="121" spans="1:76">
      <c r="A121" s="16" t="s">
        <v>34</v>
      </c>
      <c r="B121" s="131"/>
      <c r="C121" s="68"/>
      <c r="D121" s="69"/>
      <c r="E121" s="68"/>
      <c r="F121" s="68"/>
      <c r="G121" s="68"/>
      <c r="H121" s="68"/>
      <c r="I121" s="70"/>
      <c r="J121" s="71"/>
      <c r="K121" s="69"/>
      <c r="L121" s="68"/>
      <c r="M121" s="68"/>
      <c r="N121" s="68"/>
      <c r="O121" s="68"/>
      <c r="P121" s="70"/>
      <c r="Q121" s="71"/>
      <c r="R121" s="69"/>
      <c r="S121" s="68"/>
      <c r="T121" s="68"/>
      <c r="U121" s="68"/>
      <c r="V121" s="68"/>
      <c r="W121" s="70"/>
      <c r="X121" s="71"/>
      <c r="Y121" s="69"/>
      <c r="Z121" s="68"/>
      <c r="AA121" s="68"/>
      <c r="AB121" s="68"/>
      <c r="AC121" s="68"/>
      <c r="AD121" s="70"/>
      <c r="AE121" s="71"/>
      <c r="AF121" s="69"/>
      <c r="AG121" s="68"/>
      <c r="AH121" s="68"/>
      <c r="AI121" s="68"/>
      <c r="AJ121" s="68"/>
      <c r="AK121" s="70"/>
      <c r="AL121" s="71"/>
      <c r="AM121" s="72"/>
      <c r="AN121" s="70"/>
      <c r="AO121" s="70"/>
      <c r="AP121" s="70"/>
      <c r="AQ121" s="70"/>
      <c r="AR121" s="73"/>
      <c r="AS121" s="80"/>
      <c r="AT121" s="188">
        <f t="shared" si="17"/>
        <v>4.96</v>
      </c>
      <c r="AU121" s="229">
        <f t="shared" si="16"/>
        <v>170</v>
      </c>
      <c r="AV121" s="168"/>
      <c r="AW121" s="168"/>
      <c r="AX121" s="168"/>
      <c r="AY121" s="168"/>
      <c r="AZ121" s="168"/>
      <c r="BA121" s="168"/>
      <c r="BB121" s="168"/>
      <c r="BC121" s="168"/>
      <c r="BD121" s="340"/>
      <c r="BE121" s="182"/>
      <c r="BF121" s="336"/>
      <c r="BG121" s="213"/>
      <c r="BH121" s="182"/>
      <c r="BI121" s="336"/>
      <c r="BJ121" s="213"/>
      <c r="BK121" s="182"/>
      <c r="BL121" s="336"/>
      <c r="BM121" s="213"/>
      <c r="BN121" s="182"/>
      <c r="BO121" s="336"/>
      <c r="BP121" s="213"/>
      <c r="BQ121" s="182"/>
      <c r="BR121" s="336"/>
      <c r="BS121" s="213"/>
      <c r="BT121" s="182"/>
      <c r="BU121" s="336"/>
      <c r="BV121" s="182"/>
      <c r="BW121" s="182"/>
      <c r="BX121" s="182"/>
    </row>
    <row r="122" spans="1:76">
      <c r="A122" s="16" t="s">
        <v>34</v>
      </c>
      <c r="B122" s="131"/>
      <c r="C122" s="68"/>
      <c r="D122" s="69"/>
      <c r="E122" s="68"/>
      <c r="F122" s="68"/>
      <c r="G122" s="68"/>
      <c r="H122" s="68"/>
      <c r="I122" s="70"/>
      <c r="J122" s="71"/>
      <c r="K122" s="69"/>
      <c r="L122" s="68"/>
      <c r="M122" s="68"/>
      <c r="N122" s="68"/>
      <c r="O122" s="68"/>
      <c r="P122" s="70"/>
      <c r="Q122" s="71"/>
      <c r="R122" s="69"/>
      <c r="S122" s="68"/>
      <c r="T122" s="68"/>
      <c r="U122" s="68"/>
      <c r="V122" s="68"/>
      <c r="W122" s="70"/>
      <c r="X122" s="71"/>
      <c r="Y122" s="69"/>
      <c r="Z122" s="68"/>
      <c r="AA122" s="68"/>
      <c r="AB122" s="68"/>
      <c r="AC122" s="68"/>
      <c r="AD122" s="70"/>
      <c r="AE122" s="71"/>
      <c r="AF122" s="69"/>
      <c r="AG122" s="68"/>
      <c r="AH122" s="68"/>
      <c r="AI122" s="68"/>
      <c r="AJ122" s="68"/>
      <c r="AK122" s="70"/>
      <c r="AL122" s="71"/>
      <c r="AM122" s="72"/>
      <c r="AN122" s="70"/>
      <c r="AO122" s="70"/>
      <c r="AP122" s="70"/>
      <c r="AQ122" s="70"/>
      <c r="AR122" s="73"/>
      <c r="AS122" s="80"/>
      <c r="AT122" s="188">
        <f t="shared" si="17"/>
        <v>4.96</v>
      </c>
      <c r="AU122" s="229">
        <f t="shared" si="16"/>
        <v>170</v>
      </c>
      <c r="AV122" s="168"/>
      <c r="AW122" s="168"/>
      <c r="AX122" s="168"/>
      <c r="AY122" s="168"/>
      <c r="AZ122" s="168"/>
      <c r="BA122" s="168"/>
      <c r="BB122" s="168"/>
      <c r="BC122" s="168"/>
      <c r="BD122" s="340"/>
      <c r="BE122" s="182"/>
      <c r="BF122" s="336"/>
      <c r="BG122" s="213"/>
      <c r="BH122" s="182"/>
      <c r="BI122" s="336"/>
      <c r="BJ122" s="213"/>
      <c r="BK122" s="182"/>
      <c r="BL122" s="336"/>
      <c r="BM122" s="213"/>
      <c r="BN122" s="182"/>
      <c r="BO122" s="336"/>
      <c r="BP122" s="213"/>
      <c r="BQ122" s="182"/>
      <c r="BR122" s="336"/>
      <c r="BS122" s="213"/>
      <c r="BT122" s="182"/>
      <c r="BU122" s="336"/>
      <c r="BV122" s="182"/>
      <c r="BW122" s="182"/>
      <c r="BX122" s="182"/>
    </row>
    <row r="123" spans="1:76">
      <c r="A123" s="16" t="s">
        <v>34</v>
      </c>
      <c r="B123" s="131"/>
      <c r="C123" s="68"/>
      <c r="D123" s="69"/>
      <c r="E123" s="68"/>
      <c r="F123" s="68"/>
      <c r="G123" s="68"/>
      <c r="H123" s="68"/>
      <c r="I123" s="70"/>
      <c r="J123" s="71"/>
      <c r="K123" s="69"/>
      <c r="L123" s="68"/>
      <c r="M123" s="68"/>
      <c r="N123" s="68"/>
      <c r="O123" s="68"/>
      <c r="P123" s="70"/>
      <c r="Q123" s="71"/>
      <c r="R123" s="69"/>
      <c r="S123" s="68"/>
      <c r="T123" s="68"/>
      <c r="U123" s="68"/>
      <c r="V123" s="68"/>
      <c r="W123" s="70"/>
      <c r="X123" s="71"/>
      <c r="Y123" s="69"/>
      <c r="Z123" s="68"/>
      <c r="AA123" s="68"/>
      <c r="AB123" s="68"/>
      <c r="AC123" s="68"/>
      <c r="AD123" s="70"/>
      <c r="AE123" s="71"/>
      <c r="AF123" s="69"/>
      <c r="AG123" s="68"/>
      <c r="AH123" s="68"/>
      <c r="AI123" s="68"/>
      <c r="AJ123" s="68"/>
      <c r="AK123" s="70"/>
      <c r="AL123" s="71"/>
      <c r="AM123" s="72"/>
      <c r="AN123" s="70"/>
      <c r="AO123" s="70"/>
      <c r="AP123" s="70"/>
      <c r="AQ123" s="70"/>
      <c r="AR123" s="73"/>
      <c r="AS123" s="80"/>
      <c r="AT123" s="188">
        <f t="shared" si="17"/>
        <v>4.96</v>
      </c>
      <c r="AU123" s="229">
        <f t="shared" si="16"/>
        <v>170</v>
      </c>
      <c r="AV123" s="168"/>
      <c r="AW123" s="168"/>
      <c r="AX123" s="168"/>
      <c r="AY123" s="168"/>
      <c r="AZ123" s="168"/>
      <c r="BA123" s="168"/>
      <c r="BB123" s="168"/>
      <c r="BC123" s="168"/>
      <c r="BD123" s="340"/>
      <c r="BE123" s="182"/>
      <c r="BF123" s="336"/>
      <c r="BG123" s="213"/>
      <c r="BH123" s="182"/>
      <c r="BI123" s="336"/>
      <c r="BJ123" s="213"/>
      <c r="BK123" s="182"/>
      <c r="BL123" s="336"/>
      <c r="BM123" s="213"/>
      <c r="BN123" s="182"/>
      <c r="BO123" s="336"/>
      <c r="BP123" s="213"/>
      <c r="BQ123" s="182"/>
      <c r="BR123" s="336"/>
      <c r="BS123" s="213"/>
      <c r="BT123" s="182"/>
      <c r="BU123" s="336"/>
      <c r="BV123" s="182"/>
      <c r="BW123" s="182"/>
      <c r="BX123" s="182"/>
    </row>
    <row r="124" spans="1:76">
      <c r="A124" s="16" t="s">
        <v>34</v>
      </c>
      <c r="B124" s="131"/>
      <c r="C124" s="68"/>
      <c r="D124" s="69"/>
      <c r="E124" s="68"/>
      <c r="F124" s="68"/>
      <c r="G124" s="68"/>
      <c r="H124" s="68"/>
      <c r="I124" s="70"/>
      <c r="J124" s="71"/>
      <c r="K124" s="69"/>
      <c r="L124" s="68"/>
      <c r="M124" s="68"/>
      <c r="N124" s="68"/>
      <c r="O124" s="68"/>
      <c r="P124" s="70"/>
      <c r="Q124" s="71"/>
      <c r="R124" s="69"/>
      <c r="S124" s="68"/>
      <c r="T124" s="68"/>
      <c r="U124" s="68"/>
      <c r="V124" s="68"/>
      <c r="W124" s="70"/>
      <c r="X124" s="71"/>
      <c r="Y124" s="69"/>
      <c r="Z124" s="68"/>
      <c r="AA124" s="68"/>
      <c r="AB124" s="68"/>
      <c r="AC124" s="68"/>
      <c r="AD124" s="70"/>
      <c r="AE124" s="71"/>
      <c r="AF124" s="69"/>
      <c r="AG124" s="68"/>
      <c r="AH124" s="68"/>
      <c r="AI124" s="68"/>
      <c r="AJ124" s="68"/>
      <c r="AK124" s="70"/>
      <c r="AL124" s="71"/>
      <c r="AM124" s="72"/>
      <c r="AN124" s="70"/>
      <c r="AO124" s="70"/>
      <c r="AP124" s="70"/>
      <c r="AQ124" s="70"/>
      <c r="AR124" s="73"/>
      <c r="AS124" s="80"/>
      <c r="AT124" s="188">
        <f t="shared" si="17"/>
        <v>4.96</v>
      </c>
      <c r="AU124" s="229">
        <f t="shared" si="16"/>
        <v>170</v>
      </c>
      <c r="AV124" s="168"/>
      <c r="AW124" s="168"/>
      <c r="AX124" s="168"/>
      <c r="AY124" s="168"/>
      <c r="AZ124" s="168"/>
      <c r="BA124" s="168"/>
      <c r="BB124" s="168"/>
      <c r="BC124" s="168"/>
      <c r="BD124" s="340"/>
      <c r="BE124" s="182"/>
      <c r="BF124" s="336"/>
      <c r="BG124" s="213"/>
      <c r="BH124" s="182"/>
      <c r="BI124" s="336"/>
      <c r="BJ124" s="213"/>
      <c r="BK124" s="182"/>
      <c r="BL124" s="336"/>
      <c r="BM124" s="213"/>
      <c r="BN124" s="182"/>
      <c r="BO124" s="336"/>
      <c r="BP124" s="213"/>
      <c r="BQ124" s="182"/>
      <c r="BR124" s="336"/>
      <c r="BS124" s="213"/>
      <c r="BT124" s="182"/>
      <c r="BU124" s="336"/>
      <c r="BV124" s="182"/>
      <c r="BW124" s="182"/>
      <c r="BX124" s="182"/>
    </row>
    <row r="125" spans="1:76" ht="13" thickBot="1">
      <c r="A125" s="17" t="s">
        <v>34</v>
      </c>
      <c r="B125" s="132"/>
      <c r="C125" s="75"/>
      <c r="D125" s="74"/>
      <c r="E125" s="75"/>
      <c r="F125" s="75"/>
      <c r="G125" s="75"/>
      <c r="H125" s="75"/>
      <c r="I125" s="76"/>
      <c r="J125" s="77"/>
      <c r="K125" s="74"/>
      <c r="L125" s="75"/>
      <c r="M125" s="75"/>
      <c r="N125" s="75"/>
      <c r="O125" s="75"/>
      <c r="P125" s="76"/>
      <c r="Q125" s="77"/>
      <c r="R125" s="74"/>
      <c r="S125" s="75"/>
      <c r="T125" s="75"/>
      <c r="U125" s="75"/>
      <c r="V125" s="75"/>
      <c r="W125" s="76"/>
      <c r="X125" s="77"/>
      <c r="Y125" s="74"/>
      <c r="Z125" s="75"/>
      <c r="AA125" s="75"/>
      <c r="AB125" s="75"/>
      <c r="AC125" s="75"/>
      <c r="AD125" s="76"/>
      <c r="AE125" s="77"/>
      <c r="AF125" s="74"/>
      <c r="AG125" s="75"/>
      <c r="AH125" s="75"/>
      <c r="AI125" s="75"/>
      <c r="AJ125" s="75"/>
      <c r="AK125" s="76"/>
      <c r="AL125" s="77"/>
      <c r="AM125" s="78"/>
      <c r="AN125" s="76"/>
      <c r="AO125" s="76"/>
      <c r="AP125" s="76"/>
      <c r="AQ125" s="76"/>
      <c r="AR125" s="79"/>
      <c r="AS125" s="81"/>
      <c r="AT125" s="189"/>
      <c r="AU125" s="230"/>
      <c r="AV125" s="186"/>
      <c r="AW125" s="186"/>
      <c r="AX125" s="186"/>
      <c r="AY125" s="186"/>
      <c r="AZ125" s="186"/>
      <c r="BA125" s="186"/>
      <c r="BB125" s="186"/>
      <c r="BC125" s="186"/>
      <c r="BD125" s="341"/>
      <c r="BE125" s="330"/>
      <c r="BF125" s="342"/>
      <c r="BG125" s="329"/>
      <c r="BH125" s="330"/>
      <c r="BI125" s="342"/>
      <c r="BJ125" s="329"/>
      <c r="BK125" s="330"/>
      <c r="BL125" s="342"/>
      <c r="BM125" s="329"/>
      <c r="BN125" s="330"/>
      <c r="BO125" s="342"/>
      <c r="BP125" s="329"/>
      <c r="BQ125" s="330"/>
      <c r="BR125" s="342"/>
      <c r="BS125" s="329"/>
      <c r="BT125" s="330"/>
      <c r="BU125" s="342"/>
      <c r="BV125" s="182"/>
      <c r="BW125" s="182"/>
      <c r="BX125" s="182"/>
    </row>
    <row r="126" spans="1:76">
      <c r="A126" s="15" t="s">
        <v>33</v>
      </c>
      <c r="B126" s="130">
        <v>41039</v>
      </c>
      <c r="C126" s="83" t="s">
        <v>87</v>
      </c>
      <c r="D126" s="84">
        <v>0</v>
      </c>
      <c r="E126" s="83">
        <v>0</v>
      </c>
      <c r="F126" s="83">
        <v>0</v>
      </c>
      <c r="G126" s="83">
        <v>0</v>
      </c>
      <c r="H126" s="83">
        <v>0</v>
      </c>
      <c r="I126" s="85">
        <v>0</v>
      </c>
      <c r="J126" s="86">
        <v>0</v>
      </c>
      <c r="K126" s="84">
        <v>0</v>
      </c>
      <c r="L126" s="83">
        <v>0</v>
      </c>
      <c r="M126" s="83">
        <v>0</v>
      </c>
      <c r="N126" s="83">
        <v>0</v>
      </c>
      <c r="O126" s="83">
        <v>0</v>
      </c>
      <c r="P126" s="85">
        <v>0</v>
      </c>
      <c r="Q126" s="86">
        <v>0</v>
      </c>
      <c r="R126" s="84">
        <v>0</v>
      </c>
      <c r="S126" s="83">
        <v>0</v>
      </c>
      <c r="T126" s="83">
        <v>0</v>
      </c>
      <c r="U126" s="83">
        <v>0</v>
      </c>
      <c r="V126" s="83">
        <v>0</v>
      </c>
      <c r="W126" s="85">
        <v>0</v>
      </c>
      <c r="X126" s="86">
        <v>0</v>
      </c>
      <c r="Y126" s="84">
        <v>0</v>
      </c>
      <c r="Z126" s="83">
        <v>0</v>
      </c>
      <c r="AA126" s="83">
        <v>0</v>
      </c>
      <c r="AB126" s="83">
        <v>0</v>
      </c>
      <c r="AC126" s="83">
        <v>0</v>
      </c>
      <c r="AD126" s="85">
        <v>0</v>
      </c>
      <c r="AE126" s="86">
        <v>0</v>
      </c>
      <c r="AF126" s="84">
        <v>0</v>
      </c>
      <c r="AG126" s="83">
        <v>0</v>
      </c>
      <c r="AH126" s="83">
        <v>0</v>
      </c>
      <c r="AI126" s="83">
        <v>0</v>
      </c>
      <c r="AJ126" s="83">
        <v>0</v>
      </c>
      <c r="AK126" s="85">
        <v>0</v>
      </c>
      <c r="AL126" s="86">
        <v>0</v>
      </c>
      <c r="AM126" s="87">
        <v>0</v>
      </c>
      <c r="AN126" s="85">
        <v>0</v>
      </c>
      <c r="AO126" s="85">
        <v>0</v>
      </c>
      <c r="AP126" s="85">
        <v>0</v>
      </c>
      <c r="AQ126" s="85">
        <v>0</v>
      </c>
      <c r="AR126" s="88">
        <v>0</v>
      </c>
      <c r="AS126" s="89">
        <v>0</v>
      </c>
      <c r="AT126" s="187">
        <f t="shared" si="17"/>
        <v>0</v>
      </c>
      <c r="AU126" s="228">
        <f t="shared" si="16"/>
        <v>131</v>
      </c>
      <c r="AV126" s="168"/>
      <c r="AW126" s="168"/>
      <c r="AX126" s="168"/>
      <c r="AY126" s="168"/>
      <c r="AZ126" s="168"/>
      <c r="BA126" s="168"/>
      <c r="BB126" s="168"/>
      <c r="BC126" s="168"/>
      <c r="BD126" s="340">
        <v>38854</v>
      </c>
      <c r="BE126" s="182">
        <f>BD126-DATE(YEAR(BD126)-1,12,31)</f>
        <v>137</v>
      </c>
      <c r="BF126" s="336">
        <v>1</v>
      </c>
      <c r="BG126" s="213">
        <v>39202</v>
      </c>
      <c r="BH126" s="182">
        <f>BG126-DATE(YEAR(BG126)-1,12,31)</f>
        <v>120</v>
      </c>
      <c r="BI126" s="336">
        <v>0.08</v>
      </c>
      <c r="BJ126" s="213">
        <v>39570</v>
      </c>
      <c r="BK126" s="182">
        <f t="shared" ref="BK126:BK138" si="20">BJ126-DATE(YEAR(BJ126)-1,12,31)</f>
        <v>123</v>
      </c>
      <c r="BL126" s="336">
        <v>0</v>
      </c>
      <c r="BM126" s="213">
        <v>39933</v>
      </c>
      <c r="BN126" s="182">
        <v>120</v>
      </c>
      <c r="BO126" s="336">
        <v>0</v>
      </c>
      <c r="BP126" s="213">
        <v>40302</v>
      </c>
      <c r="BQ126" s="182">
        <v>124</v>
      </c>
      <c r="BR126" s="336">
        <v>0</v>
      </c>
      <c r="BS126" s="213">
        <v>40661</v>
      </c>
      <c r="BT126" s="182">
        <v>118</v>
      </c>
      <c r="BU126" s="336">
        <v>0.62857142857142856</v>
      </c>
      <c r="BV126" s="182"/>
      <c r="BW126" s="182"/>
      <c r="BX126" s="182"/>
    </row>
    <row r="127" spans="1:76">
      <c r="A127" s="16" t="s">
        <v>33</v>
      </c>
      <c r="B127" s="131">
        <v>41045</v>
      </c>
      <c r="C127" s="68" t="s">
        <v>87</v>
      </c>
      <c r="D127" s="69">
        <v>0</v>
      </c>
      <c r="E127" s="68">
        <v>0</v>
      </c>
      <c r="F127" s="68">
        <v>0</v>
      </c>
      <c r="G127" s="68">
        <v>0</v>
      </c>
      <c r="H127" s="68">
        <v>0</v>
      </c>
      <c r="I127" s="70">
        <v>0</v>
      </c>
      <c r="J127" s="71">
        <v>0</v>
      </c>
      <c r="K127" s="69">
        <v>0</v>
      </c>
      <c r="L127" s="68">
        <v>0</v>
      </c>
      <c r="M127" s="68">
        <v>0</v>
      </c>
      <c r="N127" s="68">
        <v>0</v>
      </c>
      <c r="O127" s="68">
        <v>0</v>
      </c>
      <c r="P127" s="70">
        <v>0</v>
      </c>
      <c r="Q127" s="71">
        <v>0</v>
      </c>
      <c r="R127" s="69">
        <v>0</v>
      </c>
      <c r="S127" s="68">
        <v>0</v>
      </c>
      <c r="T127" s="68">
        <v>0</v>
      </c>
      <c r="U127" s="68">
        <v>0</v>
      </c>
      <c r="V127" s="68">
        <v>0</v>
      </c>
      <c r="W127" s="70">
        <v>0</v>
      </c>
      <c r="X127" s="71">
        <v>0</v>
      </c>
      <c r="Y127" s="69">
        <v>0</v>
      </c>
      <c r="Z127" s="68">
        <v>0</v>
      </c>
      <c r="AA127" s="68">
        <v>0</v>
      </c>
      <c r="AB127" s="68">
        <v>0</v>
      </c>
      <c r="AC127" s="68">
        <v>0</v>
      </c>
      <c r="AD127" s="70">
        <v>0</v>
      </c>
      <c r="AE127" s="71">
        <v>0</v>
      </c>
      <c r="AF127" s="69">
        <v>0</v>
      </c>
      <c r="AG127" s="68">
        <v>0</v>
      </c>
      <c r="AH127" s="68">
        <v>0</v>
      </c>
      <c r="AI127" s="68">
        <v>0</v>
      </c>
      <c r="AJ127" s="68">
        <v>0</v>
      </c>
      <c r="AK127" s="70">
        <v>0</v>
      </c>
      <c r="AL127" s="71">
        <v>0</v>
      </c>
      <c r="AM127" s="72">
        <v>0</v>
      </c>
      <c r="AN127" s="70">
        <v>0</v>
      </c>
      <c r="AO127" s="70">
        <v>0</v>
      </c>
      <c r="AP127" s="70">
        <v>0</v>
      </c>
      <c r="AQ127" s="70">
        <v>0</v>
      </c>
      <c r="AR127" s="73">
        <v>0</v>
      </c>
      <c r="AS127" s="80">
        <v>0</v>
      </c>
      <c r="AT127" s="188">
        <f t="shared" si="17"/>
        <v>0</v>
      </c>
      <c r="AU127" s="229">
        <f t="shared" si="16"/>
        <v>137</v>
      </c>
      <c r="AV127" s="168"/>
      <c r="AW127" s="168"/>
      <c r="AX127" s="168"/>
      <c r="AY127" s="168"/>
      <c r="AZ127" s="168"/>
      <c r="BA127" s="168"/>
      <c r="BB127" s="168"/>
      <c r="BC127" s="168"/>
      <c r="BD127" s="340">
        <v>38859</v>
      </c>
      <c r="BE127" s="182">
        <f t="shared" ref="BE127:BE139" si="21">BD127-DATE(YEAR(BD127)-1,12,31)</f>
        <v>142</v>
      </c>
      <c r="BF127" s="336">
        <v>1</v>
      </c>
      <c r="BG127" s="213">
        <v>39205</v>
      </c>
      <c r="BH127" s="182">
        <f t="shared" ref="BH127:BH143" si="22">BG127-DATE(YEAR(BG127)-1,12,31)</f>
        <v>123</v>
      </c>
      <c r="BI127" s="336">
        <v>0.12</v>
      </c>
      <c r="BJ127" s="213">
        <v>39576</v>
      </c>
      <c r="BK127" s="182">
        <f t="shared" si="20"/>
        <v>129</v>
      </c>
      <c r="BL127" s="336">
        <v>0.72</v>
      </c>
      <c r="BM127" s="213">
        <v>39940</v>
      </c>
      <c r="BN127" s="182">
        <v>127</v>
      </c>
      <c r="BO127" s="336">
        <v>0</v>
      </c>
      <c r="BP127" s="213">
        <v>40310</v>
      </c>
      <c r="BQ127" s="182">
        <v>132</v>
      </c>
      <c r="BR127" s="336">
        <v>2.8571428571428571E-2</v>
      </c>
      <c r="BS127" s="213">
        <v>40667</v>
      </c>
      <c r="BT127" s="182">
        <v>124</v>
      </c>
      <c r="BU127" s="336">
        <v>0.65714285714285714</v>
      </c>
      <c r="BV127" s="182"/>
      <c r="BW127" s="182"/>
      <c r="BX127" s="182"/>
    </row>
    <row r="128" spans="1:76">
      <c r="A128" s="16" t="s">
        <v>33</v>
      </c>
      <c r="B128" s="131">
        <v>41052</v>
      </c>
      <c r="C128" s="68" t="s">
        <v>87</v>
      </c>
      <c r="D128" s="69">
        <v>0</v>
      </c>
      <c r="E128" s="68">
        <v>0</v>
      </c>
      <c r="F128" s="68">
        <v>0</v>
      </c>
      <c r="G128" s="68">
        <v>0</v>
      </c>
      <c r="H128" s="68">
        <v>0</v>
      </c>
      <c r="I128" s="70">
        <v>0</v>
      </c>
      <c r="J128" s="71">
        <v>0</v>
      </c>
      <c r="K128" s="69">
        <v>0</v>
      </c>
      <c r="L128" s="68">
        <v>0</v>
      </c>
      <c r="M128" s="68">
        <v>0</v>
      </c>
      <c r="N128" s="68">
        <v>0</v>
      </c>
      <c r="O128" s="68">
        <v>0</v>
      </c>
      <c r="P128" s="70">
        <v>0</v>
      </c>
      <c r="Q128" s="71">
        <v>0</v>
      </c>
      <c r="R128" s="69">
        <v>0</v>
      </c>
      <c r="S128" s="68">
        <v>0</v>
      </c>
      <c r="T128" s="68">
        <v>0</v>
      </c>
      <c r="U128" s="68">
        <v>0</v>
      </c>
      <c r="V128" s="68">
        <v>0</v>
      </c>
      <c r="W128" s="70">
        <v>0</v>
      </c>
      <c r="X128" s="71">
        <v>0</v>
      </c>
      <c r="Y128" s="69">
        <v>0</v>
      </c>
      <c r="Z128" s="68">
        <v>0</v>
      </c>
      <c r="AA128" s="68">
        <v>0</v>
      </c>
      <c r="AB128" s="68">
        <v>0</v>
      </c>
      <c r="AC128" s="68">
        <v>0</v>
      </c>
      <c r="AD128" s="70">
        <v>0</v>
      </c>
      <c r="AE128" s="71">
        <v>0</v>
      </c>
      <c r="AF128" s="69">
        <v>0</v>
      </c>
      <c r="AG128" s="68">
        <v>0</v>
      </c>
      <c r="AH128" s="68">
        <v>0</v>
      </c>
      <c r="AI128" s="68">
        <v>0</v>
      </c>
      <c r="AJ128" s="68">
        <v>0</v>
      </c>
      <c r="AK128" s="70">
        <v>0</v>
      </c>
      <c r="AL128" s="71">
        <v>0</v>
      </c>
      <c r="AM128" s="72">
        <v>0</v>
      </c>
      <c r="AN128" s="70">
        <v>0</v>
      </c>
      <c r="AO128" s="70">
        <v>0</v>
      </c>
      <c r="AP128" s="70">
        <v>0</v>
      </c>
      <c r="AQ128" s="70">
        <v>0</v>
      </c>
      <c r="AR128" s="73">
        <v>0</v>
      </c>
      <c r="AS128" s="80">
        <v>0</v>
      </c>
      <c r="AT128" s="188">
        <f t="shared" si="17"/>
        <v>0</v>
      </c>
      <c r="AU128" s="229">
        <f t="shared" si="16"/>
        <v>144</v>
      </c>
      <c r="AV128" s="168"/>
      <c r="AW128" s="168"/>
      <c r="AX128" s="168"/>
      <c r="AY128" s="168"/>
      <c r="AZ128" s="168"/>
      <c r="BA128" s="168"/>
      <c r="BB128" s="168"/>
      <c r="BC128" s="168"/>
      <c r="BD128" s="340">
        <v>38863</v>
      </c>
      <c r="BE128" s="182">
        <f t="shared" si="21"/>
        <v>146</v>
      </c>
      <c r="BF128" s="336">
        <v>1.4</v>
      </c>
      <c r="BG128" s="213">
        <v>39209</v>
      </c>
      <c r="BH128" s="182">
        <f t="shared" si="22"/>
        <v>127</v>
      </c>
      <c r="BI128" s="336">
        <v>0.12</v>
      </c>
      <c r="BJ128" s="213">
        <v>39580</v>
      </c>
      <c r="BK128" s="182">
        <f t="shared" si="20"/>
        <v>133</v>
      </c>
      <c r="BL128" s="336">
        <v>0.96</v>
      </c>
      <c r="BM128" s="213">
        <v>39947</v>
      </c>
      <c r="BN128" s="182">
        <v>134</v>
      </c>
      <c r="BO128" s="336">
        <v>0.19230769230769232</v>
      </c>
      <c r="BP128" s="213">
        <v>40315</v>
      </c>
      <c r="BQ128" s="182">
        <v>137</v>
      </c>
      <c r="BR128" s="336">
        <v>0.5714285714285714</v>
      </c>
      <c r="BS128" s="213">
        <v>40672</v>
      </c>
      <c r="BT128" s="182">
        <v>129</v>
      </c>
      <c r="BU128" s="336">
        <v>0.94285714285714284</v>
      </c>
      <c r="BV128" s="182"/>
      <c r="BW128" s="182"/>
      <c r="BX128" s="182"/>
    </row>
    <row r="129" spans="1:76">
      <c r="A129" s="16" t="s">
        <v>33</v>
      </c>
      <c r="B129" s="131">
        <v>41060</v>
      </c>
      <c r="C129" s="68" t="s">
        <v>87</v>
      </c>
      <c r="D129" s="69">
        <v>1</v>
      </c>
      <c r="E129" s="68">
        <v>1</v>
      </c>
      <c r="F129" s="68">
        <v>1</v>
      </c>
      <c r="G129" s="68">
        <v>1</v>
      </c>
      <c r="H129" s="68">
        <v>1</v>
      </c>
      <c r="I129" s="70">
        <v>1</v>
      </c>
      <c r="J129" s="71">
        <v>1</v>
      </c>
      <c r="K129" s="69">
        <v>1</v>
      </c>
      <c r="L129" s="68">
        <v>2</v>
      </c>
      <c r="M129" s="68">
        <v>1</v>
      </c>
      <c r="N129" s="68">
        <v>1</v>
      </c>
      <c r="O129" s="68">
        <v>2</v>
      </c>
      <c r="P129" s="70">
        <v>1</v>
      </c>
      <c r="Q129" s="71">
        <v>2</v>
      </c>
      <c r="R129" s="69">
        <v>2</v>
      </c>
      <c r="S129" s="68">
        <v>2</v>
      </c>
      <c r="T129" s="68">
        <v>2</v>
      </c>
      <c r="U129" s="68">
        <v>2</v>
      </c>
      <c r="V129" s="68">
        <v>1</v>
      </c>
      <c r="W129" s="70">
        <v>2</v>
      </c>
      <c r="X129" s="71">
        <v>2</v>
      </c>
      <c r="Y129" s="69">
        <v>1</v>
      </c>
      <c r="Z129" s="68">
        <v>1</v>
      </c>
      <c r="AA129" s="68">
        <v>1</v>
      </c>
      <c r="AB129" s="68">
        <v>1</v>
      </c>
      <c r="AC129" s="68">
        <v>1</v>
      </c>
      <c r="AD129" s="70">
        <v>1</v>
      </c>
      <c r="AE129" s="71">
        <v>1</v>
      </c>
      <c r="AF129" s="69">
        <v>2</v>
      </c>
      <c r="AG129" s="68">
        <v>2</v>
      </c>
      <c r="AH129" s="68">
        <v>2</v>
      </c>
      <c r="AI129" s="68">
        <v>1</v>
      </c>
      <c r="AJ129" s="68">
        <v>2</v>
      </c>
      <c r="AK129" s="70">
        <v>2</v>
      </c>
      <c r="AL129" s="71">
        <v>2</v>
      </c>
      <c r="AM129" s="72">
        <v>1</v>
      </c>
      <c r="AN129" s="70">
        <v>1</v>
      </c>
      <c r="AO129" s="70">
        <v>0</v>
      </c>
      <c r="AP129" s="70">
        <v>1</v>
      </c>
      <c r="AQ129" s="70">
        <v>1</v>
      </c>
      <c r="AR129" s="73">
        <v>1</v>
      </c>
      <c r="AS129" s="80">
        <v>1</v>
      </c>
      <c r="AT129" s="188">
        <f t="shared" si="17"/>
        <v>1.4285714285714286</v>
      </c>
      <c r="AU129" s="229">
        <f t="shared" si="16"/>
        <v>152</v>
      </c>
      <c r="AV129" s="168"/>
      <c r="AW129" s="168"/>
      <c r="AX129" s="168"/>
      <c r="AY129" s="168"/>
      <c r="AZ129" s="168"/>
      <c r="BA129" s="168"/>
      <c r="BB129" s="168"/>
      <c r="BC129" s="168"/>
      <c r="BD129" s="340">
        <v>38866</v>
      </c>
      <c r="BE129" s="182">
        <f t="shared" si="21"/>
        <v>149</v>
      </c>
      <c r="BF129" s="336">
        <v>1.6</v>
      </c>
      <c r="BG129" s="213">
        <v>39212</v>
      </c>
      <c r="BH129" s="182">
        <f t="shared" si="22"/>
        <v>130</v>
      </c>
      <c r="BI129" s="336">
        <v>0.16</v>
      </c>
      <c r="BJ129" s="213">
        <v>39584</v>
      </c>
      <c r="BK129" s="182">
        <f t="shared" si="20"/>
        <v>137</v>
      </c>
      <c r="BL129" s="336">
        <v>1</v>
      </c>
      <c r="BM129" s="213">
        <v>39951</v>
      </c>
      <c r="BN129" s="182">
        <v>138</v>
      </c>
      <c r="BO129" s="336">
        <v>0.92307692307692313</v>
      </c>
      <c r="BP129" s="213">
        <v>40318</v>
      </c>
      <c r="BQ129" s="182">
        <v>140</v>
      </c>
      <c r="BR129" s="336">
        <v>1.2285714285714286</v>
      </c>
      <c r="BS129" s="213">
        <v>40675</v>
      </c>
      <c r="BT129" s="182">
        <v>132</v>
      </c>
      <c r="BU129" s="336">
        <v>1</v>
      </c>
      <c r="BV129" s="182"/>
      <c r="BW129" s="182"/>
      <c r="BX129" s="182"/>
    </row>
    <row r="130" spans="1:76">
      <c r="A130" s="16" t="s">
        <v>33</v>
      </c>
      <c r="B130" s="131">
        <v>41065</v>
      </c>
      <c r="C130" s="68" t="s">
        <v>87</v>
      </c>
      <c r="D130" s="69">
        <v>2</v>
      </c>
      <c r="E130" s="68">
        <v>2</v>
      </c>
      <c r="F130" s="68">
        <v>2</v>
      </c>
      <c r="G130" s="68">
        <v>2</v>
      </c>
      <c r="H130" s="68">
        <v>2</v>
      </c>
      <c r="I130" s="70">
        <v>2</v>
      </c>
      <c r="J130" s="71">
        <v>2</v>
      </c>
      <c r="K130" s="69">
        <v>2</v>
      </c>
      <c r="L130" s="68">
        <v>3</v>
      </c>
      <c r="M130" s="68">
        <v>2</v>
      </c>
      <c r="N130" s="68">
        <v>2</v>
      </c>
      <c r="O130" s="68">
        <v>3</v>
      </c>
      <c r="P130" s="70">
        <v>2</v>
      </c>
      <c r="Q130" s="71">
        <v>3</v>
      </c>
      <c r="R130" s="69">
        <v>2</v>
      </c>
      <c r="S130" s="68">
        <v>2</v>
      </c>
      <c r="T130" s="68">
        <v>2</v>
      </c>
      <c r="U130" s="68">
        <v>2</v>
      </c>
      <c r="V130" s="68">
        <v>2</v>
      </c>
      <c r="W130" s="70">
        <v>2</v>
      </c>
      <c r="X130" s="71">
        <v>2</v>
      </c>
      <c r="Y130" s="69">
        <v>2</v>
      </c>
      <c r="Z130" s="68">
        <v>2</v>
      </c>
      <c r="AA130" s="68">
        <v>2</v>
      </c>
      <c r="AB130" s="68">
        <v>2</v>
      </c>
      <c r="AC130" s="68">
        <v>2</v>
      </c>
      <c r="AD130" s="70">
        <v>2</v>
      </c>
      <c r="AE130" s="71">
        <v>2</v>
      </c>
      <c r="AF130" s="69">
        <v>2</v>
      </c>
      <c r="AG130" s="68">
        <v>2</v>
      </c>
      <c r="AH130" s="68">
        <v>2</v>
      </c>
      <c r="AI130" s="68">
        <v>2</v>
      </c>
      <c r="AJ130" s="68">
        <v>2</v>
      </c>
      <c r="AK130" s="70">
        <v>2</v>
      </c>
      <c r="AL130" s="71">
        <v>2</v>
      </c>
      <c r="AM130" s="72">
        <v>2</v>
      </c>
      <c r="AN130" s="70">
        <v>2</v>
      </c>
      <c r="AO130" s="70">
        <v>0</v>
      </c>
      <c r="AP130" s="70">
        <v>2</v>
      </c>
      <c r="AQ130" s="70">
        <v>2</v>
      </c>
      <c r="AR130" s="73">
        <v>2</v>
      </c>
      <c r="AS130" s="80">
        <v>2</v>
      </c>
      <c r="AT130" s="188">
        <f t="shared" si="17"/>
        <v>2.0857142857142859</v>
      </c>
      <c r="AU130" s="229">
        <f t="shared" si="16"/>
        <v>157</v>
      </c>
      <c r="AV130" s="168"/>
      <c r="AW130" s="168"/>
      <c r="AX130" s="168"/>
      <c r="AY130" s="168"/>
      <c r="AZ130" s="168"/>
      <c r="BA130" s="168"/>
      <c r="BB130" s="168"/>
      <c r="BC130" s="168"/>
      <c r="BD130" s="340">
        <v>38868</v>
      </c>
      <c r="BE130" s="182">
        <f t="shared" si="21"/>
        <v>151</v>
      </c>
      <c r="BF130" s="336">
        <v>1.72</v>
      </c>
      <c r="BG130" s="213">
        <v>39216</v>
      </c>
      <c r="BH130" s="182">
        <f t="shared" si="22"/>
        <v>134</v>
      </c>
      <c r="BI130" s="336">
        <v>0.24</v>
      </c>
      <c r="BJ130" s="213">
        <v>39591</v>
      </c>
      <c r="BK130" s="182">
        <f t="shared" si="20"/>
        <v>144</v>
      </c>
      <c r="BL130" s="336">
        <v>1</v>
      </c>
      <c r="BM130" s="213">
        <v>39956</v>
      </c>
      <c r="BN130" s="182">
        <v>143</v>
      </c>
      <c r="BO130" s="336">
        <v>1.0384615384615385</v>
      </c>
      <c r="BP130" s="213">
        <v>40322</v>
      </c>
      <c r="BQ130" s="182">
        <v>144</v>
      </c>
      <c r="BR130" s="336">
        <v>2.2571428571428571</v>
      </c>
      <c r="BS130" s="213">
        <v>40680</v>
      </c>
      <c r="BT130" s="182">
        <v>137</v>
      </c>
      <c r="BU130" s="336">
        <v>1.1142857142857143</v>
      </c>
      <c r="BV130" s="182"/>
      <c r="BW130" s="182"/>
      <c r="BX130" s="182"/>
    </row>
    <row r="131" spans="1:76">
      <c r="A131" s="16" t="s">
        <v>33</v>
      </c>
      <c r="B131" s="131">
        <v>41071</v>
      </c>
      <c r="C131" s="68" t="s">
        <v>87</v>
      </c>
      <c r="D131" s="69">
        <v>3</v>
      </c>
      <c r="E131" s="68">
        <v>3</v>
      </c>
      <c r="F131" s="68">
        <v>3</v>
      </c>
      <c r="G131" s="68">
        <v>3</v>
      </c>
      <c r="H131" s="68">
        <v>3</v>
      </c>
      <c r="I131" s="70">
        <v>3</v>
      </c>
      <c r="J131" s="71">
        <v>3</v>
      </c>
      <c r="K131" s="69">
        <v>3</v>
      </c>
      <c r="L131" s="68">
        <v>3</v>
      </c>
      <c r="M131" s="68">
        <v>3</v>
      </c>
      <c r="N131" s="68">
        <v>3</v>
      </c>
      <c r="O131" s="68">
        <v>3</v>
      </c>
      <c r="P131" s="70">
        <v>3</v>
      </c>
      <c r="Q131" s="71">
        <v>3</v>
      </c>
      <c r="R131" s="69">
        <v>3</v>
      </c>
      <c r="S131" s="68">
        <v>3</v>
      </c>
      <c r="T131" s="68">
        <v>3</v>
      </c>
      <c r="U131" s="68">
        <v>3</v>
      </c>
      <c r="V131" s="68">
        <v>3</v>
      </c>
      <c r="W131" s="70">
        <v>3</v>
      </c>
      <c r="X131" s="71">
        <v>3</v>
      </c>
      <c r="Y131" s="69">
        <v>3</v>
      </c>
      <c r="Z131" s="68">
        <v>3</v>
      </c>
      <c r="AA131" s="68">
        <v>3</v>
      </c>
      <c r="AB131" s="68">
        <v>3</v>
      </c>
      <c r="AC131" s="68">
        <v>3</v>
      </c>
      <c r="AD131" s="70">
        <v>3</v>
      </c>
      <c r="AE131" s="71">
        <v>3</v>
      </c>
      <c r="AF131" s="69">
        <v>3</v>
      </c>
      <c r="AG131" s="68">
        <v>3</v>
      </c>
      <c r="AH131" s="68">
        <v>3</v>
      </c>
      <c r="AI131" s="68">
        <v>3</v>
      </c>
      <c r="AJ131" s="68">
        <v>3</v>
      </c>
      <c r="AK131" s="70">
        <v>3</v>
      </c>
      <c r="AL131" s="71">
        <v>2</v>
      </c>
      <c r="AM131" s="72">
        <v>3</v>
      </c>
      <c r="AN131" s="70">
        <v>3</v>
      </c>
      <c r="AO131" s="70">
        <v>0</v>
      </c>
      <c r="AP131" s="70">
        <v>3</v>
      </c>
      <c r="AQ131" s="70">
        <v>3</v>
      </c>
      <c r="AR131" s="73">
        <v>3</v>
      </c>
      <c r="AS131" s="80">
        <v>3</v>
      </c>
      <c r="AT131" s="188">
        <f t="shared" si="17"/>
        <v>2.9714285714285715</v>
      </c>
      <c r="AU131" s="229">
        <f t="shared" si="16"/>
        <v>163</v>
      </c>
      <c r="AV131" s="168"/>
      <c r="AW131" s="168"/>
      <c r="AX131" s="168"/>
      <c r="AY131" s="168"/>
      <c r="AZ131" s="168"/>
      <c r="BA131" s="168"/>
      <c r="BB131" s="168"/>
      <c r="BC131" s="168"/>
      <c r="BD131" s="340">
        <v>38870</v>
      </c>
      <c r="BE131" s="182">
        <f t="shared" si="21"/>
        <v>153</v>
      </c>
      <c r="BF131" s="336">
        <v>2.4</v>
      </c>
      <c r="BG131" s="213">
        <v>39218</v>
      </c>
      <c r="BH131" s="182">
        <f t="shared" si="22"/>
        <v>136</v>
      </c>
      <c r="BI131" s="336">
        <v>0.24</v>
      </c>
      <c r="BJ131" s="213">
        <v>39594</v>
      </c>
      <c r="BK131" s="182">
        <f t="shared" si="20"/>
        <v>147</v>
      </c>
      <c r="BL131" s="336">
        <v>1</v>
      </c>
      <c r="BM131" s="213">
        <v>39961</v>
      </c>
      <c r="BN131" s="182">
        <v>148</v>
      </c>
      <c r="BO131" s="336">
        <v>1.9615384615384615</v>
      </c>
      <c r="BP131" s="213">
        <v>40325</v>
      </c>
      <c r="BQ131" s="182">
        <v>147</v>
      </c>
      <c r="BR131" s="336">
        <v>2.8857142857142857</v>
      </c>
      <c r="BS131" s="213">
        <v>40683</v>
      </c>
      <c r="BT131" s="182">
        <v>140</v>
      </c>
      <c r="BU131" s="336">
        <v>1.3428571428571427</v>
      </c>
      <c r="BV131" s="182"/>
      <c r="BW131" s="182"/>
      <c r="BX131" s="182"/>
    </row>
    <row r="132" spans="1:76">
      <c r="A132" s="16" t="s">
        <v>33</v>
      </c>
      <c r="B132" s="131">
        <v>41078</v>
      </c>
      <c r="C132" s="68" t="s">
        <v>87</v>
      </c>
      <c r="D132" s="69">
        <v>4</v>
      </c>
      <c r="E132" s="68">
        <v>4</v>
      </c>
      <c r="F132" s="68">
        <v>4</v>
      </c>
      <c r="G132" s="68">
        <v>4</v>
      </c>
      <c r="H132" s="68">
        <v>4</v>
      </c>
      <c r="I132" s="70">
        <v>4</v>
      </c>
      <c r="J132" s="71">
        <v>4</v>
      </c>
      <c r="K132" s="69">
        <v>4</v>
      </c>
      <c r="L132" s="68">
        <v>4</v>
      </c>
      <c r="M132" s="68">
        <v>4</v>
      </c>
      <c r="N132" s="68">
        <v>4</v>
      </c>
      <c r="O132" s="68">
        <v>4</v>
      </c>
      <c r="P132" s="70">
        <v>4</v>
      </c>
      <c r="Q132" s="71">
        <v>4</v>
      </c>
      <c r="R132" s="69">
        <v>4</v>
      </c>
      <c r="S132" s="68">
        <v>4</v>
      </c>
      <c r="T132" s="68">
        <v>4</v>
      </c>
      <c r="U132" s="68">
        <v>4</v>
      </c>
      <c r="V132" s="68">
        <v>4</v>
      </c>
      <c r="W132" s="70">
        <v>4</v>
      </c>
      <c r="X132" s="71">
        <v>4</v>
      </c>
      <c r="Y132" s="69">
        <v>4</v>
      </c>
      <c r="Z132" s="68">
        <v>4</v>
      </c>
      <c r="AA132" s="68">
        <v>4</v>
      </c>
      <c r="AB132" s="68">
        <v>4</v>
      </c>
      <c r="AC132" s="68">
        <v>4</v>
      </c>
      <c r="AD132" s="70">
        <v>4</v>
      </c>
      <c r="AE132" s="71">
        <v>4</v>
      </c>
      <c r="AF132" s="69">
        <v>4</v>
      </c>
      <c r="AG132" s="68">
        <v>4</v>
      </c>
      <c r="AH132" s="68">
        <v>4</v>
      </c>
      <c r="AI132" s="68">
        <v>4</v>
      </c>
      <c r="AJ132" s="68">
        <v>4</v>
      </c>
      <c r="AK132" s="70">
        <v>4</v>
      </c>
      <c r="AL132" s="71">
        <v>3</v>
      </c>
      <c r="AM132" s="72">
        <v>4</v>
      </c>
      <c r="AN132" s="70">
        <v>4</v>
      </c>
      <c r="AO132" s="70">
        <v>0</v>
      </c>
      <c r="AP132" s="70">
        <v>4</v>
      </c>
      <c r="AQ132" s="70">
        <v>4</v>
      </c>
      <c r="AR132" s="73">
        <v>4</v>
      </c>
      <c r="AS132" s="80">
        <v>4</v>
      </c>
      <c r="AT132" s="188">
        <f t="shared" si="17"/>
        <v>3.9714285714285715</v>
      </c>
      <c r="AU132" s="229">
        <f t="shared" si="16"/>
        <v>170</v>
      </c>
      <c r="AV132" s="168"/>
      <c r="AW132" s="168"/>
      <c r="AX132" s="168"/>
      <c r="AY132" s="168"/>
      <c r="AZ132" s="168"/>
      <c r="BA132" s="168"/>
      <c r="BB132" s="168"/>
      <c r="BC132" s="168"/>
      <c r="BD132" s="340">
        <v>38875</v>
      </c>
      <c r="BE132" s="182">
        <f t="shared" si="21"/>
        <v>158</v>
      </c>
      <c r="BF132" s="336">
        <v>3.2</v>
      </c>
      <c r="BG132" s="213">
        <v>39220</v>
      </c>
      <c r="BH132" s="182">
        <f t="shared" si="22"/>
        <v>138</v>
      </c>
      <c r="BI132" s="336">
        <v>0.48</v>
      </c>
      <c r="BJ132" s="213">
        <v>39597</v>
      </c>
      <c r="BK132" s="182">
        <f t="shared" si="20"/>
        <v>150</v>
      </c>
      <c r="BL132" s="336">
        <v>1.1599999999999999</v>
      </c>
      <c r="BM132" s="213">
        <v>39965</v>
      </c>
      <c r="BN132" s="182">
        <v>152</v>
      </c>
      <c r="BO132" s="336">
        <v>3</v>
      </c>
      <c r="BP132" s="213">
        <v>40330</v>
      </c>
      <c r="BQ132" s="182">
        <v>152</v>
      </c>
      <c r="BR132" s="336">
        <v>3.7714285714285714</v>
      </c>
      <c r="BS132" s="213">
        <v>40686</v>
      </c>
      <c r="BT132" s="182">
        <v>143</v>
      </c>
      <c r="BU132" s="336">
        <v>2.342857142857143</v>
      </c>
      <c r="BV132" s="182"/>
      <c r="BW132" s="182"/>
      <c r="BX132" s="182"/>
    </row>
    <row r="133" spans="1:76">
      <c r="A133" s="16" t="s">
        <v>33</v>
      </c>
      <c r="B133" s="131">
        <v>41085</v>
      </c>
      <c r="C133" s="68" t="s">
        <v>87</v>
      </c>
      <c r="D133" s="69">
        <v>5</v>
      </c>
      <c r="E133" s="68">
        <v>5</v>
      </c>
      <c r="F133" s="68">
        <v>5</v>
      </c>
      <c r="G133" s="68">
        <v>5</v>
      </c>
      <c r="H133" s="68">
        <v>5</v>
      </c>
      <c r="I133" s="70">
        <v>5</v>
      </c>
      <c r="J133" s="71">
        <v>5</v>
      </c>
      <c r="K133" s="69">
        <v>5</v>
      </c>
      <c r="L133" s="68">
        <v>5</v>
      </c>
      <c r="M133" s="68">
        <v>5</v>
      </c>
      <c r="N133" s="68">
        <v>5</v>
      </c>
      <c r="O133" s="68">
        <v>5</v>
      </c>
      <c r="P133" s="70">
        <v>5</v>
      </c>
      <c r="Q133" s="71">
        <v>5</v>
      </c>
      <c r="R133" s="69">
        <v>5</v>
      </c>
      <c r="S133" s="68">
        <v>5</v>
      </c>
      <c r="T133" s="68">
        <v>5</v>
      </c>
      <c r="U133" s="68">
        <v>5</v>
      </c>
      <c r="V133" s="68">
        <v>5</v>
      </c>
      <c r="W133" s="70">
        <v>5</v>
      </c>
      <c r="X133" s="71">
        <v>5</v>
      </c>
      <c r="Y133" s="69">
        <v>5</v>
      </c>
      <c r="Z133" s="68">
        <v>5</v>
      </c>
      <c r="AA133" s="68">
        <v>5</v>
      </c>
      <c r="AB133" s="68">
        <v>5</v>
      </c>
      <c r="AC133" s="68">
        <v>5</v>
      </c>
      <c r="AD133" s="70">
        <v>5</v>
      </c>
      <c r="AE133" s="71">
        <v>5</v>
      </c>
      <c r="AF133" s="69">
        <v>7</v>
      </c>
      <c r="AG133" s="68">
        <v>7</v>
      </c>
      <c r="AH133" s="68">
        <v>7</v>
      </c>
      <c r="AI133" s="68">
        <v>7</v>
      </c>
      <c r="AJ133" s="68">
        <v>7</v>
      </c>
      <c r="AK133" s="70">
        <v>7</v>
      </c>
      <c r="AL133" s="71">
        <v>6</v>
      </c>
      <c r="AM133" s="72">
        <v>5</v>
      </c>
      <c r="AN133" s="70">
        <v>5</v>
      </c>
      <c r="AO133" s="70">
        <v>0</v>
      </c>
      <c r="AP133" s="70">
        <v>5</v>
      </c>
      <c r="AQ133" s="70">
        <v>5</v>
      </c>
      <c r="AR133" s="73">
        <v>5</v>
      </c>
      <c r="AS133" s="80">
        <v>5</v>
      </c>
      <c r="AT133" s="188">
        <f t="shared" si="17"/>
        <v>5.371428571428571</v>
      </c>
      <c r="AU133" s="229">
        <f t="shared" si="16"/>
        <v>177</v>
      </c>
      <c r="AV133" s="168"/>
      <c r="AW133" s="168"/>
      <c r="AX133" s="168"/>
      <c r="AY133" s="168"/>
      <c r="AZ133" s="168"/>
      <c r="BA133" s="168"/>
      <c r="BB133" s="168"/>
      <c r="BC133" s="168"/>
      <c r="BD133" s="340">
        <v>38877</v>
      </c>
      <c r="BE133" s="182">
        <f t="shared" si="21"/>
        <v>160</v>
      </c>
      <c r="BF133" s="336">
        <v>4.5199999999999996</v>
      </c>
      <c r="BG133" s="213">
        <v>39223</v>
      </c>
      <c r="BH133" s="182">
        <f t="shared" si="22"/>
        <v>141</v>
      </c>
      <c r="BI133" s="336">
        <v>0.88</v>
      </c>
      <c r="BJ133" s="213">
        <v>39601</v>
      </c>
      <c r="BK133" s="182">
        <f t="shared" si="20"/>
        <v>154</v>
      </c>
      <c r="BL133" s="336">
        <v>2.12</v>
      </c>
      <c r="BM133" s="213">
        <v>39968</v>
      </c>
      <c r="BN133" s="182">
        <v>155</v>
      </c>
      <c r="BO133" s="336">
        <v>3.1538461538461537</v>
      </c>
      <c r="BP133" s="213">
        <v>40336</v>
      </c>
      <c r="BQ133" s="182">
        <v>158</v>
      </c>
      <c r="BR133" s="336">
        <v>4.8571428571428568</v>
      </c>
      <c r="BS133" s="213">
        <v>40689</v>
      </c>
      <c r="BT133" s="182">
        <v>146</v>
      </c>
      <c r="BU133" s="336">
        <v>2.9142857142857141</v>
      </c>
      <c r="BV133" s="182"/>
      <c r="BW133" s="182"/>
      <c r="BX133" s="182"/>
    </row>
    <row r="134" spans="1:76">
      <c r="A134" s="16" t="s">
        <v>33</v>
      </c>
      <c r="B134" s="131">
        <v>41089</v>
      </c>
      <c r="C134" s="68" t="s">
        <v>88</v>
      </c>
      <c r="D134" s="69">
        <v>7</v>
      </c>
      <c r="E134" s="68">
        <v>7</v>
      </c>
      <c r="F134" s="68">
        <v>7</v>
      </c>
      <c r="G134" s="68">
        <v>7</v>
      </c>
      <c r="H134" s="68">
        <v>7</v>
      </c>
      <c r="I134" s="70">
        <v>7</v>
      </c>
      <c r="J134" s="71">
        <v>7</v>
      </c>
      <c r="K134" s="69">
        <v>7</v>
      </c>
      <c r="L134" s="68">
        <v>7</v>
      </c>
      <c r="M134" s="68">
        <v>7</v>
      </c>
      <c r="N134" s="68">
        <v>7</v>
      </c>
      <c r="O134" s="68">
        <v>7</v>
      </c>
      <c r="P134" s="70">
        <v>7</v>
      </c>
      <c r="Q134" s="71">
        <v>7</v>
      </c>
      <c r="R134" s="69">
        <v>7</v>
      </c>
      <c r="S134" s="68">
        <v>7</v>
      </c>
      <c r="T134" s="68">
        <v>7</v>
      </c>
      <c r="U134" s="68">
        <v>7</v>
      </c>
      <c r="V134" s="68">
        <v>8</v>
      </c>
      <c r="W134" s="70">
        <v>8</v>
      </c>
      <c r="X134" s="71">
        <v>8</v>
      </c>
      <c r="Y134" s="69">
        <v>8</v>
      </c>
      <c r="Z134" s="68">
        <v>8</v>
      </c>
      <c r="AA134" s="68">
        <v>8</v>
      </c>
      <c r="AB134" s="68">
        <v>8</v>
      </c>
      <c r="AC134" s="68">
        <v>7</v>
      </c>
      <c r="AD134" s="70">
        <v>8</v>
      </c>
      <c r="AE134" s="71">
        <v>8</v>
      </c>
      <c r="AF134" s="69">
        <v>8</v>
      </c>
      <c r="AG134" s="68">
        <v>8</v>
      </c>
      <c r="AH134" s="68">
        <v>8</v>
      </c>
      <c r="AI134" s="68">
        <v>8</v>
      </c>
      <c r="AJ134" s="68">
        <v>8</v>
      </c>
      <c r="AK134" s="70">
        <v>8</v>
      </c>
      <c r="AL134" s="71">
        <v>8</v>
      </c>
      <c r="AM134" s="72">
        <v>7</v>
      </c>
      <c r="AN134" s="70">
        <v>7</v>
      </c>
      <c r="AO134" s="70">
        <v>0</v>
      </c>
      <c r="AP134" s="70">
        <v>7</v>
      </c>
      <c r="AQ134" s="70">
        <v>7</v>
      </c>
      <c r="AR134" s="73">
        <v>7</v>
      </c>
      <c r="AS134" s="80">
        <v>7</v>
      </c>
      <c r="AT134" s="188">
        <f t="shared" si="17"/>
        <v>7.4571428571428573</v>
      </c>
      <c r="AU134" s="229">
        <f t="shared" si="16"/>
        <v>181</v>
      </c>
      <c r="AV134" s="168"/>
      <c r="AW134" s="168"/>
      <c r="AX134" s="168"/>
      <c r="AY134" s="168"/>
      <c r="AZ134" s="168"/>
      <c r="BA134" s="168"/>
      <c r="BB134" s="168"/>
      <c r="BC134" s="168"/>
      <c r="BD134" s="340">
        <v>38880</v>
      </c>
      <c r="BE134" s="182">
        <f t="shared" si="21"/>
        <v>163</v>
      </c>
      <c r="BF134" s="336">
        <v>5</v>
      </c>
      <c r="BG134" s="213">
        <v>39225</v>
      </c>
      <c r="BH134" s="182">
        <f t="shared" si="22"/>
        <v>143</v>
      </c>
      <c r="BI134" s="336">
        <v>0.96</v>
      </c>
      <c r="BJ134" s="213">
        <v>39604</v>
      </c>
      <c r="BK134" s="182">
        <f t="shared" si="20"/>
        <v>157</v>
      </c>
      <c r="BL134" s="336">
        <v>3.32</v>
      </c>
      <c r="BM134" s="213">
        <v>39972</v>
      </c>
      <c r="BN134" s="182">
        <v>159</v>
      </c>
      <c r="BO134" s="336">
        <v>3.8846153846153846</v>
      </c>
      <c r="BP134" s="213">
        <v>40344</v>
      </c>
      <c r="BQ134" s="182">
        <v>166</v>
      </c>
      <c r="BR134" s="336">
        <v>5.8285714285714283</v>
      </c>
      <c r="BS134" s="213">
        <v>40693</v>
      </c>
      <c r="BT134" s="182">
        <v>150</v>
      </c>
      <c r="BU134" s="336">
        <v>3.5428571428571427</v>
      </c>
      <c r="BV134" s="182"/>
      <c r="BW134" s="182"/>
      <c r="BX134" s="182"/>
    </row>
    <row r="135" spans="1:76">
      <c r="A135" s="16" t="s">
        <v>33</v>
      </c>
      <c r="B135" s="131">
        <v>41100</v>
      </c>
      <c r="C135" s="68" t="s">
        <v>89</v>
      </c>
      <c r="D135" s="69">
        <v>8</v>
      </c>
      <c r="E135" s="68">
        <v>8</v>
      </c>
      <c r="F135" s="68">
        <v>8</v>
      </c>
      <c r="G135" s="68">
        <v>8</v>
      </c>
      <c r="H135" s="68">
        <v>8</v>
      </c>
      <c r="I135" s="70">
        <v>8</v>
      </c>
      <c r="J135" s="71">
        <v>8</v>
      </c>
      <c r="K135" s="69">
        <v>8</v>
      </c>
      <c r="L135" s="68">
        <v>8</v>
      </c>
      <c r="M135" s="68">
        <v>8</v>
      </c>
      <c r="N135" s="68">
        <v>8</v>
      </c>
      <c r="O135" s="68">
        <v>8</v>
      </c>
      <c r="P135" s="70">
        <v>8</v>
      </c>
      <c r="Q135" s="70">
        <v>8</v>
      </c>
      <c r="R135" s="70">
        <v>8</v>
      </c>
      <c r="S135" s="70">
        <v>8</v>
      </c>
      <c r="T135" s="70">
        <v>8</v>
      </c>
      <c r="U135" s="70">
        <v>8</v>
      </c>
      <c r="V135" s="70">
        <v>8</v>
      </c>
      <c r="W135" s="70">
        <v>8</v>
      </c>
      <c r="X135" s="70">
        <v>8</v>
      </c>
      <c r="Y135" s="70">
        <v>8</v>
      </c>
      <c r="Z135" s="70">
        <v>8</v>
      </c>
      <c r="AA135" s="70">
        <v>8</v>
      </c>
      <c r="AB135" s="70">
        <v>8</v>
      </c>
      <c r="AC135" s="70">
        <v>8</v>
      </c>
      <c r="AD135" s="70">
        <v>8</v>
      </c>
      <c r="AE135" s="70">
        <v>8</v>
      </c>
      <c r="AF135" s="70">
        <v>8</v>
      </c>
      <c r="AG135" s="70">
        <v>8</v>
      </c>
      <c r="AH135" s="70">
        <v>8</v>
      </c>
      <c r="AI135" s="70">
        <v>8</v>
      </c>
      <c r="AJ135" s="70">
        <v>8</v>
      </c>
      <c r="AK135" s="70">
        <v>8</v>
      </c>
      <c r="AL135" s="71">
        <v>8</v>
      </c>
      <c r="AM135" s="72">
        <v>8</v>
      </c>
      <c r="AN135" s="70">
        <v>8</v>
      </c>
      <c r="AO135" s="70">
        <v>8</v>
      </c>
      <c r="AP135" s="70">
        <v>8</v>
      </c>
      <c r="AQ135" s="70">
        <v>8</v>
      </c>
      <c r="AR135" s="73">
        <v>8</v>
      </c>
      <c r="AS135" s="80">
        <v>8</v>
      </c>
      <c r="AT135" s="188">
        <f t="shared" si="17"/>
        <v>8</v>
      </c>
      <c r="AU135" s="229">
        <f t="shared" ref="AU135:AU155" si="23">IF(B135=0,AU134,B135-DATE(YEAR(B135)-1,12,31))</f>
        <v>192</v>
      </c>
      <c r="AV135" s="168"/>
      <c r="AW135" s="168"/>
      <c r="AX135" s="168"/>
      <c r="AY135" s="168"/>
      <c r="AZ135" s="168"/>
      <c r="BA135" s="168"/>
      <c r="BB135" s="168"/>
      <c r="BC135" s="168"/>
      <c r="BD135" s="340">
        <v>38882</v>
      </c>
      <c r="BE135" s="182">
        <f t="shared" si="21"/>
        <v>165</v>
      </c>
      <c r="BF135" s="336">
        <v>5.2</v>
      </c>
      <c r="BG135" s="213">
        <v>39227</v>
      </c>
      <c r="BH135" s="182">
        <f t="shared" si="22"/>
        <v>145</v>
      </c>
      <c r="BI135" s="336">
        <v>1</v>
      </c>
      <c r="BJ135" s="213">
        <v>39610</v>
      </c>
      <c r="BK135" s="182">
        <f t="shared" si="20"/>
        <v>163</v>
      </c>
      <c r="BL135" s="336">
        <v>4.32</v>
      </c>
      <c r="BM135" s="213">
        <v>39975</v>
      </c>
      <c r="BN135" s="182">
        <v>162</v>
      </c>
      <c r="BO135" s="336">
        <v>4.2</v>
      </c>
      <c r="BP135" s="213">
        <v>40351</v>
      </c>
      <c r="BQ135" s="182">
        <v>173</v>
      </c>
      <c r="BR135" s="336">
        <v>6.8</v>
      </c>
      <c r="BS135" s="213">
        <v>40697</v>
      </c>
      <c r="BT135" s="182">
        <v>154</v>
      </c>
      <c r="BU135" s="336">
        <v>4.2571428571428571</v>
      </c>
      <c r="BV135" s="182"/>
      <c r="BW135" s="182"/>
      <c r="BX135" s="182"/>
    </row>
    <row r="136" spans="1:76">
      <c r="A136" s="16" t="s">
        <v>33</v>
      </c>
      <c r="B136" s="131"/>
      <c r="C136" s="68"/>
      <c r="D136" s="69"/>
      <c r="E136" s="68"/>
      <c r="F136" s="68"/>
      <c r="G136" s="68"/>
      <c r="H136" s="68"/>
      <c r="I136" s="70"/>
      <c r="J136" s="71"/>
      <c r="K136" s="69"/>
      <c r="L136" s="68"/>
      <c r="M136" s="68"/>
      <c r="N136" s="68"/>
      <c r="O136" s="68"/>
      <c r="P136" s="70"/>
      <c r="Q136" s="71"/>
      <c r="R136" s="69"/>
      <c r="S136" s="68"/>
      <c r="T136" s="68"/>
      <c r="U136" s="68"/>
      <c r="V136" s="68"/>
      <c r="W136" s="70"/>
      <c r="X136" s="71"/>
      <c r="Y136" s="69"/>
      <c r="Z136" s="68"/>
      <c r="AA136" s="68"/>
      <c r="AB136" s="68"/>
      <c r="AC136" s="68"/>
      <c r="AD136" s="70"/>
      <c r="AE136" s="71"/>
      <c r="AF136" s="69"/>
      <c r="AG136" s="68"/>
      <c r="AH136" s="68"/>
      <c r="AI136" s="68"/>
      <c r="AJ136" s="68"/>
      <c r="AK136" s="70"/>
      <c r="AL136" s="71"/>
      <c r="AM136" s="72"/>
      <c r="AN136" s="70"/>
      <c r="AO136" s="70"/>
      <c r="AP136" s="70"/>
      <c r="AQ136" s="70"/>
      <c r="AR136" s="73"/>
      <c r="AS136" s="80"/>
      <c r="AT136" s="188">
        <f t="shared" ref="AT136:AT155" si="24">IF(COUNT(D136:AL136)=0,AT135,AVERAGE(D136:AL136))</f>
        <v>8</v>
      </c>
      <c r="AU136" s="229">
        <f t="shared" si="23"/>
        <v>192</v>
      </c>
      <c r="AV136" s="168"/>
      <c r="AW136" s="168"/>
      <c r="AX136" s="168"/>
      <c r="AY136" s="168"/>
      <c r="AZ136" s="168"/>
      <c r="BA136" s="168"/>
      <c r="BB136" s="168"/>
      <c r="BC136" s="168"/>
      <c r="BD136" s="340">
        <v>38884</v>
      </c>
      <c r="BE136" s="182">
        <f t="shared" si="21"/>
        <v>167</v>
      </c>
      <c r="BF136" s="336">
        <v>5.8</v>
      </c>
      <c r="BG136" s="213">
        <v>39230</v>
      </c>
      <c r="BH136" s="182">
        <f t="shared" si="22"/>
        <v>148</v>
      </c>
      <c r="BI136" s="336">
        <v>1</v>
      </c>
      <c r="BJ136" s="213">
        <v>39617</v>
      </c>
      <c r="BK136" s="182">
        <f t="shared" si="20"/>
        <v>170</v>
      </c>
      <c r="BL136" s="336">
        <v>5.2</v>
      </c>
      <c r="BM136" s="213">
        <v>39982</v>
      </c>
      <c r="BN136" s="182">
        <v>169</v>
      </c>
      <c r="BO136" s="336">
        <v>4.9047619047619051</v>
      </c>
      <c r="BP136" s="213">
        <v>40358</v>
      </c>
      <c r="BQ136" s="182">
        <v>180</v>
      </c>
      <c r="BR136" s="336">
        <v>7.1428571428571432</v>
      </c>
      <c r="BS136" s="213">
        <v>40702</v>
      </c>
      <c r="BT136" s="182">
        <v>159</v>
      </c>
      <c r="BU136" s="336">
        <v>4.9714285714285715</v>
      </c>
      <c r="BV136" s="182"/>
      <c r="BW136" s="182"/>
      <c r="BX136" s="182"/>
    </row>
    <row r="137" spans="1:76">
      <c r="A137" s="16" t="s">
        <v>33</v>
      </c>
      <c r="B137" s="131"/>
      <c r="C137" s="68"/>
      <c r="D137" s="69"/>
      <c r="E137" s="68"/>
      <c r="F137" s="68"/>
      <c r="G137" s="68"/>
      <c r="H137" s="68"/>
      <c r="I137" s="70"/>
      <c r="J137" s="71"/>
      <c r="K137" s="69"/>
      <c r="L137" s="68"/>
      <c r="M137" s="68"/>
      <c r="N137" s="68"/>
      <c r="O137" s="68"/>
      <c r="P137" s="70"/>
      <c r="Q137" s="71"/>
      <c r="R137" s="69"/>
      <c r="S137" s="68"/>
      <c r="T137" s="68"/>
      <c r="U137" s="68"/>
      <c r="V137" s="68"/>
      <c r="W137" s="70"/>
      <c r="X137" s="71"/>
      <c r="Y137" s="69"/>
      <c r="Z137" s="68"/>
      <c r="AA137" s="68"/>
      <c r="AB137" s="68"/>
      <c r="AC137" s="68"/>
      <c r="AD137" s="70"/>
      <c r="AE137" s="71"/>
      <c r="AF137" s="69"/>
      <c r="AG137" s="68"/>
      <c r="AH137" s="68"/>
      <c r="AI137" s="68"/>
      <c r="AJ137" s="68"/>
      <c r="AK137" s="70"/>
      <c r="AL137" s="71"/>
      <c r="AM137" s="72"/>
      <c r="AN137" s="70"/>
      <c r="AO137" s="70"/>
      <c r="AP137" s="70"/>
      <c r="AQ137" s="70"/>
      <c r="AR137" s="73"/>
      <c r="AS137" s="80"/>
      <c r="AT137" s="188">
        <f t="shared" si="24"/>
        <v>8</v>
      </c>
      <c r="AU137" s="229">
        <f t="shared" si="23"/>
        <v>192</v>
      </c>
      <c r="AV137" s="168"/>
      <c r="AW137" s="168"/>
      <c r="AX137" s="168"/>
      <c r="AY137" s="168"/>
      <c r="AZ137" s="168"/>
      <c r="BA137" s="168"/>
      <c r="BB137" s="168"/>
      <c r="BC137" s="168"/>
      <c r="BD137" s="340">
        <v>38887</v>
      </c>
      <c r="BE137" s="182">
        <f t="shared" si="21"/>
        <v>170</v>
      </c>
      <c r="BF137" s="336">
        <v>6.8</v>
      </c>
      <c r="BG137" s="213">
        <v>39233</v>
      </c>
      <c r="BH137" s="182">
        <f t="shared" si="22"/>
        <v>151</v>
      </c>
      <c r="BI137" s="336">
        <v>1.88</v>
      </c>
      <c r="BJ137" s="213">
        <v>39625</v>
      </c>
      <c r="BK137" s="182">
        <f t="shared" si="20"/>
        <v>178</v>
      </c>
      <c r="BL137" s="336">
        <v>7.32</v>
      </c>
      <c r="BM137" s="213">
        <v>39989</v>
      </c>
      <c r="BN137" s="182">
        <v>176</v>
      </c>
      <c r="BO137" s="336">
        <v>6.666666666666667</v>
      </c>
      <c r="BP137" s="213">
        <v>40365</v>
      </c>
      <c r="BQ137" s="182">
        <v>187</v>
      </c>
      <c r="BR137" s="336">
        <v>7.371428571428571</v>
      </c>
      <c r="BS137" s="213">
        <v>40707</v>
      </c>
      <c r="BT137" s="182">
        <v>164</v>
      </c>
      <c r="BU137" s="336">
        <v>5.9714285714285715</v>
      </c>
      <c r="BV137" s="182"/>
      <c r="BW137" s="182"/>
      <c r="BX137" s="182"/>
    </row>
    <row r="138" spans="1:76">
      <c r="A138" s="16" t="s">
        <v>33</v>
      </c>
      <c r="B138" s="131"/>
      <c r="C138" s="68"/>
      <c r="D138" s="69"/>
      <c r="E138" s="68"/>
      <c r="F138" s="68"/>
      <c r="G138" s="68"/>
      <c r="H138" s="68"/>
      <c r="I138" s="70"/>
      <c r="J138" s="71"/>
      <c r="K138" s="69"/>
      <c r="L138" s="68"/>
      <c r="M138" s="68"/>
      <c r="N138" s="68"/>
      <c r="O138" s="68"/>
      <c r="P138" s="70"/>
      <c r="Q138" s="71"/>
      <c r="R138" s="69"/>
      <c r="S138" s="68"/>
      <c r="T138" s="68"/>
      <c r="U138" s="68"/>
      <c r="V138" s="68"/>
      <c r="W138" s="70"/>
      <c r="X138" s="71"/>
      <c r="Y138" s="69"/>
      <c r="Z138" s="68"/>
      <c r="AA138" s="68"/>
      <c r="AB138" s="68"/>
      <c r="AC138" s="68"/>
      <c r="AD138" s="70"/>
      <c r="AE138" s="71"/>
      <c r="AF138" s="69"/>
      <c r="AG138" s="68"/>
      <c r="AH138" s="68"/>
      <c r="AI138" s="68"/>
      <c r="AJ138" s="68"/>
      <c r="AK138" s="70"/>
      <c r="AL138" s="71"/>
      <c r="AM138" s="72"/>
      <c r="AN138" s="70"/>
      <c r="AO138" s="70"/>
      <c r="AP138" s="70"/>
      <c r="AQ138" s="70"/>
      <c r="AR138" s="73"/>
      <c r="AS138" s="80"/>
      <c r="AT138" s="188">
        <f t="shared" si="24"/>
        <v>8</v>
      </c>
      <c r="AU138" s="229">
        <f t="shared" si="23"/>
        <v>192</v>
      </c>
      <c r="AV138" s="168"/>
      <c r="AW138" s="168"/>
      <c r="AX138" s="168"/>
      <c r="AY138" s="168"/>
      <c r="AZ138" s="168"/>
      <c r="BA138" s="168"/>
      <c r="BB138" s="168"/>
      <c r="BC138" s="168"/>
      <c r="BD138" s="340">
        <v>38890</v>
      </c>
      <c r="BE138" s="182">
        <f t="shared" si="21"/>
        <v>173</v>
      </c>
      <c r="BF138" s="336">
        <v>7.8</v>
      </c>
      <c r="BG138" s="213">
        <v>39237</v>
      </c>
      <c r="BH138" s="182">
        <f t="shared" si="22"/>
        <v>155</v>
      </c>
      <c r="BI138" s="336">
        <v>2.84</v>
      </c>
      <c r="BJ138" s="213">
        <v>39630</v>
      </c>
      <c r="BK138" s="182">
        <f t="shared" si="20"/>
        <v>183</v>
      </c>
      <c r="BL138" s="336">
        <v>8</v>
      </c>
      <c r="BM138" s="213">
        <v>39997</v>
      </c>
      <c r="BN138" s="182">
        <v>184</v>
      </c>
      <c r="BO138" s="336">
        <v>6.9444444444444446</v>
      </c>
      <c r="BP138" s="213">
        <v>40372</v>
      </c>
      <c r="BQ138" s="182">
        <v>194</v>
      </c>
      <c r="BR138" s="336">
        <v>7.5428571428571427</v>
      </c>
      <c r="BS138" s="213">
        <v>40716</v>
      </c>
      <c r="BT138" s="182">
        <v>173</v>
      </c>
      <c r="BU138" s="336">
        <v>7.0571428571428569</v>
      </c>
      <c r="BV138" s="182"/>
      <c r="BW138" s="182"/>
      <c r="BX138" s="182"/>
    </row>
    <row r="139" spans="1:76">
      <c r="A139" s="16" t="s">
        <v>33</v>
      </c>
      <c r="B139" s="131"/>
      <c r="C139" s="68"/>
      <c r="D139" s="69"/>
      <c r="E139" s="68"/>
      <c r="F139" s="68"/>
      <c r="G139" s="68"/>
      <c r="H139" s="68"/>
      <c r="I139" s="70"/>
      <c r="J139" s="71"/>
      <c r="K139" s="69"/>
      <c r="L139" s="68"/>
      <c r="M139" s="68"/>
      <c r="N139" s="68"/>
      <c r="O139" s="68"/>
      <c r="P139" s="70"/>
      <c r="Q139" s="71"/>
      <c r="R139" s="69"/>
      <c r="S139" s="68"/>
      <c r="T139" s="68"/>
      <c r="U139" s="68"/>
      <c r="V139" s="68"/>
      <c r="W139" s="70"/>
      <c r="X139" s="71"/>
      <c r="Y139" s="69"/>
      <c r="Z139" s="68"/>
      <c r="AA139" s="68"/>
      <c r="AB139" s="68"/>
      <c r="AC139" s="68"/>
      <c r="AD139" s="70"/>
      <c r="AE139" s="71"/>
      <c r="AF139" s="69"/>
      <c r="AG139" s="68"/>
      <c r="AH139" s="68"/>
      <c r="AI139" s="68"/>
      <c r="AJ139" s="68"/>
      <c r="AK139" s="70"/>
      <c r="AL139" s="71"/>
      <c r="AM139" s="72"/>
      <c r="AN139" s="70"/>
      <c r="AO139" s="70"/>
      <c r="AP139" s="70"/>
      <c r="AQ139" s="70"/>
      <c r="AR139" s="73"/>
      <c r="AS139" s="80"/>
      <c r="AT139" s="188">
        <f t="shared" si="24"/>
        <v>8</v>
      </c>
      <c r="AU139" s="229">
        <f t="shared" si="23"/>
        <v>192</v>
      </c>
      <c r="AV139" s="168"/>
      <c r="AW139" s="168"/>
      <c r="AX139" s="168"/>
      <c r="AY139" s="168"/>
      <c r="AZ139" s="168"/>
      <c r="BA139" s="168"/>
      <c r="BB139" s="168"/>
      <c r="BC139" s="168"/>
      <c r="BD139" s="340">
        <v>38897</v>
      </c>
      <c r="BE139" s="182">
        <f t="shared" si="21"/>
        <v>180</v>
      </c>
      <c r="BF139" s="336">
        <v>8</v>
      </c>
      <c r="BG139" s="213">
        <v>39241</v>
      </c>
      <c r="BH139" s="182">
        <f t="shared" si="22"/>
        <v>159</v>
      </c>
      <c r="BI139" s="336">
        <v>4.76</v>
      </c>
      <c r="BJ139" s="213"/>
      <c r="BK139" s="182"/>
      <c r="BL139" s="336"/>
      <c r="BM139" s="213">
        <v>40003</v>
      </c>
      <c r="BN139" s="182">
        <v>190</v>
      </c>
      <c r="BO139" s="336">
        <v>7.6111111111111107</v>
      </c>
      <c r="BP139" s="213">
        <v>40379</v>
      </c>
      <c r="BQ139" s="182">
        <v>201</v>
      </c>
      <c r="BR139" s="336">
        <v>7.7142857142857144</v>
      </c>
      <c r="BS139" s="213">
        <v>40723</v>
      </c>
      <c r="BT139" s="182">
        <v>180</v>
      </c>
      <c r="BU139" s="336">
        <v>7.6857142857142859</v>
      </c>
      <c r="BV139" s="182"/>
      <c r="BW139" s="182"/>
      <c r="BX139" s="182"/>
    </row>
    <row r="140" spans="1:76">
      <c r="A140" s="16" t="s">
        <v>33</v>
      </c>
      <c r="B140" s="131"/>
      <c r="C140" s="68"/>
      <c r="D140" s="69"/>
      <c r="E140" s="68"/>
      <c r="F140" s="68"/>
      <c r="G140" s="68"/>
      <c r="H140" s="68"/>
      <c r="I140" s="70"/>
      <c r="J140" s="71"/>
      <c r="K140" s="69"/>
      <c r="L140" s="68"/>
      <c r="M140" s="68"/>
      <c r="N140" s="68"/>
      <c r="O140" s="68"/>
      <c r="P140" s="70"/>
      <c r="Q140" s="71"/>
      <c r="R140" s="69"/>
      <c r="S140" s="68"/>
      <c r="T140" s="68"/>
      <c r="U140" s="68"/>
      <c r="V140" s="68"/>
      <c r="W140" s="70"/>
      <c r="X140" s="71"/>
      <c r="Y140" s="69"/>
      <c r="Z140" s="68"/>
      <c r="AA140" s="68"/>
      <c r="AB140" s="68"/>
      <c r="AC140" s="68"/>
      <c r="AD140" s="70"/>
      <c r="AE140" s="71"/>
      <c r="AF140" s="69"/>
      <c r="AG140" s="68"/>
      <c r="AH140" s="68"/>
      <c r="AI140" s="68"/>
      <c r="AJ140" s="68"/>
      <c r="AK140" s="70"/>
      <c r="AL140" s="71"/>
      <c r="AM140" s="72"/>
      <c r="AN140" s="70"/>
      <c r="AO140" s="70"/>
      <c r="AP140" s="70"/>
      <c r="AQ140" s="70"/>
      <c r="AR140" s="73"/>
      <c r="AS140" s="80"/>
      <c r="AT140" s="188">
        <f t="shared" si="24"/>
        <v>8</v>
      </c>
      <c r="AU140" s="229">
        <f t="shared" si="23"/>
        <v>192</v>
      </c>
      <c r="AV140" s="168"/>
      <c r="AW140" s="168"/>
      <c r="AX140" s="168"/>
      <c r="AY140" s="168"/>
      <c r="AZ140" s="168"/>
      <c r="BA140" s="168"/>
      <c r="BB140" s="168"/>
      <c r="BC140" s="168"/>
      <c r="BD140" s="340"/>
      <c r="BE140" s="182"/>
      <c r="BF140" s="336"/>
      <c r="BG140" s="213">
        <v>39244</v>
      </c>
      <c r="BH140" s="182">
        <f t="shared" si="22"/>
        <v>162</v>
      </c>
      <c r="BI140" s="336">
        <v>5.72</v>
      </c>
      <c r="BJ140" s="213"/>
      <c r="BK140" s="182"/>
      <c r="BL140" s="336"/>
      <c r="BM140" s="213"/>
      <c r="BN140" s="182"/>
      <c r="BO140" s="336"/>
      <c r="BP140" s="213">
        <v>40386</v>
      </c>
      <c r="BQ140" s="182">
        <v>208</v>
      </c>
      <c r="BR140" s="336">
        <v>7.7714285714285714</v>
      </c>
      <c r="BS140" s="213">
        <v>40731</v>
      </c>
      <c r="BT140" s="182">
        <v>188</v>
      </c>
      <c r="BU140" s="336">
        <v>7.9142857142857146</v>
      </c>
      <c r="BV140" s="182"/>
      <c r="BW140" s="182"/>
      <c r="BX140" s="182"/>
    </row>
    <row r="141" spans="1:76">
      <c r="A141" s="16" t="s">
        <v>33</v>
      </c>
      <c r="B141" s="131"/>
      <c r="C141" s="68"/>
      <c r="D141" s="69"/>
      <c r="E141" s="68"/>
      <c r="F141" s="68"/>
      <c r="G141" s="68"/>
      <c r="H141" s="68"/>
      <c r="I141" s="70"/>
      <c r="J141" s="71"/>
      <c r="K141" s="69"/>
      <c r="L141" s="68"/>
      <c r="M141" s="68"/>
      <c r="N141" s="68"/>
      <c r="O141" s="68"/>
      <c r="P141" s="70"/>
      <c r="Q141" s="71"/>
      <c r="R141" s="69"/>
      <c r="S141" s="68"/>
      <c r="T141" s="68"/>
      <c r="U141" s="68"/>
      <c r="V141" s="68"/>
      <c r="W141" s="70"/>
      <c r="X141" s="71"/>
      <c r="Y141" s="69"/>
      <c r="Z141" s="68"/>
      <c r="AA141" s="68"/>
      <c r="AB141" s="68"/>
      <c r="AC141" s="68"/>
      <c r="AD141" s="70"/>
      <c r="AE141" s="71"/>
      <c r="AF141" s="69"/>
      <c r="AG141" s="68"/>
      <c r="AH141" s="68"/>
      <c r="AI141" s="68"/>
      <c r="AJ141" s="68"/>
      <c r="AK141" s="70"/>
      <c r="AL141" s="71"/>
      <c r="AM141" s="72"/>
      <c r="AN141" s="70"/>
      <c r="AO141" s="70"/>
      <c r="AP141" s="70"/>
      <c r="AQ141" s="70"/>
      <c r="AR141" s="73"/>
      <c r="AS141" s="80"/>
      <c r="AT141" s="188">
        <f t="shared" si="24"/>
        <v>8</v>
      </c>
      <c r="AU141" s="229">
        <f t="shared" si="23"/>
        <v>192</v>
      </c>
      <c r="AV141" s="168"/>
      <c r="AW141" s="168"/>
      <c r="AX141" s="168"/>
      <c r="AY141" s="168"/>
      <c r="AZ141" s="168"/>
      <c r="BA141" s="168"/>
      <c r="BB141" s="168"/>
      <c r="BC141" s="168"/>
      <c r="BD141" s="340"/>
      <c r="BE141" s="182"/>
      <c r="BF141" s="336"/>
      <c r="BG141" s="213">
        <v>39251</v>
      </c>
      <c r="BH141" s="182">
        <f t="shared" si="22"/>
        <v>169</v>
      </c>
      <c r="BI141" s="336">
        <v>6.08</v>
      </c>
      <c r="BJ141" s="213"/>
      <c r="BK141" s="182"/>
      <c r="BL141" s="336"/>
      <c r="BM141" s="213"/>
      <c r="BN141" s="182"/>
      <c r="BO141" s="336"/>
      <c r="BP141" s="213"/>
      <c r="BQ141" s="182"/>
      <c r="BR141" s="336"/>
      <c r="BS141" s="213">
        <v>40737</v>
      </c>
      <c r="BT141" s="182">
        <v>194</v>
      </c>
      <c r="BU141" s="336">
        <v>7.333333333333333</v>
      </c>
      <c r="BV141" s="182"/>
      <c r="BW141" s="182"/>
      <c r="BX141" s="182"/>
    </row>
    <row r="142" spans="1:76">
      <c r="A142" s="16" t="s">
        <v>33</v>
      </c>
      <c r="B142" s="131"/>
      <c r="C142" s="68"/>
      <c r="D142" s="69"/>
      <c r="E142" s="68"/>
      <c r="F142" s="68"/>
      <c r="G142" s="68"/>
      <c r="H142" s="68"/>
      <c r="I142" s="70"/>
      <c r="J142" s="71"/>
      <c r="K142" s="69"/>
      <c r="L142" s="68"/>
      <c r="M142" s="68"/>
      <c r="N142" s="68"/>
      <c r="O142" s="68"/>
      <c r="P142" s="70"/>
      <c r="Q142" s="71"/>
      <c r="R142" s="69"/>
      <c r="S142" s="68"/>
      <c r="T142" s="68"/>
      <c r="U142" s="68"/>
      <c r="V142" s="68"/>
      <c r="W142" s="70"/>
      <c r="X142" s="71"/>
      <c r="Y142" s="69"/>
      <c r="Z142" s="68"/>
      <c r="AA142" s="68"/>
      <c r="AB142" s="68"/>
      <c r="AC142" s="68"/>
      <c r="AD142" s="70"/>
      <c r="AE142" s="71"/>
      <c r="AF142" s="69"/>
      <c r="AG142" s="68"/>
      <c r="AH142" s="68"/>
      <c r="AI142" s="68"/>
      <c r="AJ142" s="68"/>
      <c r="AK142" s="70"/>
      <c r="AL142" s="71"/>
      <c r="AM142" s="72"/>
      <c r="AN142" s="70"/>
      <c r="AO142" s="70"/>
      <c r="AP142" s="70"/>
      <c r="AQ142" s="70"/>
      <c r="AR142" s="73"/>
      <c r="AS142" s="80"/>
      <c r="AT142" s="188">
        <f t="shared" si="24"/>
        <v>8</v>
      </c>
      <c r="AU142" s="229">
        <f t="shared" si="23"/>
        <v>192</v>
      </c>
      <c r="AV142" s="168"/>
      <c r="AW142" s="168"/>
      <c r="AX142" s="168"/>
      <c r="AY142" s="168"/>
      <c r="AZ142" s="168"/>
      <c r="BA142" s="168"/>
      <c r="BB142" s="168"/>
      <c r="BC142" s="168"/>
      <c r="BD142" s="340"/>
      <c r="BE142" s="182"/>
      <c r="BF142" s="336"/>
      <c r="BG142" s="213">
        <v>39258</v>
      </c>
      <c r="BH142" s="182">
        <f t="shared" si="22"/>
        <v>176</v>
      </c>
      <c r="BI142" s="336">
        <v>6.84</v>
      </c>
      <c r="BJ142" s="213"/>
      <c r="BK142" s="182"/>
      <c r="BL142" s="336"/>
      <c r="BM142" s="213"/>
      <c r="BN142" s="182"/>
      <c r="BO142" s="336"/>
      <c r="BP142" s="213"/>
      <c r="BQ142" s="182"/>
      <c r="BR142" s="336"/>
      <c r="BS142" s="213">
        <v>40743</v>
      </c>
      <c r="BT142" s="182">
        <v>200</v>
      </c>
      <c r="BU142" s="336">
        <v>8</v>
      </c>
      <c r="BV142" s="182"/>
      <c r="BW142" s="182"/>
      <c r="BX142" s="182"/>
    </row>
    <row r="143" spans="1:76">
      <c r="A143" s="16" t="s">
        <v>33</v>
      </c>
      <c r="B143" s="131"/>
      <c r="C143" s="68"/>
      <c r="D143" s="69"/>
      <c r="E143" s="68"/>
      <c r="F143" s="68"/>
      <c r="G143" s="68"/>
      <c r="H143" s="68"/>
      <c r="I143" s="70"/>
      <c r="J143" s="71"/>
      <c r="K143" s="69"/>
      <c r="L143" s="68"/>
      <c r="M143" s="68"/>
      <c r="N143" s="68"/>
      <c r="O143" s="68"/>
      <c r="P143" s="70"/>
      <c r="Q143" s="71"/>
      <c r="R143" s="69"/>
      <c r="S143" s="68"/>
      <c r="T143" s="68"/>
      <c r="U143" s="68"/>
      <c r="V143" s="68"/>
      <c r="W143" s="70"/>
      <c r="X143" s="71"/>
      <c r="Y143" s="69"/>
      <c r="Z143" s="68"/>
      <c r="AA143" s="68"/>
      <c r="AB143" s="68"/>
      <c r="AC143" s="68"/>
      <c r="AD143" s="70"/>
      <c r="AE143" s="71"/>
      <c r="AF143" s="69"/>
      <c r="AG143" s="68"/>
      <c r="AH143" s="68"/>
      <c r="AI143" s="68"/>
      <c r="AJ143" s="68"/>
      <c r="AK143" s="70"/>
      <c r="AL143" s="71"/>
      <c r="AM143" s="72"/>
      <c r="AN143" s="70"/>
      <c r="AO143" s="70"/>
      <c r="AP143" s="70"/>
      <c r="AQ143" s="70"/>
      <c r="AR143" s="73"/>
      <c r="AS143" s="80"/>
      <c r="AT143" s="188">
        <f t="shared" si="24"/>
        <v>8</v>
      </c>
      <c r="AU143" s="229">
        <f t="shared" si="23"/>
        <v>192</v>
      </c>
      <c r="AV143" s="168"/>
      <c r="AW143" s="168"/>
      <c r="AX143" s="168"/>
      <c r="AY143" s="168"/>
      <c r="AZ143" s="168"/>
      <c r="BA143" s="168"/>
      <c r="BB143" s="168"/>
      <c r="BC143" s="168"/>
      <c r="BD143" s="340"/>
      <c r="BE143" s="182"/>
      <c r="BF143" s="336"/>
      <c r="BG143" s="213">
        <v>39265</v>
      </c>
      <c r="BH143" s="182">
        <f t="shared" si="22"/>
        <v>183</v>
      </c>
      <c r="BI143" s="336">
        <v>7.8</v>
      </c>
      <c r="BJ143" s="213"/>
      <c r="BK143" s="182"/>
      <c r="BL143" s="336"/>
      <c r="BM143" s="213"/>
      <c r="BN143" s="182"/>
      <c r="BO143" s="336"/>
      <c r="BP143" s="213"/>
      <c r="BQ143" s="182"/>
      <c r="BR143" s="336"/>
      <c r="BS143" s="213"/>
      <c r="BT143" s="182"/>
      <c r="BU143" s="336"/>
      <c r="BV143" s="182"/>
      <c r="BW143" s="182"/>
      <c r="BX143" s="182"/>
    </row>
    <row r="144" spans="1:76">
      <c r="A144" s="16" t="s">
        <v>33</v>
      </c>
      <c r="B144" s="131"/>
      <c r="C144" s="68"/>
      <c r="D144" s="69"/>
      <c r="E144" s="68"/>
      <c r="F144" s="68"/>
      <c r="G144" s="68"/>
      <c r="H144" s="68"/>
      <c r="I144" s="70"/>
      <c r="J144" s="71"/>
      <c r="K144" s="69"/>
      <c r="L144" s="68"/>
      <c r="M144" s="68"/>
      <c r="N144" s="68"/>
      <c r="O144" s="68"/>
      <c r="P144" s="70"/>
      <c r="Q144" s="71"/>
      <c r="R144" s="69"/>
      <c r="S144" s="68"/>
      <c r="T144" s="68"/>
      <c r="U144" s="68"/>
      <c r="V144" s="68"/>
      <c r="W144" s="70"/>
      <c r="X144" s="71"/>
      <c r="Y144" s="69"/>
      <c r="Z144" s="68"/>
      <c r="AA144" s="68"/>
      <c r="AB144" s="68"/>
      <c r="AC144" s="68"/>
      <c r="AD144" s="70"/>
      <c r="AE144" s="71"/>
      <c r="AF144" s="69"/>
      <c r="AG144" s="68"/>
      <c r="AH144" s="68"/>
      <c r="AI144" s="68"/>
      <c r="AJ144" s="68"/>
      <c r="AK144" s="70"/>
      <c r="AL144" s="71"/>
      <c r="AM144" s="72"/>
      <c r="AN144" s="70"/>
      <c r="AO144" s="70"/>
      <c r="AP144" s="70"/>
      <c r="AQ144" s="70"/>
      <c r="AR144" s="73"/>
      <c r="AS144" s="80"/>
      <c r="AT144" s="188">
        <f t="shared" si="24"/>
        <v>8</v>
      </c>
      <c r="AU144" s="229">
        <f t="shared" si="23"/>
        <v>192</v>
      </c>
      <c r="AV144" s="168"/>
      <c r="AW144" s="168"/>
      <c r="AX144" s="168"/>
      <c r="AY144" s="168"/>
      <c r="AZ144" s="168"/>
      <c r="BA144" s="168"/>
      <c r="BB144" s="168"/>
      <c r="BC144" s="168"/>
      <c r="BD144" s="340"/>
      <c r="BE144" s="182"/>
      <c r="BF144" s="336"/>
      <c r="BG144" s="213"/>
      <c r="BH144" s="182"/>
      <c r="BI144" s="336"/>
      <c r="BJ144" s="213"/>
      <c r="BK144" s="182"/>
      <c r="BL144" s="336"/>
      <c r="BM144" s="213"/>
      <c r="BN144" s="182"/>
      <c r="BO144" s="336"/>
      <c r="BP144" s="213"/>
      <c r="BQ144" s="182"/>
      <c r="BR144" s="336"/>
      <c r="BS144" s="213"/>
      <c r="BT144" s="182"/>
      <c r="BU144" s="336"/>
      <c r="BV144" s="182"/>
      <c r="BW144" s="182"/>
      <c r="BX144" s="182"/>
    </row>
    <row r="145" spans="1:76">
      <c r="A145" s="16" t="s">
        <v>33</v>
      </c>
      <c r="B145" s="131"/>
      <c r="C145" s="68"/>
      <c r="D145" s="69"/>
      <c r="E145" s="68"/>
      <c r="F145" s="68"/>
      <c r="G145" s="68"/>
      <c r="H145" s="68"/>
      <c r="I145" s="70"/>
      <c r="J145" s="71"/>
      <c r="K145" s="69"/>
      <c r="L145" s="68"/>
      <c r="M145" s="68"/>
      <c r="N145" s="68"/>
      <c r="O145" s="68"/>
      <c r="P145" s="70"/>
      <c r="Q145" s="71"/>
      <c r="R145" s="69"/>
      <c r="S145" s="68"/>
      <c r="T145" s="68"/>
      <c r="U145" s="68"/>
      <c r="V145" s="68"/>
      <c r="W145" s="70"/>
      <c r="X145" s="71"/>
      <c r="Y145" s="69"/>
      <c r="Z145" s="68"/>
      <c r="AA145" s="68"/>
      <c r="AB145" s="68"/>
      <c r="AC145" s="68"/>
      <c r="AD145" s="70"/>
      <c r="AE145" s="71"/>
      <c r="AF145" s="69"/>
      <c r="AG145" s="68"/>
      <c r="AH145" s="68"/>
      <c r="AI145" s="68"/>
      <c r="AJ145" s="68"/>
      <c r="AK145" s="70"/>
      <c r="AL145" s="71"/>
      <c r="AM145" s="72"/>
      <c r="AN145" s="70"/>
      <c r="AO145" s="70"/>
      <c r="AP145" s="70"/>
      <c r="AQ145" s="70"/>
      <c r="AR145" s="73"/>
      <c r="AS145" s="80"/>
      <c r="AT145" s="188">
        <f t="shared" si="24"/>
        <v>8</v>
      </c>
      <c r="AU145" s="229">
        <f t="shared" si="23"/>
        <v>192</v>
      </c>
      <c r="AV145" s="168"/>
      <c r="AW145" s="168"/>
      <c r="AX145" s="168"/>
      <c r="AY145" s="168"/>
      <c r="AZ145" s="168"/>
      <c r="BA145" s="168"/>
      <c r="BB145" s="168"/>
      <c r="BC145" s="168"/>
      <c r="BD145" s="340"/>
      <c r="BE145" s="182"/>
      <c r="BF145" s="336"/>
      <c r="BG145" s="213"/>
      <c r="BH145" s="182"/>
      <c r="BI145" s="336"/>
      <c r="BJ145" s="213"/>
      <c r="BK145" s="182"/>
      <c r="BL145" s="336"/>
      <c r="BM145" s="213"/>
      <c r="BN145" s="182"/>
      <c r="BO145" s="336"/>
      <c r="BP145" s="213"/>
      <c r="BQ145" s="182"/>
      <c r="BR145" s="336"/>
      <c r="BS145" s="213"/>
      <c r="BT145" s="182"/>
      <c r="BU145" s="336"/>
      <c r="BV145" s="182"/>
      <c r="BW145" s="182"/>
      <c r="BX145" s="182"/>
    </row>
    <row r="146" spans="1:76">
      <c r="A146" s="16" t="s">
        <v>33</v>
      </c>
      <c r="B146" s="131"/>
      <c r="C146" s="68"/>
      <c r="D146" s="69"/>
      <c r="E146" s="68"/>
      <c r="F146" s="68"/>
      <c r="G146" s="68"/>
      <c r="H146" s="68"/>
      <c r="I146" s="70"/>
      <c r="J146" s="71"/>
      <c r="K146" s="69"/>
      <c r="L146" s="68"/>
      <c r="M146" s="68"/>
      <c r="N146" s="68"/>
      <c r="O146" s="68"/>
      <c r="P146" s="70"/>
      <c r="Q146" s="71"/>
      <c r="R146" s="69"/>
      <c r="S146" s="68"/>
      <c r="T146" s="68"/>
      <c r="U146" s="68"/>
      <c r="V146" s="68"/>
      <c r="W146" s="70"/>
      <c r="X146" s="71"/>
      <c r="Y146" s="69"/>
      <c r="Z146" s="68"/>
      <c r="AA146" s="68"/>
      <c r="AB146" s="68"/>
      <c r="AC146" s="68"/>
      <c r="AD146" s="70"/>
      <c r="AE146" s="71"/>
      <c r="AF146" s="69"/>
      <c r="AG146" s="68"/>
      <c r="AH146" s="68"/>
      <c r="AI146" s="68"/>
      <c r="AJ146" s="68"/>
      <c r="AK146" s="70"/>
      <c r="AL146" s="71"/>
      <c r="AM146" s="72"/>
      <c r="AN146" s="70"/>
      <c r="AO146" s="70"/>
      <c r="AP146" s="70"/>
      <c r="AQ146" s="70"/>
      <c r="AR146" s="73"/>
      <c r="AS146" s="80"/>
      <c r="AT146" s="188">
        <f t="shared" si="24"/>
        <v>8</v>
      </c>
      <c r="AU146" s="229">
        <f t="shared" si="23"/>
        <v>192</v>
      </c>
      <c r="AV146" s="168"/>
      <c r="AW146" s="168"/>
      <c r="AX146" s="168"/>
      <c r="AY146" s="168"/>
      <c r="AZ146" s="168"/>
      <c r="BA146" s="168"/>
      <c r="BB146" s="168"/>
      <c r="BC146" s="168"/>
      <c r="BD146" s="340"/>
      <c r="BE146" s="182"/>
      <c r="BF146" s="336"/>
      <c r="BG146" s="213"/>
      <c r="BH146" s="182"/>
      <c r="BI146" s="336"/>
      <c r="BJ146" s="213"/>
      <c r="BK146" s="182"/>
      <c r="BL146" s="336"/>
      <c r="BM146" s="213"/>
      <c r="BN146" s="182"/>
      <c r="BO146" s="336"/>
      <c r="BP146" s="213"/>
      <c r="BQ146" s="182"/>
      <c r="BR146" s="336"/>
      <c r="BS146" s="213"/>
      <c r="BT146" s="182"/>
      <c r="BU146" s="336"/>
      <c r="BV146" s="182"/>
      <c r="BW146" s="182"/>
      <c r="BX146" s="182"/>
    </row>
    <row r="147" spans="1:76">
      <c r="A147" s="16" t="s">
        <v>33</v>
      </c>
      <c r="B147" s="131"/>
      <c r="C147" s="68"/>
      <c r="D147" s="69"/>
      <c r="E147" s="68"/>
      <c r="F147" s="68"/>
      <c r="G147" s="68"/>
      <c r="H147" s="68"/>
      <c r="I147" s="70"/>
      <c r="J147" s="71"/>
      <c r="K147" s="69"/>
      <c r="L147" s="68"/>
      <c r="M147" s="68"/>
      <c r="N147" s="68"/>
      <c r="O147" s="68"/>
      <c r="P147" s="70"/>
      <c r="Q147" s="71"/>
      <c r="R147" s="69"/>
      <c r="S147" s="68"/>
      <c r="T147" s="68"/>
      <c r="U147" s="68"/>
      <c r="V147" s="68"/>
      <c r="W147" s="70"/>
      <c r="X147" s="71"/>
      <c r="Y147" s="69"/>
      <c r="Z147" s="68"/>
      <c r="AA147" s="68"/>
      <c r="AB147" s="68"/>
      <c r="AC147" s="68"/>
      <c r="AD147" s="70"/>
      <c r="AE147" s="71"/>
      <c r="AF147" s="69"/>
      <c r="AG147" s="68"/>
      <c r="AH147" s="68"/>
      <c r="AI147" s="68"/>
      <c r="AJ147" s="68"/>
      <c r="AK147" s="70"/>
      <c r="AL147" s="71"/>
      <c r="AM147" s="72"/>
      <c r="AN147" s="70"/>
      <c r="AO147" s="70"/>
      <c r="AP147" s="70"/>
      <c r="AQ147" s="70"/>
      <c r="AR147" s="73"/>
      <c r="AS147" s="80"/>
      <c r="AT147" s="188">
        <f t="shared" si="24"/>
        <v>8</v>
      </c>
      <c r="AU147" s="229">
        <f t="shared" si="23"/>
        <v>192</v>
      </c>
      <c r="AV147" s="168"/>
      <c r="AW147" s="168"/>
      <c r="AX147" s="168"/>
      <c r="AY147" s="168"/>
      <c r="AZ147" s="168"/>
      <c r="BA147" s="168"/>
      <c r="BB147" s="168"/>
      <c r="BC147" s="168"/>
      <c r="BD147" s="340"/>
      <c r="BE147" s="182"/>
      <c r="BF147" s="336"/>
      <c r="BG147" s="213"/>
      <c r="BH147" s="182"/>
      <c r="BI147" s="336"/>
      <c r="BJ147" s="213"/>
      <c r="BK147" s="182"/>
      <c r="BL147" s="336"/>
      <c r="BM147" s="213"/>
      <c r="BN147" s="182"/>
      <c r="BO147" s="336"/>
      <c r="BP147" s="213"/>
      <c r="BQ147" s="182"/>
      <c r="BR147" s="336"/>
      <c r="BS147" s="213"/>
      <c r="BT147" s="182"/>
      <c r="BU147" s="336"/>
      <c r="BV147" s="182"/>
      <c r="BW147" s="182"/>
      <c r="BX147" s="182"/>
    </row>
    <row r="148" spans="1:76">
      <c r="A148" s="16" t="s">
        <v>33</v>
      </c>
      <c r="B148" s="131"/>
      <c r="C148" s="68"/>
      <c r="D148" s="69"/>
      <c r="E148" s="68"/>
      <c r="F148" s="68"/>
      <c r="G148" s="68"/>
      <c r="H148" s="68"/>
      <c r="I148" s="70"/>
      <c r="J148" s="71"/>
      <c r="K148" s="69"/>
      <c r="L148" s="68"/>
      <c r="M148" s="68"/>
      <c r="N148" s="68"/>
      <c r="O148" s="68"/>
      <c r="P148" s="70"/>
      <c r="Q148" s="71"/>
      <c r="R148" s="69"/>
      <c r="S148" s="68"/>
      <c r="T148" s="68"/>
      <c r="U148" s="68"/>
      <c r="V148" s="68"/>
      <c r="W148" s="70"/>
      <c r="X148" s="71"/>
      <c r="Y148" s="69"/>
      <c r="Z148" s="68"/>
      <c r="AA148" s="68"/>
      <c r="AB148" s="68"/>
      <c r="AC148" s="68"/>
      <c r="AD148" s="70"/>
      <c r="AE148" s="71"/>
      <c r="AF148" s="69"/>
      <c r="AG148" s="68"/>
      <c r="AH148" s="68"/>
      <c r="AI148" s="68"/>
      <c r="AJ148" s="68"/>
      <c r="AK148" s="70"/>
      <c r="AL148" s="71"/>
      <c r="AM148" s="72"/>
      <c r="AN148" s="70"/>
      <c r="AO148" s="70"/>
      <c r="AP148" s="70"/>
      <c r="AQ148" s="70"/>
      <c r="AR148" s="73"/>
      <c r="AS148" s="80"/>
      <c r="AT148" s="188">
        <f t="shared" si="24"/>
        <v>8</v>
      </c>
      <c r="AU148" s="229">
        <f t="shared" si="23"/>
        <v>192</v>
      </c>
      <c r="AV148" s="168"/>
      <c r="AW148" s="168"/>
      <c r="AX148" s="168"/>
      <c r="AY148" s="168"/>
      <c r="AZ148" s="168"/>
      <c r="BA148" s="168"/>
      <c r="BB148" s="168"/>
      <c r="BC148" s="168"/>
      <c r="BD148" s="340"/>
      <c r="BE148" s="182"/>
      <c r="BF148" s="336"/>
      <c r="BG148" s="213"/>
      <c r="BH148" s="182"/>
      <c r="BI148" s="336"/>
      <c r="BJ148" s="213"/>
      <c r="BK148" s="182"/>
      <c r="BL148" s="336"/>
      <c r="BM148" s="213"/>
      <c r="BN148" s="182"/>
      <c r="BO148" s="336"/>
      <c r="BP148" s="213"/>
      <c r="BQ148" s="182"/>
      <c r="BR148" s="336"/>
      <c r="BS148" s="213"/>
      <c r="BT148" s="182"/>
      <c r="BU148" s="336"/>
      <c r="BV148" s="182"/>
      <c r="BW148" s="182"/>
      <c r="BX148" s="182"/>
    </row>
    <row r="149" spans="1:76">
      <c r="A149" s="16" t="s">
        <v>33</v>
      </c>
      <c r="B149" s="131"/>
      <c r="C149" s="68"/>
      <c r="D149" s="69"/>
      <c r="E149" s="68"/>
      <c r="F149" s="68"/>
      <c r="G149" s="68"/>
      <c r="H149" s="68"/>
      <c r="I149" s="70"/>
      <c r="J149" s="71"/>
      <c r="K149" s="69"/>
      <c r="L149" s="68"/>
      <c r="M149" s="68"/>
      <c r="N149" s="68"/>
      <c r="O149" s="68"/>
      <c r="P149" s="70"/>
      <c r="Q149" s="71"/>
      <c r="R149" s="69"/>
      <c r="S149" s="68"/>
      <c r="T149" s="68"/>
      <c r="U149" s="68"/>
      <c r="V149" s="68"/>
      <c r="W149" s="70"/>
      <c r="X149" s="71"/>
      <c r="Y149" s="69"/>
      <c r="Z149" s="68"/>
      <c r="AA149" s="68"/>
      <c r="AB149" s="68"/>
      <c r="AC149" s="68"/>
      <c r="AD149" s="70"/>
      <c r="AE149" s="71"/>
      <c r="AF149" s="69"/>
      <c r="AG149" s="68"/>
      <c r="AH149" s="68"/>
      <c r="AI149" s="68"/>
      <c r="AJ149" s="68"/>
      <c r="AK149" s="70"/>
      <c r="AL149" s="71"/>
      <c r="AM149" s="72"/>
      <c r="AN149" s="70"/>
      <c r="AO149" s="70"/>
      <c r="AP149" s="70"/>
      <c r="AQ149" s="70"/>
      <c r="AR149" s="73"/>
      <c r="AS149" s="80"/>
      <c r="AT149" s="188">
        <f t="shared" si="24"/>
        <v>8</v>
      </c>
      <c r="AU149" s="229">
        <f t="shared" si="23"/>
        <v>192</v>
      </c>
      <c r="AV149" s="168"/>
      <c r="AW149" s="168"/>
      <c r="AX149" s="168"/>
      <c r="AY149" s="168"/>
      <c r="AZ149" s="168"/>
      <c r="BA149" s="168"/>
      <c r="BB149" s="168"/>
      <c r="BC149" s="168"/>
      <c r="BD149" s="340"/>
      <c r="BE149" s="182"/>
      <c r="BF149" s="336"/>
      <c r="BG149" s="213"/>
      <c r="BH149" s="182"/>
      <c r="BI149" s="336"/>
      <c r="BJ149" s="213"/>
      <c r="BK149" s="182"/>
      <c r="BL149" s="336"/>
      <c r="BM149" s="213"/>
      <c r="BN149" s="182"/>
      <c r="BO149" s="336"/>
      <c r="BP149" s="213"/>
      <c r="BQ149" s="182"/>
      <c r="BR149" s="336"/>
      <c r="BS149" s="213"/>
      <c r="BT149" s="182"/>
      <c r="BU149" s="336"/>
      <c r="BV149" s="182"/>
      <c r="BW149" s="182"/>
      <c r="BX149" s="182"/>
    </row>
    <row r="150" spans="1:76">
      <c r="A150" s="16" t="s">
        <v>33</v>
      </c>
      <c r="B150" s="131"/>
      <c r="C150" s="68"/>
      <c r="D150" s="69"/>
      <c r="E150" s="68"/>
      <c r="F150" s="68"/>
      <c r="G150" s="68"/>
      <c r="H150" s="68"/>
      <c r="I150" s="70"/>
      <c r="J150" s="71"/>
      <c r="K150" s="69"/>
      <c r="L150" s="68"/>
      <c r="M150" s="68"/>
      <c r="N150" s="68"/>
      <c r="O150" s="68"/>
      <c r="P150" s="70"/>
      <c r="Q150" s="71"/>
      <c r="R150" s="69"/>
      <c r="S150" s="68"/>
      <c r="T150" s="68"/>
      <c r="U150" s="68"/>
      <c r="V150" s="68"/>
      <c r="W150" s="70"/>
      <c r="X150" s="71"/>
      <c r="Y150" s="69"/>
      <c r="Z150" s="68"/>
      <c r="AA150" s="68"/>
      <c r="AB150" s="68"/>
      <c r="AC150" s="68"/>
      <c r="AD150" s="70"/>
      <c r="AE150" s="71"/>
      <c r="AF150" s="69"/>
      <c r="AG150" s="68"/>
      <c r="AH150" s="68"/>
      <c r="AI150" s="68"/>
      <c r="AJ150" s="68"/>
      <c r="AK150" s="70"/>
      <c r="AL150" s="71"/>
      <c r="AM150" s="72"/>
      <c r="AN150" s="70"/>
      <c r="AO150" s="70"/>
      <c r="AP150" s="70"/>
      <c r="AQ150" s="70"/>
      <c r="AR150" s="73"/>
      <c r="AS150" s="80"/>
      <c r="AT150" s="188">
        <f t="shared" si="24"/>
        <v>8</v>
      </c>
      <c r="AU150" s="229">
        <f t="shared" si="23"/>
        <v>192</v>
      </c>
      <c r="AV150" s="168"/>
      <c r="AW150" s="168"/>
      <c r="AX150" s="168"/>
      <c r="AY150" s="168"/>
      <c r="AZ150" s="168"/>
      <c r="BA150" s="168"/>
      <c r="BB150" s="168"/>
      <c r="BC150" s="168"/>
      <c r="BD150" s="340"/>
      <c r="BE150" s="182"/>
      <c r="BF150" s="336"/>
      <c r="BG150" s="213"/>
      <c r="BH150" s="182"/>
      <c r="BI150" s="336"/>
      <c r="BJ150" s="213"/>
      <c r="BK150" s="182"/>
      <c r="BL150" s="336"/>
      <c r="BM150" s="213"/>
      <c r="BN150" s="182"/>
      <c r="BO150" s="336"/>
      <c r="BP150" s="213"/>
      <c r="BQ150" s="182"/>
      <c r="BR150" s="336"/>
      <c r="BS150" s="213"/>
      <c r="BT150" s="182"/>
      <c r="BU150" s="336"/>
      <c r="BV150" s="182"/>
      <c r="BW150" s="182"/>
      <c r="BX150" s="182"/>
    </row>
    <row r="151" spans="1:76">
      <c r="A151" s="16" t="s">
        <v>33</v>
      </c>
      <c r="B151" s="131"/>
      <c r="C151" s="68"/>
      <c r="D151" s="69"/>
      <c r="E151" s="68"/>
      <c r="F151" s="68"/>
      <c r="G151" s="68"/>
      <c r="H151" s="68"/>
      <c r="I151" s="70"/>
      <c r="J151" s="71"/>
      <c r="K151" s="69"/>
      <c r="L151" s="68"/>
      <c r="M151" s="68"/>
      <c r="N151" s="68"/>
      <c r="O151" s="68"/>
      <c r="P151" s="70"/>
      <c r="Q151" s="71"/>
      <c r="R151" s="69"/>
      <c r="S151" s="68"/>
      <c r="T151" s="68"/>
      <c r="U151" s="68"/>
      <c r="V151" s="68"/>
      <c r="W151" s="70"/>
      <c r="X151" s="71"/>
      <c r="Y151" s="69"/>
      <c r="Z151" s="68"/>
      <c r="AA151" s="68"/>
      <c r="AB151" s="68"/>
      <c r="AC151" s="68"/>
      <c r="AD151" s="70"/>
      <c r="AE151" s="71"/>
      <c r="AF151" s="69"/>
      <c r="AG151" s="68"/>
      <c r="AH151" s="68"/>
      <c r="AI151" s="68"/>
      <c r="AJ151" s="68"/>
      <c r="AK151" s="70"/>
      <c r="AL151" s="71"/>
      <c r="AM151" s="72"/>
      <c r="AN151" s="70"/>
      <c r="AO151" s="70"/>
      <c r="AP151" s="70"/>
      <c r="AQ151" s="70"/>
      <c r="AR151" s="73"/>
      <c r="AS151" s="80"/>
      <c r="AT151" s="188">
        <f t="shared" si="24"/>
        <v>8</v>
      </c>
      <c r="AU151" s="229">
        <f t="shared" si="23"/>
        <v>192</v>
      </c>
      <c r="AV151" s="168"/>
      <c r="AW151" s="168"/>
      <c r="AX151" s="168"/>
      <c r="AY151" s="168"/>
      <c r="AZ151" s="168"/>
      <c r="BA151" s="168"/>
      <c r="BB151" s="168"/>
      <c r="BC151" s="168"/>
      <c r="BD151" s="340"/>
      <c r="BE151" s="182"/>
      <c r="BF151" s="336"/>
      <c r="BG151" s="213"/>
      <c r="BH151" s="182"/>
      <c r="BI151" s="336"/>
      <c r="BJ151" s="213"/>
      <c r="BK151" s="182"/>
      <c r="BL151" s="336"/>
      <c r="BM151" s="213"/>
      <c r="BN151" s="182"/>
      <c r="BO151" s="336"/>
      <c r="BP151" s="213"/>
      <c r="BQ151" s="182"/>
      <c r="BR151" s="336"/>
      <c r="BS151" s="213"/>
      <c r="BT151" s="182"/>
      <c r="BU151" s="336"/>
      <c r="BV151" s="182"/>
      <c r="BW151" s="182"/>
      <c r="BX151" s="182"/>
    </row>
    <row r="152" spans="1:76">
      <c r="A152" s="16" t="s">
        <v>33</v>
      </c>
      <c r="B152" s="131"/>
      <c r="C152" s="68"/>
      <c r="D152" s="69"/>
      <c r="E152" s="68"/>
      <c r="F152" s="68"/>
      <c r="G152" s="68"/>
      <c r="H152" s="68"/>
      <c r="I152" s="70"/>
      <c r="J152" s="71"/>
      <c r="K152" s="69"/>
      <c r="L152" s="68"/>
      <c r="M152" s="68"/>
      <c r="N152" s="68"/>
      <c r="O152" s="68"/>
      <c r="P152" s="70"/>
      <c r="Q152" s="71"/>
      <c r="R152" s="69"/>
      <c r="S152" s="68"/>
      <c r="T152" s="68"/>
      <c r="U152" s="68"/>
      <c r="V152" s="68"/>
      <c r="W152" s="70"/>
      <c r="X152" s="71"/>
      <c r="Y152" s="69"/>
      <c r="Z152" s="68"/>
      <c r="AA152" s="68"/>
      <c r="AB152" s="68"/>
      <c r="AC152" s="68"/>
      <c r="AD152" s="70"/>
      <c r="AE152" s="71"/>
      <c r="AF152" s="69"/>
      <c r="AG152" s="68"/>
      <c r="AH152" s="68"/>
      <c r="AI152" s="68"/>
      <c r="AJ152" s="68"/>
      <c r="AK152" s="70"/>
      <c r="AL152" s="71"/>
      <c r="AM152" s="72"/>
      <c r="AN152" s="70"/>
      <c r="AO152" s="70"/>
      <c r="AP152" s="70"/>
      <c r="AQ152" s="70"/>
      <c r="AR152" s="73"/>
      <c r="AS152" s="80"/>
      <c r="AT152" s="188">
        <f t="shared" si="24"/>
        <v>8</v>
      </c>
      <c r="AU152" s="229">
        <f t="shared" si="23"/>
        <v>192</v>
      </c>
      <c r="AV152" s="168"/>
      <c r="AW152" s="168"/>
      <c r="AX152" s="168"/>
      <c r="AY152" s="168"/>
      <c r="AZ152" s="168"/>
      <c r="BA152" s="168"/>
      <c r="BB152" s="168"/>
      <c r="BC152" s="168"/>
      <c r="BD152" s="340"/>
      <c r="BE152" s="182"/>
      <c r="BF152" s="336"/>
      <c r="BG152" s="213"/>
      <c r="BH152" s="182"/>
      <c r="BI152" s="336"/>
      <c r="BJ152" s="213"/>
      <c r="BK152" s="182"/>
      <c r="BL152" s="336"/>
      <c r="BM152" s="213"/>
      <c r="BN152" s="182"/>
      <c r="BO152" s="336"/>
      <c r="BP152" s="213"/>
      <c r="BQ152" s="182"/>
      <c r="BR152" s="336"/>
      <c r="BS152" s="213"/>
      <c r="BT152" s="182"/>
      <c r="BU152" s="336"/>
      <c r="BV152" s="182"/>
      <c r="BW152" s="182"/>
      <c r="BX152" s="182"/>
    </row>
    <row r="153" spans="1:76">
      <c r="A153" s="16" t="s">
        <v>33</v>
      </c>
      <c r="B153" s="131"/>
      <c r="C153" s="68"/>
      <c r="D153" s="69"/>
      <c r="E153" s="68"/>
      <c r="F153" s="68"/>
      <c r="G153" s="68"/>
      <c r="H153" s="68"/>
      <c r="I153" s="70"/>
      <c r="J153" s="71"/>
      <c r="K153" s="69"/>
      <c r="L153" s="68"/>
      <c r="M153" s="68"/>
      <c r="N153" s="68"/>
      <c r="O153" s="68"/>
      <c r="P153" s="70"/>
      <c r="Q153" s="71"/>
      <c r="R153" s="69"/>
      <c r="S153" s="68"/>
      <c r="T153" s="68"/>
      <c r="U153" s="68"/>
      <c r="V153" s="68"/>
      <c r="W153" s="70"/>
      <c r="X153" s="71"/>
      <c r="Y153" s="69"/>
      <c r="Z153" s="68"/>
      <c r="AA153" s="68"/>
      <c r="AB153" s="68"/>
      <c r="AC153" s="68"/>
      <c r="AD153" s="70"/>
      <c r="AE153" s="71"/>
      <c r="AF153" s="69"/>
      <c r="AG153" s="68"/>
      <c r="AH153" s="68"/>
      <c r="AI153" s="68"/>
      <c r="AJ153" s="68"/>
      <c r="AK153" s="70"/>
      <c r="AL153" s="71"/>
      <c r="AM153" s="72"/>
      <c r="AN153" s="70"/>
      <c r="AO153" s="70"/>
      <c r="AP153" s="70"/>
      <c r="AQ153" s="70"/>
      <c r="AR153" s="73"/>
      <c r="AS153" s="80"/>
      <c r="AT153" s="188">
        <f t="shared" si="24"/>
        <v>8</v>
      </c>
      <c r="AU153" s="229">
        <f t="shared" si="23"/>
        <v>192</v>
      </c>
      <c r="AV153" s="168"/>
      <c r="AW153" s="168"/>
      <c r="AX153" s="168"/>
      <c r="AY153" s="168"/>
      <c r="AZ153" s="168"/>
      <c r="BA153" s="168"/>
      <c r="BB153" s="168"/>
      <c r="BC153" s="168"/>
      <c r="BD153" s="340"/>
      <c r="BE153" s="182"/>
      <c r="BF153" s="336"/>
      <c r="BG153" s="213"/>
      <c r="BH153" s="182"/>
      <c r="BI153" s="336"/>
      <c r="BJ153" s="213"/>
      <c r="BK153" s="182"/>
      <c r="BL153" s="336"/>
      <c r="BM153" s="213"/>
      <c r="BN153" s="182"/>
      <c r="BO153" s="336"/>
      <c r="BP153" s="213"/>
      <c r="BQ153" s="182"/>
      <c r="BR153" s="336"/>
      <c r="BS153" s="213"/>
      <c r="BT153" s="182"/>
      <c r="BU153" s="336"/>
      <c r="BV153" s="182"/>
      <c r="BW153" s="182"/>
      <c r="BX153" s="182"/>
    </row>
    <row r="154" spans="1:76">
      <c r="A154" s="16" t="s">
        <v>33</v>
      </c>
      <c r="B154" s="131"/>
      <c r="C154" s="68"/>
      <c r="D154" s="69"/>
      <c r="E154" s="68"/>
      <c r="F154" s="68"/>
      <c r="G154" s="68"/>
      <c r="H154" s="68"/>
      <c r="I154" s="70"/>
      <c r="J154" s="71"/>
      <c r="K154" s="69"/>
      <c r="L154" s="68"/>
      <c r="M154" s="68"/>
      <c r="N154" s="68"/>
      <c r="O154" s="68"/>
      <c r="P154" s="70"/>
      <c r="Q154" s="71"/>
      <c r="R154" s="69"/>
      <c r="S154" s="68"/>
      <c r="T154" s="68"/>
      <c r="U154" s="68"/>
      <c r="V154" s="68"/>
      <c r="W154" s="70"/>
      <c r="X154" s="71"/>
      <c r="Y154" s="69"/>
      <c r="Z154" s="68"/>
      <c r="AA154" s="68"/>
      <c r="AB154" s="68"/>
      <c r="AC154" s="68"/>
      <c r="AD154" s="70"/>
      <c r="AE154" s="71"/>
      <c r="AF154" s="69"/>
      <c r="AG154" s="68"/>
      <c r="AH154" s="68"/>
      <c r="AI154" s="68"/>
      <c r="AJ154" s="68"/>
      <c r="AK154" s="70"/>
      <c r="AL154" s="71"/>
      <c r="AM154" s="72"/>
      <c r="AN154" s="70"/>
      <c r="AO154" s="70"/>
      <c r="AP154" s="70"/>
      <c r="AQ154" s="70"/>
      <c r="AR154" s="73"/>
      <c r="AS154" s="80"/>
      <c r="AT154" s="188">
        <f t="shared" si="24"/>
        <v>8</v>
      </c>
      <c r="AU154" s="229">
        <f t="shared" si="23"/>
        <v>192</v>
      </c>
      <c r="AV154" s="168"/>
      <c r="AW154" s="168"/>
      <c r="AX154" s="168"/>
      <c r="AY154" s="168"/>
      <c r="AZ154" s="168"/>
      <c r="BA154" s="168"/>
      <c r="BB154" s="168"/>
      <c r="BC154" s="168"/>
      <c r="BD154" s="340"/>
      <c r="BE154" s="182"/>
      <c r="BF154" s="336"/>
      <c r="BG154" s="213"/>
      <c r="BH154" s="182"/>
      <c r="BI154" s="336"/>
      <c r="BJ154" s="213"/>
      <c r="BK154" s="182"/>
      <c r="BL154" s="336"/>
      <c r="BM154" s="213"/>
      <c r="BN154" s="182"/>
      <c r="BO154" s="336"/>
      <c r="BP154" s="213"/>
      <c r="BQ154" s="182"/>
      <c r="BR154" s="336"/>
      <c r="BS154" s="213"/>
      <c r="BT154" s="182"/>
      <c r="BU154" s="336"/>
      <c r="BV154" s="182"/>
      <c r="BW154" s="182"/>
      <c r="BX154" s="182"/>
    </row>
    <row r="155" spans="1:76" ht="13" thickBot="1">
      <c r="A155" s="17" t="s">
        <v>33</v>
      </c>
      <c r="B155" s="132"/>
      <c r="C155" s="75"/>
      <c r="D155" s="74"/>
      <c r="E155" s="75"/>
      <c r="F155" s="75"/>
      <c r="G155" s="75"/>
      <c r="H155" s="75"/>
      <c r="I155" s="76"/>
      <c r="J155" s="77"/>
      <c r="K155" s="74"/>
      <c r="L155" s="75"/>
      <c r="M155" s="75"/>
      <c r="N155" s="75"/>
      <c r="O155" s="75"/>
      <c r="P155" s="76"/>
      <c r="Q155" s="77"/>
      <c r="R155" s="74"/>
      <c r="S155" s="75"/>
      <c r="T155" s="75"/>
      <c r="U155" s="75"/>
      <c r="V155" s="75"/>
      <c r="W155" s="76"/>
      <c r="X155" s="77"/>
      <c r="Y155" s="74"/>
      <c r="Z155" s="75"/>
      <c r="AA155" s="75"/>
      <c r="AB155" s="75"/>
      <c r="AC155" s="75"/>
      <c r="AD155" s="76"/>
      <c r="AE155" s="77"/>
      <c r="AF155" s="74"/>
      <c r="AG155" s="75"/>
      <c r="AH155" s="75"/>
      <c r="AI155" s="75"/>
      <c r="AJ155" s="75"/>
      <c r="AK155" s="76"/>
      <c r="AL155" s="77"/>
      <c r="AM155" s="78"/>
      <c r="AN155" s="76"/>
      <c r="AO155" s="76"/>
      <c r="AP155" s="76"/>
      <c r="AQ155" s="76"/>
      <c r="AR155" s="79"/>
      <c r="AS155" s="81"/>
      <c r="AT155" s="189">
        <f t="shared" si="24"/>
        <v>8</v>
      </c>
      <c r="AU155" s="230">
        <f t="shared" si="23"/>
        <v>192</v>
      </c>
      <c r="AV155" s="186"/>
      <c r="AW155" s="186"/>
      <c r="AX155" s="186"/>
      <c r="AY155" s="186"/>
      <c r="AZ155" s="186"/>
      <c r="BA155" s="186"/>
      <c r="BB155" s="186"/>
      <c r="BC155" s="186"/>
      <c r="BD155" s="341"/>
      <c r="BE155" s="330"/>
      <c r="BF155" s="342"/>
      <c r="BG155" s="329"/>
      <c r="BH155" s="330"/>
      <c r="BI155" s="342"/>
      <c r="BJ155" s="329"/>
      <c r="BK155" s="330"/>
      <c r="BL155" s="342"/>
      <c r="BM155" s="329"/>
      <c r="BN155" s="330"/>
      <c r="BO155" s="342"/>
      <c r="BP155" s="329"/>
      <c r="BQ155" s="330"/>
      <c r="BR155" s="342"/>
      <c r="BS155" s="329"/>
      <c r="BT155" s="330"/>
      <c r="BU155" s="342"/>
      <c r="BV155" s="182"/>
      <c r="BW155" s="182"/>
      <c r="BX155" s="182"/>
    </row>
    <row r="156" spans="1:76">
      <c r="A156" s="168"/>
      <c r="B156" s="167"/>
      <c r="C156" s="167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8"/>
      <c r="AB156" s="168"/>
      <c r="AC156" s="168"/>
      <c r="AD156" s="168"/>
      <c r="AE156" s="168"/>
      <c r="AF156" s="168"/>
      <c r="AG156" s="168"/>
      <c r="AH156" s="168"/>
      <c r="AI156" s="168"/>
      <c r="AJ156" s="168"/>
      <c r="AK156" s="168"/>
      <c r="AL156" s="168"/>
      <c r="AM156" s="168"/>
      <c r="AN156" s="168"/>
      <c r="AO156" s="168"/>
      <c r="AP156" s="168"/>
      <c r="AQ156" s="168"/>
      <c r="AR156" s="168"/>
      <c r="AS156" s="168"/>
      <c r="AT156" s="168"/>
      <c r="AU156" s="168"/>
      <c r="AV156" s="168"/>
      <c r="AW156" s="168"/>
      <c r="AX156" s="168"/>
      <c r="AY156" s="168"/>
      <c r="AZ156" s="168"/>
      <c r="BA156" s="168"/>
      <c r="BB156" s="168"/>
      <c r="BC156" s="168"/>
      <c r="BD156" s="168"/>
      <c r="BE156" s="168"/>
      <c r="BF156" s="310"/>
      <c r="BG156" s="168"/>
      <c r="BH156" s="168"/>
      <c r="BI156" s="310"/>
      <c r="BJ156" s="168"/>
      <c r="BK156" s="168"/>
      <c r="BL156" s="310"/>
      <c r="BM156" s="182"/>
      <c r="BN156" s="182"/>
      <c r="BO156" s="182"/>
      <c r="BP156" s="182"/>
      <c r="BQ156" s="182"/>
      <c r="BR156" s="182"/>
      <c r="BS156" s="182"/>
      <c r="BT156" s="182"/>
      <c r="BU156" s="182"/>
      <c r="BV156" s="182"/>
      <c r="BW156" s="182"/>
      <c r="BX156" s="182"/>
    </row>
    <row r="157" spans="1:76">
      <c r="A157" s="168"/>
      <c r="B157" s="167"/>
      <c r="C157" s="167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  <c r="AB157" s="168"/>
      <c r="AC157" s="168"/>
      <c r="AD157" s="168"/>
      <c r="AE157" s="168"/>
      <c r="AF157" s="168"/>
      <c r="AG157" s="168"/>
      <c r="AH157" s="168"/>
      <c r="AI157" s="168"/>
      <c r="AJ157" s="168"/>
      <c r="AK157" s="168"/>
      <c r="AL157" s="168"/>
      <c r="AM157" s="168"/>
      <c r="AN157" s="168"/>
      <c r="AO157" s="168"/>
      <c r="AP157" s="168"/>
      <c r="AQ157" s="168"/>
      <c r="AR157" s="168"/>
      <c r="AS157" s="168"/>
      <c r="AT157" s="168"/>
      <c r="AU157" s="168"/>
      <c r="AV157" s="168"/>
      <c r="AW157" s="168"/>
      <c r="AX157" s="168"/>
      <c r="AY157" s="168"/>
      <c r="AZ157" s="168"/>
      <c r="BA157" s="168"/>
      <c r="BB157" s="168"/>
      <c r="BC157" s="168"/>
      <c r="BD157" s="168"/>
      <c r="BE157" s="168"/>
      <c r="BF157" s="310"/>
      <c r="BG157" s="168"/>
      <c r="BH157" s="168"/>
      <c r="BI157" s="310"/>
      <c r="BJ157" s="168"/>
      <c r="BK157" s="168"/>
      <c r="BL157" s="310"/>
      <c r="BM157" s="182"/>
      <c r="BN157" s="182"/>
      <c r="BO157" s="182"/>
      <c r="BP157" s="182"/>
      <c r="BQ157" s="182"/>
      <c r="BR157" s="182"/>
      <c r="BS157" s="182"/>
      <c r="BT157" s="182"/>
      <c r="BU157" s="182"/>
      <c r="BV157" s="182"/>
      <c r="BW157" s="182"/>
      <c r="BX157" s="182"/>
    </row>
    <row r="158" spans="1:76">
      <c r="A158" s="168"/>
      <c r="B158" s="167"/>
      <c r="C158" s="167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  <c r="AB158" s="168"/>
      <c r="AC158" s="168"/>
      <c r="AD158" s="168"/>
      <c r="AE158" s="168"/>
      <c r="AF158" s="168"/>
      <c r="AG158" s="168"/>
      <c r="AH158" s="168"/>
      <c r="AI158" s="168"/>
      <c r="AJ158" s="168"/>
      <c r="AK158" s="168"/>
      <c r="AL158" s="168"/>
      <c r="AM158" s="168"/>
      <c r="AN158" s="168"/>
      <c r="AO158" s="168"/>
      <c r="AP158" s="168"/>
      <c r="AQ158" s="168"/>
      <c r="AR158" s="168"/>
      <c r="AS158" s="168"/>
      <c r="AT158" s="168"/>
      <c r="AU158" s="168"/>
      <c r="AV158" s="168"/>
      <c r="AW158" s="168"/>
      <c r="AX158" s="168"/>
      <c r="AY158" s="168"/>
      <c r="AZ158" s="168"/>
      <c r="BA158" s="168"/>
      <c r="BB158" s="168"/>
      <c r="BC158" s="168"/>
      <c r="BD158" s="168"/>
      <c r="BE158" s="168"/>
      <c r="BF158" s="310"/>
      <c r="BG158" s="168"/>
      <c r="BH158" s="168"/>
      <c r="BI158" s="310"/>
      <c r="BJ158" s="168"/>
      <c r="BK158" s="168"/>
      <c r="BL158" s="310"/>
      <c r="BM158" s="182"/>
      <c r="BN158" s="182"/>
      <c r="BO158" s="182"/>
      <c r="BP158" s="182"/>
      <c r="BQ158" s="182"/>
      <c r="BR158" s="182"/>
      <c r="BS158" s="182"/>
      <c r="BT158" s="182"/>
      <c r="BU158" s="182"/>
      <c r="BV158" s="182"/>
      <c r="BW158" s="182"/>
      <c r="BX158" s="182"/>
    </row>
    <row r="159" spans="1:76">
      <c r="A159" s="168"/>
      <c r="B159" s="167"/>
      <c r="C159" s="167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  <c r="AC159" s="168"/>
      <c r="AD159" s="168"/>
      <c r="AE159" s="168"/>
      <c r="AF159" s="168"/>
      <c r="AG159" s="168"/>
      <c r="AH159" s="168"/>
      <c r="AI159" s="168"/>
      <c r="AJ159" s="168"/>
      <c r="AK159" s="168"/>
      <c r="AL159" s="168"/>
      <c r="AM159" s="168"/>
      <c r="AN159" s="168"/>
      <c r="AO159" s="168"/>
      <c r="AP159" s="168"/>
      <c r="AQ159" s="168"/>
      <c r="AR159" s="168"/>
      <c r="AS159" s="168"/>
      <c r="AT159" s="168"/>
      <c r="AU159" s="168"/>
      <c r="AV159" s="168"/>
      <c r="AW159" s="168"/>
      <c r="AX159" s="168"/>
      <c r="AY159" s="168"/>
      <c r="AZ159" s="168"/>
      <c r="BA159" s="168"/>
      <c r="BB159" s="168"/>
      <c r="BC159" s="168"/>
      <c r="BD159" s="168"/>
      <c r="BE159" s="168"/>
      <c r="BF159" s="310"/>
      <c r="BG159" s="168"/>
      <c r="BH159" s="168"/>
      <c r="BI159" s="310"/>
      <c r="BJ159" s="168"/>
      <c r="BK159" s="168"/>
      <c r="BL159" s="310"/>
      <c r="BM159" s="182"/>
      <c r="BN159" s="182"/>
      <c r="BO159" s="182"/>
      <c r="BP159" s="182"/>
      <c r="BQ159" s="182"/>
      <c r="BR159" s="182"/>
      <c r="BS159" s="182"/>
      <c r="BT159" s="182"/>
      <c r="BU159" s="182"/>
      <c r="BV159" s="182"/>
      <c r="BW159" s="182"/>
      <c r="BX159" s="182"/>
    </row>
    <row r="160" spans="1:76">
      <c r="A160" s="168"/>
      <c r="B160" s="167"/>
      <c r="C160" s="167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8"/>
      <c r="AJ160" s="168"/>
      <c r="AK160" s="168"/>
      <c r="AL160" s="168"/>
      <c r="AM160" s="168"/>
      <c r="AN160" s="168"/>
      <c r="AO160" s="168"/>
      <c r="AP160" s="168"/>
      <c r="AQ160" s="168"/>
      <c r="AR160" s="168"/>
      <c r="AS160" s="168"/>
      <c r="AT160" s="168"/>
      <c r="AU160" s="168"/>
      <c r="AV160" s="168"/>
      <c r="AW160" s="168"/>
      <c r="AX160" s="168"/>
      <c r="AY160" s="168"/>
      <c r="AZ160" s="168"/>
      <c r="BA160" s="168"/>
      <c r="BB160" s="168"/>
      <c r="BC160" s="168"/>
      <c r="BD160" s="168"/>
      <c r="BE160" s="168"/>
      <c r="BF160" s="310"/>
      <c r="BG160" s="168"/>
      <c r="BH160" s="168"/>
      <c r="BI160" s="310"/>
      <c r="BJ160" s="168"/>
      <c r="BK160" s="168"/>
      <c r="BL160" s="310"/>
      <c r="BM160" s="182"/>
      <c r="BN160" s="182"/>
      <c r="BO160" s="182"/>
      <c r="BP160" s="182"/>
      <c r="BQ160" s="182"/>
      <c r="BR160" s="182"/>
      <c r="BS160" s="182"/>
      <c r="BT160" s="182"/>
      <c r="BU160" s="182"/>
      <c r="BV160" s="182"/>
      <c r="BW160" s="182"/>
      <c r="BX160" s="182"/>
    </row>
    <row r="161" spans="1:76">
      <c r="A161" s="168"/>
      <c r="B161" s="167"/>
      <c r="C161" s="167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  <c r="AB161" s="168"/>
      <c r="AC161" s="168"/>
      <c r="AD161" s="168"/>
      <c r="AE161" s="168"/>
      <c r="AF161" s="168"/>
      <c r="AG161" s="168"/>
      <c r="AH161" s="168"/>
      <c r="AI161" s="168"/>
      <c r="AJ161" s="168"/>
      <c r="AK161" s="168"/>
      <c r="AL161" s="168"/>
      <c r="AM161" s="168"/>
      <c r="AN161" s="168"/>
      <c r="AO161" s="168"/>
      <c r="AP161" s="168"/>
      <c r="AQ161" s="168"/>
      <c r="AR161" s="168"/>
      <c r="AS161" s="168"/>
      <c r="AT161" s="168"/>
      <c r="AU161" s="168"/>
      <c r="AV161" s="168"/>
      <c r="AW161" s="168"/>
      <c r="AX161" s="168"/>
      <c r="AY161" s="168"/>
      <c r="AZ161" s="168"/>
      <c r="BA161" s="168"/>
      <c r="BB161" s="168"/>
      <c r="BC161" s="168"/>
      <c r="BD161" s="168"/>
      <c r="BE161" s="168"/>
      <c r="BF161" s="310"/>
      <c r="BG161" s="168"/>
      <c r="BH161" s="168"/>
      <c r="BI161" s="310"/>
      <c r="BJ161" s="168"/>
      <c r="BK161" s="168"/>
      <c r="BL161" s="310"/>
      <c r="BM161" s="182"/>
      <c r="BN161" s="182"/>
      <c r="BO161" s="182"/>
      <c r="BP161" s="182"/>
      <c r="BQ161" s="182"/>
      <c r="BR161" s="182"/>
      <c r="BS161" s="182"/>
      <c r="BT161" s="182"/>
      <c r="BU161" s="182"/>
      <c r="BV161" s="182"/>
      <c r="BW161" s="182"/>
      <c r="BX161" s="182"/>
    </row>
    <row r="162" spans="1:76">
      <c r="A162" s="168"/>
      <c r="B162" s="167"/>
      <c r="C162" s="167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8"/>
      <c r="AB162" s="168"/>
      <c r="AC162" s="168"/>
      <c r="AD162" s="168"/>
      <c r="AE162" s="168"/>
      <c r="AF162" s="168"/>
      <c r="AG162" s="168"/>
      <c r="AH162" s="168"/>
      <c r="AI162" s="168"/>
      <c r="AJ162" s="168"/>
      <c r="AK162" s="168"/>
      <c r="AL162" s="168"/>
      <c r="AM162" s="168"/>
      <c r="AN162" s="168"/>
      <c r="AO162" s="168"/>
      <c r="AP162" s="168"/>
      <c r="AQ162" s="168"/>
      <c r="AR162" s="168"/>
      <c r="AS162" s="168"/>
      <c r="AT162" s="168"/>
      <c r="AU162" s="168"/>
      <c r="AV162" s="168"/>
      <c r="AW162" s="168"/>
      <c r="AX162" s="168"/>
      <c r="AY162" s="168"/>
      <c r="AZ162" s="168"/>
      <c r="BA162" s="168"/>
      <c r="BB162" s="168"/>
      <c r="BC162" s="168"/>
      <c r="BD162" s="168"/>
      <c r="BE162" s="168"/>
      <c r="BF162" s="310"/>
      <c r="BG162" s="168"/>
      <c r="BH162" s="168"/>
      <c r="BI162" s="310"/>
      <c r="BJ162" s="168"/>
      <c r="BK162" s="168"/>
      <c r="BL162" s="310"/>
      <c r="BM162" s="182"/>
      <c r="BN162" s="182"/>
      <c r="BO162" s="182"/>
      <c r="BP162" s="182"/>
      <c r="BQ162" s="182"/>
      <c r="BR162" s="182"/>
      <c r="BS162" s="182"/>
      <c r="BT162" s="182"/>
      <c r="BU162" s="182"/>
      <c r="BV162" s="182"/>
      <c r="BW162" s="182"/>
      <c r="BX162" s="182"/>
    </row>
    <row r="163" spans="1:76">
      <c r="A163" s="168"/>
      <c r="B163" s="167"/>
      <c r="C163" s="167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  <c r="AB163" s="168"/>
      <c r="AC163" s="168"/>
      <c r="AD163" s="168"/>
      <c r="AE163" s="168"/>
      <c r="AF163" s="168"/>
      <c r="AG163" s="168"/>
      <c r="AH163" s="168"/>
      <c r="AI163" s="168"/>
      <c r="AJ163" s="168"/>
      <c r="AK163" s="168"/>
      <c r="AL163" s="168"/>
      <c r="AM163" s="168"/>
      <c r="AN163" s="168"/>
      <c r="AO163" s="168"/>
      <c r="AP163" s="168"/>
      <c r="AQ163" s="168"/>
      <c r="AR163" s="168"/>
      <c r="AS163" s="168"/>
      <c r="AT163" s="168"/>
      <c r="AU163" s="168"/>
      <c r="AV163" s="168"/>
      <c r="AW163" s="168"/>
      <c r="AX163" s="168"/>
      <c r="AY163" s="168"/>
      <c r="AZ163" s="168"/>
      <c r="BA163" s="168"/>
      <c r="BB163" s="168"/>
      <c r="BC163" s="168"/>
      <c r="BD163" s="168"/>
      <c r="BE163" s="168"/>
      <c r="BF163" s="310"/>
      <c r="BG163" s="168"/>
      <c r="BH163" s="168"/>
      <c r="BI163" s="310"/>
      <c r="BJ163" s="168"/>
      <c r="BK163" s="168"/>
      <c r="BL163" s="310"/>
      <c r="BM163" s="182"/>
      <c r="BN163" s="182"/>
      <c r="BO163" s="182"/>
      <c r="BP163" s="182"/>
      <c r="BQ163" s="182"/>
      <c r="BR163" s="182"/>
      <c r="BS163" s="182"/>
      <c r="BT163" s="182"/>
      <c r="BU163" s="182"/>
      <c r="BV163" s="182"/>
      <c r="BW163" s="182"/>
      <c r="BX163" s="182"/>
    </row>
    <row r="164" spans="1:76">
      <c r="A164" s="168"/>
      <c r="B164" s="167"/>
      <c r="C164" s="167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  <c r="AB164" s="168"/>
      <c r="AC164" s="168"/>
      <c r="AD164" s="168"/>
      <c r="AE164" s="168"/>
      <c r="AF164" s="168"/>
      <c r="AG164" s="168"/>
      <c r="AH164" s="168"/>
      <c r="AI164" s="168"/>
      <c r="AJ164" s="168"/>
      <c r="AK164" s="168"/>
      <c r="AL164" s="168"/>
      <c r="AM164" s="168"/>
      <c r="AN164" s="168"/>
      <c r="AO164" s="168"/>
      <c r="AP164" s="168"/>
      <c r="AQ164" s="168"/>
      <c r="AR164" s="168"/>
      <c r="AS164" s="168"/>
      <c r="AT164" s="168"/>
      <c r="AU164" s="168"/>
      <c r="AV164" s="168"/>
      <c r="AW164" s="168"/>
      <c r="AX164" s="168"/>
      <c r="AY164" s="168"/>
      <c r="AZ164" s="168"/>
      <c r="BA164" s="168"/>
      <c r="BB164" s="168"/>
      <c r="BC164" s="168"/>
      <c r="BD164" s="168"/>
      <c r="BE164" s="168"/>
      <c r="BF164" s="310"/>
      <c r="BG164" s="168"/>
      <c r="BH164" s="168"/>
      <c r="BI164" s="310"/>
      <c r="BJ164" s="168"/>
      <c r="BK164" s="168"/>
      <c r="BL164" s="310"/>
      <c r="BM164" s="182"/>
      <c r="BN164" s="182"/>
      <c r="BO164" s="182"/>
      <c r="BP164" s="182"/>
      <c r="BQ164" s="182"/>
      <c r="BR164" s="182"/>
      <c r="BS164" s="182"/>
      <c r="BT164" s="182"/>
      <c r="BU164" s="182"/>
      <c r="BV164" s="182"/>
      <c r="BW164" s="182"/>
      <c r="BX164" s="182"/>
    </row>
    <row r="165" spans="1:76">
      <c r="A165" s="168"/>
      <c r="B165" s="167"/>
      <c r="C165" s="167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  <c r="AB165" s="168"/>
      <c r="AC165" s="168"/>
      <c r="AD165" s="168"/>
      <c r="AE165" s="168"/>
      <c r="AF165" s="168"/>
      <c r="AG165" s="168"/>
      <c r="AH165" s="168"/>
      <c r="AI165" s="168"/>
      <c r="AJ165" s="168"/>
      <c r="AK165" s="168"/>
      <c r="AL165" s="168"/>
      <c r="AM165" s="168"/>
      <c r="AN165" s="168"/>
      <c r="AO165" s="168"/>
      <c r="AP165" s="168"/>
      <c r="AQ165" s="168"/>
      <c r="AR165" s="168"/>
      <c r="AS165" s="168"/>
      <c r="AT165" s="168"/>
      <c r="AU165" s="168"/>
      <c r="AV165" s="168"/>
      <c r="AW165" s="168"/>
      <c r="AX165" s="168"/>
      <c r="AY165" s="168"/>
      <c r="AZ165" s="168"/>
      <c r="BA165" s="168"/>
      <c r="BB165" s="168"/>
      <c r="BC165" s="168"/>
      <c r="BD165" s="168"/>
      <c r="BE165" s="168"/>
      <c r="BF165" s="310"/>
      <c r="BG165" s="168"/>
      <c r="BH165" s="168"/>
      <c r="BI165" s="310"/>
      <c r="BJ165" s="168"/>
      <c r="BK165" s="168"/>
      <c r="BL165" s="310"/>
      <c r="BM165" s="182"/>
      <c r="BN165" s="182"/>
      <c r="BO165" s="182"/>
      <c r="BP165" s="182"/>
      <c r="BQ165" s="182"/>
      <c r="BR165" s="182"/>
      <c r="BS165" s="182"/>
      <c r="BT165" s="182"/>
      <c r="BU165" s="182"/>
      <c r="BV165" s="182"/>
      <c r="BW165" s="182"/>
      <c r="BX165" s="182"/>
    </row>
    <row r="166" spans="1:76">
      <c r="A166" s="168"/>
      <c r="B166" s="167"/>
      <c r="C166" s="167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  <c r="AB166" s="168"/>
      <c r="AC166" s="168"/>
      <c r="AD166" s="168"/>
      <c r="AE166" s="168"/>
      <c r="AF166" s="168"/>
      <c r="AG166" s="168"/>
      <c r="AH166" s="168"/>
      <c r="AI166" s="168"/>
      <c r="AJ166" s="168"/>
      <c r="AK166" s="168"/>
      <c r="AL166" s="168"/>
      <c r="AM166" s="168"/>
      <c r="AN166" s="168"/>
      <c r="AO166" s="168"/>
      <c r="AP166" s="168"/>
      <c r="AQ166" s="168"/>
      <c r="AR166" s="168"/>
      <c r="AS166" s="168"/>
      <c r="AT166" s="168"/>
      <c r="AU166" s="168"/>
      <c r="AV166" s="168"/>
      <c r="AW166" s="168"/>
      <c r="AX166" s="168"/>
      <c r="AY166" s="168"/>
      <c r="AZ166" s="168"/>
      <c r="BA166" s="168"/>
      <c r="BB166" s="168"/>
      <c r="BC166" s="168"/>
      <c r="BD166" s="168"/>
      <c r="BE166" s="168"/>
      <c r="BF166" s="310"/>
      <c r="BG166" s="168"/>
      <c r="BH166" s="168"/>
      <c r="BI166" s="310"/>
      <c r="BJ166" s="168"/>
      <c r="BK166" s="168"/>
      <c r="BL166" s="310"/>
      <c r="BM166" s="182"/>
      <c r="BN166" s="182"/>
      <c r="BO166" s="182"/>
      <c r="BP166" s="182"/>
      <c r="BQ166" s="182"/>
      <c r="BR166" s="182"/>
      <c r="BS166" s="182"/>
      <c r="BT166" s="182"/>
      <c r="BU166" s="182"/>
      <c r="BV166" s="182"/>
      <c r="BW166" s="182"/>
      <c r="BX166" s="182"/>
    </row>
    <row r="167" spans="1:76">
      <c r="A167" s="168"/>
      <c r="B167" s="167"/>
      <c r="C167" s="167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8"/>
      <c r="AB167" s="168"/>
      <c r="AC167" s="168"/>
      <c r="AD167" s="168"/>
      <c r="AE167" s="168"/>
      <c r="AF167" s="168"/>
      <c r="AG167" s="168"/>
      <c r="AH167" s="168"/>
      <c r="AI167" s="168"/>
      <c r="AJ167" s="168"/>
      <c r="AK167" s="168"/>
      <c r="AL167" s="168"/>
      <c r="AM167" s="168"/>
      <c r="AN167" s="168"/>
      <c r="AO167" s="168"/>
      <c r="AP167" s="168"/>
      <c r="AQ167" s="168"/>
      <c r="AR167" s="168"/>
      <c r="AS167" s="168"/>
      <c r="AT167" s="168"/>
      <c r="AU167" s="168"/>
      <c r="AV167" s="168"/>
      <c r="AW167" s="168"/>
      <c r="AX167" s="168"/>
      <c r="AY167" s="168"/>
      <c r="AZ167" s="168"/>
      <c r="BA167" s="168"/>
      <c r="BB167" s="168"/>
      <c r="BC167" s="168"/>
      <c r="BD167" s="168"/>
      <c r="BE167" s="168"/>
      <c r="BF167" s="310"/>
      <c r="BG167" s="168"/>
      <c r="BH167" s="168"/>
      <c r="BI167" s="310"/>
      <c r="BJ167" s="168"/>
      <c r="BK167" s="168"/>
      <c r="BL167" s="310"/>
      <c r="BM167" s="182"/>
      <c r="BN167" s="182"/>
      <c r="BO167" s="182"/>
      <c r="BP167" s="182"/>
      <c r="BQ167" s="182"/>
      <c r="BR167" s="182"/>
      <c r="BS167" s="182"/>
      <c r="BT167" s="182"/>
      <c r="BU167" s="182"/>
      <c r="BV167" s="182"/>
      <c r="BW167" s="182"/>
      <c r="BX167" s="182"/>
    </row>
    <row r="168" spans="1:76">
      <c r="A168" s="168"/>
      <c r="B168" s="167"/>
      <c r="C168" s="167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  <c r="AB168" s="168"/>
      <c r="AC168" s="168"/>
      <c r="AD168" s="168"/>
      <c r="AE168" s="168"/>
      <c r="AF168" s="168"/>
      <c r="AG168" s="168"/>
      <c r="AH168" s="168"/>
      <c r="AI168" s="168"/>
      <c r="AJ168" s="168"/>
      <c r="AK168" s="168"/>
      <c r="AL168" s="168"/>
      <c r="AM168" s="168"/>
      <c r="AN168" s="168"/>
      <c r="AO168" s="168"/>
      <c r="AP168" s="168"/>
      <c r="AQ168" s="168"/>
      <c r="AR168" s="168"/>
      <c r="AS168" s="168"/>
      <c r="AT168" s="168"/>
      <c r="AU168" s="168"/>
      <c r="AV168" s="168"/>
      <c r="AW168" s="168"/>
      <c r="AX168" s="168"/>
      <c r="AY168" s="168"/>
      <c r="AZ168" s="168"/>
      <c r="BA168" s="168"/>
      <c r="BB168" s="168"/>
      <c r="BC168" s="168"/>
      <c r="BD168" s="168"/>
      <c r="BE168" s="168"/>
      <c r="BF168" s="310"/>
      <c r="BG168" s="168"/>
      <c r="BH168" s="168"/>
      <c r="BI168" s="310"/>
      <c r="BJ168" s="168"/>
      <c r="BK168" s="168"/>
      <c r="BL168" s="310"/>
      <c r="BM168" s="182"/>
      <c r="BN168" s="182"/>
      <c r="BO168" s="182"/>
      <c r="BP168" s="182"/>
      <c r="BQ168" s="182"/>
      <c r="BR168" s="182"/>
      <c r="BS168" s="182"/>
      <c r="BT168" s="182"/>
      <c r="BU168" s="182"/>
      <c r="BV168" s="182"/>
      <c r="BW168" s="182"/>
      <c r="BX168" s="182"/>
    </row>
    <row r="169" spans="1:76">
      <c r="A169" s="168"/>
      <c r="B169" s="167"/>
      <c r="C169" s="167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8"/>
      <c r="AB169" s="168"/>
      <c r="AC169" s="168"/>
      <c r="AD169" s="168"/>
      <c r="AE169" s="168"/>
      <c r="AF169" s="168"/>
      <c r="AG169" s="168"/>
      <c r="AH169" s="168"/>
      <c r="AI169" s="168"/>
      <c r="AJ169" s="168"/>
      <c r="AK169" s="168"/>
      <c r="AL169" s="168"/>
      <c r="AM169" s="168"/>
      <c r="AN169" s="168"/>
      <c r="AO169" s="168"/>
      <c r="AP169" s="168"/>
      <c r="AQ169" s="168"/>
      <c r="AR169" s="168"/>
      <c r="AS169" s="168"/>
      <c r="AT169" s="168"/>
      <c r="AU169" s="168"/>
      <c r="AV169" s="168"/>
      <c r="AW169" s="168"/>
      <c r="AX169" s="168"/>
      <c r="AY169" s="168"/>
      <c r="AZ169" s="168"/>
      <c r="BA169" s="168"/>
      <c r="BB169" s="168"/>
      <c r="BC169" s="168"/>
      <c r="BD169" s="168"/>
      <c r="BE169" s="168"/>
      <c r="BF169" s="310"/>
      <c r="BG169" s="168"/>
      <c r="BH169" s="168"/>
      <c r="BI169" s="310"/>
      <c r="BJ169" s="168"/>
      <c r="BK169" s="168"/>
      <c r="BL169" s="310"/>
      <c r="BM169" s="182"/>
      <c r="BN169" s="182"/>
      <c r="BO169" s="182"/>
      <c r="BP169" s="182"/>
      <c r="BQ169" s="182"/>
      <c r="BR169" s="182"/>
      <c r="BS169" s="182"/>
      <c r="BT169" s="182"/>
      <c r="BU169" s="182"/>
      <c r="BV169" s="182"/>
      <c r="BW169" s="182"/>
      <c r="BX169" s="182"/>
    </row>
    <row r="170" spans="1:76">
      <c r="A170" s="168"/>
      <c r="B170" s="167"/>
      <c r="C170" s="167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  <c r="AB170" s="168"/>
      <c r="AC170" s="168"/>
      <c r="AD170" s="168"/>
      <c r="AE170" s="168"/>
      <c r="AF170" s="168"/>
      <c r="AG170" s="168"/>
      <c r="AH170" s="168"/>
      <c r="AI170" s="168"/>
      <c r="AJ170" s="168"/>
      <c r="AK170" s="168"/>
      <c r="AL170" s="168"/>
      <c r="AM170" s="168"/>
      <c r="AN170" s="168"/>
      <c r="AO170" s="168"/>
      <c r="AP170" s="168"/>
      <c r="AQ170" s="168"/>
      <c r="AR170" s="168"/>
      <c r="AS170" s="168"/>
      <c r="AT170" s="168"/>
      <c r="AU170" s="168"/>
      <c r="AV170" s="168"/>
      <c r="AW170" s="168"/>
      <c r="AX170" s="168"/>
      <c r="AY170" s="168"/>
      <c r="AZ170" s="168"/>
      <c r="BA170" s="168"/>
      <c r="BB170" s="168"/>
      <c r="BC170" s="168"/>
      <c r="BD170" s="168"/>
      <c r="BE170" s="168"/>
      <c r="BF170" s="310"/>
      <c r="BG170" s="168"/>
      <c r="BH170" s="168"/>
      <c r="BI170" s="310"/>
      <c r="BJ170" s="168"/>
      <c r="BK170" s="168"/>
      <c r="BL170" s="310"/>
      <c r="BM170" s="182"/>
      <c r="BN170" s="182"/>
      <c r="BO170" s="182"/>
      <c r="BP170" s="182"/>
      <c r="BQ170" s="182"/>
      <c r="BR170" s="182"/>
      <c r="BS170" s="182"/>
      <c r="BT170" s="182"/>
      <c r="BU170" s="182"/>
      <c r="BV170" s="182"/>
      <c r="BW170" s="182"/>
      <c r="BX170" s="182"/>
    </row>
    <row r="171" spans="1:76">
      <c r="A171" s="168"/>
      <c r="B171" s="167"/>
      <c r="C171" s="167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  <c r="AA171" s="168"/>
      <c r="AB171" s="168"/>
      <c r="AC171" s="168"/>
      <c r="AD171" s="168"/>
      <c r="AE171" s="168"/>
      <c r="AF171" s="168"/>
      <c r="AG171" s="168"/>
      <c r="AH171" s="168"/>
      <c r="AI171" s="168"/>
      <c r="AJ171" s="168"/>
      <c r="AK171" s="168"/>
      <c r="AL171" s="168"/>
      <c r="AM171" s="168"/>
      <c r="AN171" s="168"/>
      <c r="AO171" s="168"/>
      <c r="AP171" s="168"/>
      <c r="AQ171" s="168"/>
      <c r="AR171" s="168"/>
      <c r="AS171" s="168"/>
      <c r="AT171" s="168"/>
      <c r="AU171" s="168"/>
      <c r="AV171" s="168"/>
      <c r="AW171" s="168"/>
      <c r="AX171" s="168"/>
      <c r="AY171" s="168"/>
      <c r="AZ171" s="168"/>
      <c r="BA171" s="168"/>
      <c r="BB171" s="168"/>
      <c r="BC171" s="168"/>
      <c r="BD171" s="168"/>
      <c r="BE171" s="168"/>
      <c r="BF171" s="310"/>
      <c r="BG171" s="168"/>
      <c r="BH171" s="168"/>
      <c r="BI171" s="310"/>
      <c r="BJ171" s="168"/>
      <c r="BK171" s="168"/>
      <c r="BL171" s="310"/>
      <c r="BM171" s="182"/>
      <c r="BN171" s="182"/>
      <c r="BO171" s="182"/>
      <c r="BP171" s="182"/>
      <c r="BQ171" s="182"/>
      <c r="BR171" s="182"/>
      <c r="BS171" s="182"/>
      <c r="BT171" s="182"/>
      <c r="BU171" s="182"/>
      <c r="BV171" s="182"/>
      <c r="BW171" s="182"/>
      <c r="BX171" s="182"/>
    </row>
    <row r="172" spans="1:76">
      <c r="A172" s="168"/>
      <c r="B172" s="167"/>
      <c r="C172" s="167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  <c r="AA172" s="168"/>
      <c r="AB172" s="168"/>
      <c r="AC172" s="168"/>
      <c r="AD172" s="168"/>
      <c r="AE172" s="168"/>
      <c r="AF172" s="168"/>
      <c r="AG172" s="168"/>
      <c r="AH172" s="168"/>
      <c r="AI172" s="168"/>
      <c r="AJ172" s="168"/>
      <c r="AK172" s="168"/>
      <c r="AL172" s="168"/>
      <c r="AM172" s="168"/>
      <c r="AN172" s="168"/>
      <c r="AO172" s="168"/>
      <c r="AP172" s="168"/>
      <c r="AQ172" s="168"/>
      <c r="AR172" s="168"/>
      <c r="AS172" s="168"/>
      <c r="AT172" s="168"/>
      <c r="AU172" s="168"/>
      <c r="AV172" s="168"/>
      <c r="AW172" s="168"/>
      <c r="AX172" s="168"/>
      <c r="AY172" s="168"/>
      <c r="AZ172" s="168"/>
      <c r="BA172" s="168"/>
      <c r="BB172" s="168"/>
      <c r="BC172" s="168"/>
      <c r="BD172" s="168"/>
      <c r="BE172" s="168"/>
      <c r="BF172" s="310"/>
      <c r="BG172" s="168"/>
      <c r="BH172" s="168"/>
      <c r="BI172" s="310"/>
      <c r="BJ172" s="168"/>
      <c r="BK172" s="168"/>
      <c r="BL172" s="310"/>
      <c r="BM172" s="182"/>
      <c r="BN172" s="182"/>
      <c r="BO172" s="182"/>
      <c r="BP172" s="182"/>
      <c r="BQ172" s="182"/>
      <c r="BR172" s="182"/>
      <c r="BS172" s="182"/>
      <c r="BT172" s="182"/>
      <c r="BU172" s="182"/>
      <c r="BV172" s="182"/>
      <c r="BW172" s="182"/>
      <c r="BX172" s="182"/>
    </row>
    <row r="173" spans="1:76">
      <c r="A173" s="168"/>
      <c r="B173" s="167"/>
      <c r="C173" s="167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  <c r="AA173" s="168"/>
      <c r="AB173" s="168"/>
      <c r="AC173" s="168"/>
      <c r="AD173" s="168"/>
      <c r="AE173" s="168"/>
      <c r="AF173" s="168"/>
      <c r="AG173" s="168"/>
      <c r="AH173" s="168"/>
      <c r="AI173" s="168"/>
      <c r="AJ173" s="168"/>
      <c r="AK173" s="168"/>
      <c r="AL173" s="168"/>
      <c r="AM173" s="168"/>
      <c r="AN173" s="168"/>
      <c r="AO173" s="168"/>
      <c r="AP173" s="168"/>
      <c r="AQ173" s="168"/>
      <c r="AR173" s="168"/>
      <c r="AS173" s="168"/>
      <c r="AT173" s="168"/>
      <c r="AU173" s="168"/>
      <c r="AV173" s="168"/>
      <c r="AW173" s="168"/>
      <c r="AX173" s="168"/>
      <c r="AY173" s="168"/>
      <c r="AZ173" s="168"/>
      <c r="BA173" s="168"/>
      <c r="BB173" s="168"/>
      <c r="BC173" s="168"/>
      <c r="BD173" s="168"/>
      <c r="BE173" s="168"/>
      <c r="BF173" s="310"/>
      <c r="BG173" s="168"/>
      <c r="BH173" s="168"/>
      <c r="BI173" s="310"/>
      <c r="BJ173" s="168"/>
      <c r="BK173" s="168"/>
      <c r="BL173" s="310"/>
      <c r="BM173" s="182"/>
      <c r="BN173" s="182"/>
      <c r="BO173" s="182"/>
      <c r="BP173" s="182"/>
      <c r="BQ173" s="182"/>
      <c r="BR173" s="182"/>
      <c r="BS173" s="182"/>
      <c r="BT173" s="182"/>
      <c r="BU173" s="182"/>
      <c r="BV173" s="182"/>
      <c r="BW173" s="182"/>
      <c r="BX173" s="182"/>
    </row>
    <row r="174" spans="1:76">
      <c r="A174" s="168"/>
      <c r="B174" s="167"/>
      <c r="C174" s="167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  <c r="AA174" s="168"/>
      <c r="AB174" s="168"/>
      <c r="AC174" s="168"/>
      <c r="AD174" s="168"/>
      <c r="AE174" s="168"/>
      <c r="AF174" s="168"/>
      <c r="AG174" s="168"/>
      <c r="AH174" s="168"/>
      <c r="AI174" s="168"/>
      <c r="AJ174" s="168"/>
      <c r="AK174" s="168"/>
      <c r="AL174" s="168"/>
      <c r="AM174" s="168"/>
      <c r="AN174" s="168"/>
      <c r="AO174" s="168"/>
      <c r="AP174" s="168"/>
      <c r="AQ174" s="168"/>
      <c r="AR174" s="168"/>
      <c r="AS174" s="168"/>
      <c r="AT174" s="168"/>
      <c r="AU174" s="168"/>
      <c r="AV174" s="168"/>
      <c r="AW174" s="168"/>
      <c r="AX174" s="168"/>
      <c r="AY174" s="168"/>
      <c r="AZ174" s="168"/>
      <c r="BA174" s="168"/>
      <c r="BB174" s="168"/>
      <c r="BC174" s="168"/>
      <c r="BD174" s="168"/>
      <c r="BE174" s="168"/>
      <c r="BF174" s="310"/>
      <c r="BG174" s="168"/>
      <c r="BH174" s="168"/>
      <c r="BI174" s="310"/>
      <c r="BJ174" s="168"/>
      <c r="BK174" s="168"/>
      <c r="BL174" s="310"/>
      <c r="BM174" s="182"/>
      <c r="BN174" s="182"/>
      <c r="BO174" s="182"/>
      <c r="BP174" s="182"/>
      <c r="BQ174" s="182"/>
      <c r="BR174" s="182"/>
      <c r="BS174" s="182"/>
      <c r="BT174" s="182"/>
      <c r="BU174" s="182"/>
      <c r="BV174" s="182"/>
      <c r="BW174" s="182"/>
      <c r="BX174" s="182"/>
    </row>
    <row r="175" spans="1:76">
      <c r="A175" s="168"/>
      <c r="B175" s="167"/>
      <c r="C175" s="167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  <c r="AA175" s="168"/>
      <c r="AB175" s="168"/>
      <c r="AC175" s="168"/>
      <c r="AD175" s="168"/>
      <c r="AE175" s="168"/>
      <c r="AF175" s="168"/>
      <c r="AG175" s="168"/>
      <c r="AH175" s="168"/>
      <c r="AI175" s="168"/>
      <c r="AJ175" s="168"/>
      <c r="AK175" s="168"/>
      <c r="AL175" s="168"/>
      <c r="AM175" s="168"/>
      <c r="AN175" s="168"/>
      <c r="AO175" s="168"/>
      <c r="AP175" s="168"/>
      <c r="AQ175" s="168"/>
      <c r="AR175" s="168"/>
      <c r="AS175" s="168"/>
      <c r="AT175" s="168"/>
      <c r="AU175" s="168"/>
      <c r="AV175" s="168"/>
      <c r="AW175" s="168"/>
      <c r="AX175" s="168"/>
      <c r="AY175" s="168"/>
      <c r="AZ175" s="168"/>
      <c r="BA175" s="168"/>
      <c r="BB175" s="168"/>
      <c r="BC175" s="168"/>
      <c r="BD175" s="168"/>
      <c r="BE175" s="168"/>
      <c r="BF175" s="310"/>
      <c r="BG175" s="168"/>
      <c r="BH175" s="168"/>
      <c r="BI175" s="310"/>
      <c r="BJ175" s="168"/>
      <c r="BK175" s="168"/>
      <c r="BL175" s="310"/>
      <c r="BM175" s="182"/>
      <c r="BN175" s="182"/>
      <c r="BO175" s="182"/>
      <c r="BP175" s="182"/>
      <c r="BQ175" s="182"/>
      <c r="BR175" s="182"/>
      <c r="BS175" s="182"/>
      <c r="BT175" s="182"/>
      <c r="BU175" s="182"/>
      <c r="BV175" s="182"/>
      <c r="BW175" s="182"/>
      <c r="BX175" s="182"/>
    </row>
    <row r="176" spans="1:76">
      <c r="A176" s="168"/>
      <c r="B176" s="167"/>
      <c r="C176" s="167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  <c r="AA176" s="168"/>
      <c r="AB176" s="168"/>
      <c r="AC176" s="168"/>
      <c r="AD176" s="168"/>
      <c r="AE176" s="168"/>
      <c r="AF176" s="168"/>
      <c r="AG176" s="168"/>
      <c r="AH176" s="168"/>
      <c r="AI176" s="168"/>
      <c r="AJ176" s="168"/>
      <c r="AK176" s="168"/>
      <c r="AL176" s="168"/>
      <c r="AM176" s="168"/>
      <c r="AN176" s="168"/>
      <c r="AO176" s="168"/>
      <c r="AP176" s="168"/>
      <c r="AQ176" s="168"/>
      <c r="AR176" s="168"/>
      <c r="AS176" s="168"/>
      <c r="AT176" s="168"/>
      <c r="AU176" s="168"/>
      <c r="AV176" s="168"/>
      <c r="AW176" s="168"/>
      <c r="AX176" s="168"/>
      <c r="AY176" s="168"/>
      <c r="AZ176" s="168"/>
      <c r="BA176" s="168"/>
      <c r="BB176" s="168"/>
      <c r="BC176" s="168"/>
      <c r="BD176" s="168"/>
      <c r="BE176" s="168"/>
      <c r="BF176" s="310"/>
      <c r="BG176" s="168"/>
      <c r="BH176" s="168"/>
      <c r="BI176" s="310"/>
      <c r="BJ176" s="168"/>
      <c r="BK176" s="168"/>
      <c r="BL176" s="310"/>
      <c r="BM176" s="182"/>
      <c r="BN176" s="182"/>
      <c r="BO176" s="182"/>
      <c r="BP176" s="182"/>
      <c r="BQ176" s="182"/>
      <c r="BR176" s="182"/>
      <c r="BS176" s="182"/>
      <c r="BT176" s="182"/>
      <c r="BU176" s="182"/>
      <c r="BV176" s="182"/>
      <c r="BW176" s="182"/>
      <c r="BX176" s="182"/>
    </row>
    <row r="177" spans="1:76">
      <c r="A177" s="168"/>
      <c r="B177" s="167"/>
      <c r="C177" s="167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  <c r="AA177" s="168"/>
      <c r="AB177" s="168"/>
      <c r="AC177" s="168"/>
      <c r="AD177" s="168"/>
      <c r="AE177" s="168"/>
      <c r="AF177" s="168"/>
      <c r="AG177" s="168"/>
      <c r="AH177" s="168"/>
      <c r="AI177" s="168"/>
      <c r="AJ177" s="168"/>
      <c r="AK177" s="168"/>
      <c r="AL177" s="168"/>
      <c r="AM177" s="168"/>
      <c r="AN177" s="168"/>
      <c r="AO177" s="168"/>
      <c r="AP177" s="168"/>
      <c r="AQ177" s="168"/>
      <c r="AR177" s="168"/>
      <c r="AS177" s="168"/>
      <c r="AT177" s="168"/>
      <c r="AU177" s="168"/>
      <c r="AV177" s="168"/>
      <c r="AW177" s="168"/>
      <c r="AX177" s="168"/>
      <c r="AY177" s="168"/>
      <c r="AZ177" s="168"/>
      <c r="BA177" s="168"/>
      <c r="BB177" s="168"/>
      <c r="BC177" s="168"/>
      <c r="BD177" s="168"/>
      <c r="BE177" s="168"/>
      <c r="BF177" s="310"/>
      <c r="BG177" s="168"/>
      <c r="BH177" s="168"/>
      <c r="BI177" s="310"/>
      <c r="BJ177" s="168"/>
      <c r="BK177" s="168"/>
      <c r="BL177" s="310"/>
      <c r="BM177" s="182"/>
      <c r="BN177" s="182"/>
      <c r="BO177" s="182"/>
      <c r="BP177" s="182"/>
      <c r="BQ177" s="182"/>
      <c r="BR177" s="182"/>
      <c r="BS177" s="182"/>
      <c r="BT177" s="182"/>
      <c r="BU177" s="182"/>
      <c r="BV177" s="182"/>
      <c r="BW177" s="182"/>
      <c r="BX177" s="182"/>
    </row>
    <row r="178" spans="1:76">
      <c r="A178" s="168"/>
      <c r="B178" s="167"/>
      <c r="C178" s="167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  <c r="AA178" s="168"/>
      <c r="AB178" s="168"/>
      <c r="AC178" s="168"/>
      <c r="AD178" s="168"/>
      <c r="AE178" s="168"/>
      <c r="AF178" s="168"/>
      <c r="AG178" s="168"/>
      <c r="AH178" s="168"/>
      <c r="AI178" s="168"/>
      <c r="AJ178" s="168"/>
      <c r="AK178" s="168"/>
      <c r="AL178" s="168"/>
      <c r="AM178" s="168"/>
      <c r="AN178" s="168"/>
      <c r="AO178" s="168"/>
      <c r="AP178" s="168"/>
      <c r="AQ178" s="168"/>
      <c r="AR178" s="168"/>
      <c r="AS178" s="168"/>
      <c r="AT178" s="168"/>
      <c r="AU178" s="168"/>
      <c r="AV178" s="168"/>
      <c r="AW178" s="168"/>
      <c r="AX178" s="168"/>
      <c r="AY178" s="168"/>
      <c r="AZ178" s="168"/>
      <c r="BA178" s="168"/>
      <c r="BB178" s="168"/>
      <c r="BC178" s="168"/>
      <c r="BD178" s="168"/>
      <c r="BE178" s="168"/>
      <c r="BF178" s="310"/>
      <c r="BG178" s="168"/>
      <c r="BH178" s="168"/>
      <c r="BI178" s="310"/>
      <c r="BJ178" s="168"/>
      <c r="BK178" s="168"/>
      <c r="BL178" s="310"/>
      <c r="BM178" s="182"/>
      <c r="BN178" s="182"/>
      <c r="BO178" s="182"/>
      <c r="BP178" s="182"/>
      <c r="BQ178" s="182"/>
      <c r="BR178" s="182"/>
      <c r="BS178" s="182"/>
      <c r="BT178" s="182"/>
      <c r="BU178" s="182"/>
      <c r="BV178" s="182"/>
      <c r="BW178" s="182"/>
      <c r="BX178" s="182"/>
    </row>
    <row r="179" spans="1:76">
      <c r="A179" s="168"/>
      <c r="B179" s="167"/>
      <c r="C179" s="167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  <c r="AA179" s="168"/>
      <c r="AB179" s="168"/>
      <c r="AC179" s="168"/>
      <c r="AD179" s="168"/>
      <c r="AE179" s="168"/>
      <c r="AF179" s="168"/>
      <c r="AG179" s="168"/>
      <c r="AH179" s="168"/>
      <c r="AI179" s="168"/>
      <c r="AJ179" s="168"/>
      <c r="AK179" s="168"/>
      <c r="AL179" s="168"/>
      <c r="AM179" s="168"/>
      <c r="AN179" s="168"/>
      <c r="AO179" s="168"/>
      <c r="AP179" s="168"/>
      <c r="AQ179" s="168"/>
      <c r="AR179" s="168"/>
      <c r="AS179" s="168"/>
      <c r="AT179" s="168"/>
      <c r="AU179" s="168"/>
      <c r="AV179" s="168"/>
      <c r="AW179" s="168"/>
      <c r="AX179" s="168"/>
      <c r="AY179" s="168"/>
      <c r="AZ179" s="168"/>
      <c r="BA179" s="168"/>
      <c r="BB179" s="168"/>
      <c r="BC179" s="168"/>
      <c r="BD179" s="168"/>
      <c r="BE179" s="168"/>
      <c r="BF179" s="310"/>
      <c r="BG179" s="168"/>
      <c r="BH179" s="168"/>
      <c r="BI179" s="310"/>
      <c r="BJ179" s="168"/>
      <c r="BK179" s="168"/>
      <c r="BL179" s="310"/>
      <c r="BM179" s="182"/>
      <c r="BN179" s="182"/>
      <c r="BO179" s="182"/>
      <c r="BP179" s="182"/>
      <c r="BQ179" s="182"/>
      <c r="BR179" s="182"/>
      <c r="BS179" s="182"/>
      <c r="BT179" s="182"/>
      <c r="BU179" s="182"/>
      <c r="BV179" s="182"/>
      <c r="BW179" s="182"/>
      <c r="BX179" s="182"/>
    </row>
    <row r="180" spans="1:76">
      <c r="A180" s="168"/>
      <c r="B180" s="167"/>
      <c r="C180" s="167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8"/>
      <c r="AH180" s="168"/>
      <c r="AI180" s="168"/>
      <c r="AJ180" s="168"/>
      <c r="AK180" s="168"/>
      <c r="AL180" s="168"/>
      <c r="AM180" s="168"/>
      <c r="AN180" s="168"/>
      <c r="AO180" s="168"/>
      <c r="AP180" s="168"/>
      <c r="AQ180" s="168"/>
      <c r="AR180" s="168"/>
      <c r="AS180" s="168"/>
      <c r="AT180" s="168"/>
      <c r="AU180" s="168"/>
      <c r="AV180" s="168"/>
      <c r="AW180" s="168"/>
      <c r="AX180" s="168"/>
      <c r="AY180" s="168"/>
      <c r="AZ180" s="168"/>
      <c r="BA180" s="168"/>
      <c r="BB180" s="168"/>
      <c r="BC180" s="168"/>
      <c r="BD180" s="168"/>
      <c r="BE180" s="168"/>
      <c r="BF180" s="310"/>
      <c r="BG180" s="168"/>
      <c r="BH180" s="168"/>
      <c r="BI180" s="310"/>
      <c r="BJ180" s="168"/>
      <c r="BK180" s="168"/>
      <c r="BL180" s="310"/>
      <c r="BM180" s="182"/>
      <c r="BN180" s="182"/>
      <c r="BO180" s="182"/>
      <c r="BP180" s="182"/>
      <c r="BQ180" s="182"/>
      <c r="BR180" s="182"/>
      <c r="BS180" s="182"/>
      <c r="BT180" s="182"/>
      <c r="BU180" s="182"/>
      <c r="BV180" s="182"/>
      <c r="BW180" s="182"/>
      <c r="BX180" s="182"/>
    </row>
    <row r="181" spans="1:76">
      <c r="A181" s="168"/>
      <c r="B181" s="167"/>
      <c r="C181" s="167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  <c r="AA181" s="168"/>
      <c r="AB181" s="168"/>
      <c r="AC181" s="168"/>
      <c r="AD181" s="168"/>
      <c r="AE181" s="168"/>
      <c r="AF181" s="168"/>
      <c r="AG181" s="168"/>
      <c r="AH181" s="168"/>
      <c r="AI181" s="168"/>
      <c r="AJ181" s="168"/>
      <c r="AK181" s="168"/>
      <c r="AL181" s="168"/>
      <c r="AM181" s="168"/>
      <c r="AN181" s="168"/>
      <c r="AO181" s="168"/>
      <c r="AP181" s="168"/>
      <c r="AQ181" s="168"/>
      <c r="AR181" s="168"/>
      <c r="AS181" s="168"/>
      <c r="AT181" s="168"/>
      <c r="AU181" s="168"/>
      <c r="AV181" s="168"/>
      <c r="AW181" s="168"/>
      <c r="AX181" s="168"/>
      <c r="AY181" s="168"/>
      <c r="AZ181" s="168"/>
      <c r="BA181" s="168"/>
      <c r="BB181" s="168"/>
      <c r="BC181" s="168"/>
      <c r="BD181" s="168"/>
      <c r="BE181" s="168"/>
      <c r="BF181" s="310"/>
      <c r="BG181" s="168"/>
      <c r="BH181" s="168"/>
      <c r="BI181" s="310"/>
      <c r="BJ181" s="168"/>
      <c r="BK181" s="168"/>
      <c r="BL181" s="310"/>
      <c r="BM181" s="182"/>
      <c r="BN181" s="182"/>
      <c r="BO181" s="182"/>
      <c r="BP181" s="182"/>
      <c r="BQ181" s="182"/>
      <c r="BR181" s="182"/>
      <c r="BS181" s="182"/>
      <c r="BT181" s="182"/>
      <c r="BU181" s="182"/>
      <c r="BV181" s="182"/>
      <c r="BW181" s="182"/>
      <c r="BX181" s="182"/>
    </row>
  </sheetData>
  <sheetProtection sheet="1" objects="1" scenarios="1" selectLockedCells="1" autoFilter="0"/>
  <autoFilter ref="A5:A155"/>
  <mergeCells count="17">
    <mergeCell ref="R4:X4"/>
    <mergeCell ref="Y4:AE4"/>
    <mergeCell ref="BS3:BU4"/>
    <mergeCell ref="BP3:BR4"/>
    <mergeCell ref="B3:B5"/>
    <mergeCell ref="C3:C5"/>
    <mergeCell ref="BM3:BO4"/>
    <mergeCell ref="BJ3:BL4"/>
    <mergeCell ref="AU3:AU4"/>
    <mergeCell ref="BG3:BI4"/>
    <mergeCell ref="BD3:BF4"/>
    <mergeCell ref="AT3:AT5"/>
    <mergeCell ref="AF4:AL4"/>
    <mergeCell ref="AM4:AS4"/>
    <mergeCell ref="D3:AS3"/>
    <mergeCell ref="D4:J4"/>
    <mergeCell ref="K4:Q4"/>
  </mergeCells>
  <phoneticPr fontId="0" type="noConversion"/>
  <dataValidations count="3">
    <dataValidation type="date" operator="greaterThan" allowBlank="1" showInputMessage="1" showErrorMessage="1" sqref="BG6:BG24">
      <formula1>39173</formula1>
    </dataValidation>
    <dataValidation type="whole" allowBlank="1" showInputMessage="1" showErrorMessage="1" sqref="D6:AS155">
      <formula1>0</formula1>
      <formula2>8</formula2>
    </dataValidation>
    <dataValidation type="date" operator="greaterThan" allowBlank="1" showInputMessage="1" showErrorMessage="1" sqref="B6:B155">
      <formula1>40634</formula1>
    </dataValidation>
  </dataValidations>
  <printOptions horizontalCentered="1"/>
  <pageMargins left="0.18" right="0.17" top="0.55118110236220474" bottom="0.39370078740157483" header="0.51181102362204722" footer="0.31496062992125984"/>
  <pageSetup paperSize="9" scale="65" orientation="landscape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Blad5" enableFormatConditionsCalculation="0">
    <pageSetUpPr autoPageBreaks="0"/>
  </sheetPr>
  <dimension ref="A1:BP163"/>
  <sheetViews>
    <sheetView showGridLines="0" zoomScale="86" zoomScaleNormal="86" zoomScalePageLayoutView="86" workbookViewId="0">
      <pane xSplit="2" ySplit="4" topLeftCell="C6" activePane="bottomRight" state="frozen"/>
      <selection pane="topRight" activeCell="C1" sqref="C1"/>
      <selection pane="bottomLeft" activeCell="A5" sqref="A5"/>
      <selection pane="bottomRight" activeCell="B14" sqref="B14"/>
    </sheetView>
  </sheetViews>
  <sheetFormatPr baseColWidth="10" defaultColWidth="8.83203125" defaultRowHeight="12" x14ac:dyDescent="0"/>
  <cols>
    <col min="2" max="2" width="11.33203125" style="1" customWidth="1"/>
    <col min="3" max="3" width="5.5" style="1" customWidth="1"/>
    <col min="4" max="28" width="2.6640625" customWidth="1"/>
    <col min="29" max="29" width="4.5" customWidth="1"/>
    <col min="30" max="34" width="2.6640625" customWidth="1"/>
    <col min="35" max="35" width="4.5" customWidth="1"/>
    <col min="36" max="38" width="9.5" customWidth="1"/>
    <col min="39" max="39" width="8.5" bestFit="1" customWidth="1"/>
    <col min="40" max="40" width="9.6640625" customWidth="1"/>
    <col min="41" max="41" width="9.5" customWidth="1"/>
    <col min="50" max="51" width="5.83203125" bestFit="1" customWidth="1"/>
    <col min="52" max="52" width="10.1640625" style="234" bestFit="1" customWidth="1"/>
    <col min="53" max="53" width="8.5" bestFit="1" customWidth="1"/>
    <col min="54" max="54" width="5.83203125" bestFit="1" customWidth="1"/>
    <col min="55" max="55" width="10.1640625" style="234" bestFit="1" customWidth="1"/>
    <col min="56" max="56" width="8.5" bestFit="1" customWidth="1"/>
    <col min="57" max="57" width="5.83203125" bestFit="1" customWidth="1"/>
    <col min="58" max="58" width="10.1640625" bestFit="1" customWidth="1"/>
    <col min="59" max="59" width="8.5" bestFit="1" customWidth="1"/>
    <col min="61" max="61" width="10.1640625" bestFit="1" customWidth="1"/>
    <col min="64" max="64" width="10.1640625" bestFit="1" customWidth="1"/>
    <col min="67" max="67" width="10.1640625" bestFit="1" customWidth="1"/>
  </cols>
  <sheetData>
    <row r="1" spans="1:68" ht="17">
      <c r="A1" s="165" t="s">
        <v>21</v>
      </c>
      <c r="B1" s="167"/>
      <c r="C1" s="167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78"/>
      <c r="AC1" s="178"/>
      <c r="AD1" s="168"/>
      <c r="AE1" s="168"/>
      <c r="AF1" s="168"/>
      <c r="AG1" s="168"/>
      <c r="AH1" s="168"/>
      <c r="AI1" s="17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233"/>
      <c r="BA1" s="168"/>
      <c r="BB1" s="168"/>
      <c r="BC1" s="233"/>
      <c r="BD1" s="168"/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168"/>
      <c r="BP1" s="168"/>
    </row>
    <row r="2" spans="1:68" ht="24" customHeight="1" thickBot="1">
      <c r="A2" s="180" t="s">
        <v>5</v>
      </c>
      <c r="B2" s="181"/>
      <c r="C2" s="181"/>
      <c r="D2" s="181"/>
      <c r="E2" s="181"/>
      <c r="F2" s="181"/>
      <c r="G2" s="181"/>
      <c r="H2" s="181"/>
      <c r="I2" s="181"/>
      <c r="J2" s="181"/>
      <c r="K2" s="182"/>
      <c r="L2" s="168"/>
      <c r="M2" s="182"/>
      <c r="N2" s="182"/>
      <c r="O2" s="182"/>
      <c r="P2" s="182"/>
      <c r="Q2" s="182"/>
      <c r="R2" s="182"/>
      <c r="S2" s="182"/>
      <c r="T2" s="182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90"/>
      <c r="AJ2" s="168"/>
      <c r="AK2" s="168"/>
      <c r="AL2" s="168"/>
      <c r="AM2" s="168"/>
      <c r="AN2" s="168"/>
      <c r="AO2" s="168"/>
      <c r="AP2" s="168"/>
      <c r="AQ2" s="168"/>
      <c r="AR2" s="168"/>
      <c r="AS2" s="168"/>
      <c r="AT2" s="168"/>
      <c r="AU2" s="168"/>
      <c r="AV2" s="168"/>
      <c r="AW2" s="168"/>
      <c r="AX2" s="168"/>
      <c r="AY2" s="168"/>
      <c r="AZ2" s="233"/>
      <c r="BA2" s="168"/>
      <c r="BB2" s="168"/>
      <c r="BC2" s="233"/>
      <c r="BD2" s="168"/>
      <c r="BE2" s="168"/>
      <c r="BF2" s="168"/>
      <c r="BG2" s="168"/>
      <c r="BH2" s="168"/>
      <c r="BI2" s="168"/>
      <c r="BJ2" s="168"/>
      <c r="BK2" s="168"/>
      <c r="BL2" s="168"/>
      <c r="BM2" s="168"/>
      <c r="BN2" s="168"/>
      <c r="BO2" s="168"/>
      <c r="BP2" s="168"/>
    </row>
    <row r="3" spans="1:68" ht="26.25" customHeight="1" thickBot="1">
      <c r="A3" s="125"/>
      <c r="B3" s="447" t="s">
        <v>1</v>
      </c>
      <c r="C3" s="431" t="s">
        <v>0</v>
      </c>
      <c r="D3" s="418" t="s">
        <v>6</v>
      </c>
      <c r="E3" s="419"/>
      <c r="F3" s="419"/>
      <c r="G3" s="419"/>
      <c r="H3" s="419"/>
      <c r="I3" s="419"/>
      <c r="J3" s="419"/>
      <c r="K3" s="419"/>
      <c r="L3" s="419"/>
      <c r="M3" s="420"/>
      <c r="N3" s="418" t="s">
        <v>16</v>
      </c>
      <c r="O3" s="419"/>
      <c r="P3" s="419"/>
      <c r="Q3" s="419"/>
      <c r="R3" s="419"/>
      <c r="S3" s="419"/>
      <c r="T3" s="419"/>
      <c r="U3" s="419"/>
      <c r="V3" s="419"/>
      <c r="W3" s="420"/>
      <c r="X3" s="418" t="s">
        <v>14</v>
      </c>
      <c r="Y3" s="449"/>
      <c r="Z3" s="449"/>
      <c r="AA3" s="449"/>
      <c r="AB3" s="449"/>
      <c r="AC3" s="413" t="s">
        <v>19</v>
      </c>
      <c r="AD3" s="421" t="s">
        <v>15</v>
      </c>
      <c r="AE3" s="422"/>
      <c r="AF3" s="422"/>
      <c r="AG3" s="422"/>
      <c r="AH3" s="422"/>
      <c r="AI3" s="413" t="s">
        <v>19</v>
      </c>
      <c r="AJ3" s="415" t="s">
        <v>35</v>
      </c>
      <c r="AK3" s="416"/>
      <c r="AL3" s="416"/>
      <c r="AM3" s="417"/>
      <c r="AN3" s="168"/>
      <c r="AO3" s="168"/>
      <c r="AP3" s="168"/>
      <c r="AQ3" s="168"/>
      <c r="AR3" s="168"/>
      <c r="AS3" s="168"/>
      <c r="AT3" s="168"/>
      <c r="AU3" s="168"/>
      <c r="AV3" s="168"/>
      <c r="AW3" s="168"/>
      <c r="AX3" s="343" t="s">
        <v>71</v>
      </c>
      <c r="AY3" s="444">
        <v>2006</v>
      </c>
      <c r="AZ3" s="445"/>
      <c r="BA3" s="446"/>
      <c r="BB3" s="445">
        <v>2007</v>
      </c>
      <c r="BC3" s="445"/>
      <c r="BD3" s="445"/>
      <c r="BE3" s="444">
        <v>2008</v>
      </c>
      <c r="BF3" s="445"/>
      <c r="BG3" s="446"/>
      <c r="BH3" s="444">
        <v>2009</v>
      </c>
      <c r="BI3" s="445"/>
      <c r="BJ3" s="446"/>
      <c r="BK3" s="444">
        <v>2010</v>
      </c>
      <c r="BL3" s="445"/>
      <c r="BM3" s="446"/>
      <c r="BN3" s="444">
        <v>2011</v>
      </c>
      <c r="BO3" s="445"/>
      <c r="BP3" s="446"/>
    </row>
    <row r="4" spans="1:68" ht="13" thickBot="1">
      <c r="A4" s="126" t="s">
        <v>29</v>
      </c>
      <c r="B4" s="448"/>
      <c r="C4" s="433"/>
      <c r="D4" s="92">
        <v>1</v>
      </c>
      <c r="E4" s="93">
        <v>2</v>
      </c>
      <c r="F4" s="93">
        <v>3</v>
      </c>
      <c r="G4" s="93">
        <v>4</v>
      </c>
      <c r="H4" s="93">
        <v>5</v>
      </c>
      <c r="I4" s="93">
        <v>6</v>
      </c>
      <c r="J4" s="93">
        <v>7</v>
      </c>
      <c r="K4" s="93">
        <v>8</v>
      </c>
      <c r="L4" s="93">
        <v>9</v>
      </c>
      <c r="M4" s="94">
        <v>10</v>
      </c>
      <c r="N4" s="92">
        <v>1</v>
      </c>
      <c r="O4" s="93">
        <v>2</v>
      </c>
      <c r="P4" s="93">
        <v>3</v>
      </c>
      <c r="Q4" s="93">
        <v>4</v>
      </c>
      <c r="R4" s="93">
        <v>5</v>
      </c>
      <c r="S4" s="93">
        <v>6</v>
      </c>
      <c r="T4" s="93">
        <v>7</v>
      </c>
      <c r="U4" s="93">
        <v>8</v>
      </c>
      <c r="V4" s="93">
        <v>9</v>
      </c>
      <c r="W4" s="96">
        <v>10</v>
      </c>
      <c r="X4" s="97">
        <v>1</v>
      </c>
      <c r="Y4" s="98">
        <v>2</v>
      </c>
      <c r="Z4" s="98">
        <v>3</v>
      </c>
      <c r="AA4" s="98">
        <v>4</v>
      </c>
      <c r="AB4" s="99">
        <v>5</v>
      </c>
      <c r="AC4" s="414"/>
      <c r="AD4" s="48">
        <v>1</v>
      </c>
      <c r="AE4" s="49">
        <v>2</v>
      </c>
      <c r="AF4" s="49">
        <v>3</v>
      </c>
      <c r="AG4" s="49">
        <v>4</v>
      </c>
      <c r="AH4" s="95">
        <v>5</v>
      </c>
      <c r="AI4" s="414"/>
      <c r="AJ4" s="127" t="s">
        <v>58</v>
      </c>
      <c r="AK4" s="128" t="s">
        <v>39</v>
      </c>
      <c r="AL4" s="128" t="s">
        <v>40</v>
      </c>
      <c r="AM4" s="129" t="s">
        <v>41</v>
      </c>
      <c r="AN4" s="168"/>
      <c r="AO4" s="168"/>
      <c r="AP4" s="168"/>
      <c r="AQ4" s="168"/>
      <c r="AR4" s="168"/>
      <c r="AS4" s="168"/>
      <c r="AT4" s="168"/>
      <c r="AU4" s="168"/>
      <c r="AV4" s="168"/>
      <c r="AW4" s="168"/>
      <c r="AX4" s="363" t="s">
        <v>52</v>
      </c>
      <c r="AY4" s="311" t="s">
        <v>52</v>
      </c>
      <c r="AZ4" s="312" t="s">
        <v>1</v>
      </c>
      <c r="BA4" s="313" t="s">
        <v>58</v>
      </c>
      <c r="BB4" s="309" t="s">
        <v>52</v>
      </c>
      <c r="BC4" s="312" t="s">
        <v>1</v>
      </c>
      <c r="BD4" s="309" t="s">
        <v>58</v>
      </c>
      <c r="BE4" s="311" t="s">
        <v>52</v>
      </c>
      <c r="BF4" s="312" t="s">
        <v>1</v>
      </c>
      <c r="BG4" s="313" t="s">
        <v>58</v>
      </c>
      <c r="BH4" s="311" t="s">
        <v>52</v>
      </c>
      <c r="BI4" s="312" t="s">
        <v>1</v>
      </c>
      <c r="BJ4" s="313" t="s">
        <v>58</v>
      </c>
      <c r="BK4" s="311" t="s">
        <v>52</v>
      </c>
      <c r="BL4" s="312" t="s">
        <v>1</v>
      </c>
      <c r="BM4" s="313" t="s">
        <v>58</v>
      </c>
      <c r="BN4" s="311" t="s">
        <v>52</v>
      </c>
      <c r="BO4" s="312" t="s">
        <v>1</v>
      </c>
      <c r="BP4" s="313" t="s">
        <v>58</v>
      </c>
    </row>
    <row r="5" spans="1:68">
      <c r="A5" s="82" t="s">
        <v>30</v>
      </c>
      <c r="B5" s="122">
        <v>41032</v>
      </c>
      <c r="C5" s="101" t="s">
        <v>73</v>
      </c>
      <c r="D5" s="100">
        <v>0</v>
      </c>
      <c r="E5" s="101">
        <v>0</v>
      </c>
      <c r="F5" s="101">
        <v>0</v>
      </c>
      <c r="G5" s="101">
        <v>0</v>
      </c>
      <c r="H5" s="101">
        <v>0</v>
      </c>
      <c r="I5" s="101">
        <v>0</v>
      </c>
      <c r="J5" s="101">
        <v>1</v>
      </c>
      <c r="K5" s="102"/>
      <c r="L5" s="102"/>
      <c r="M5" s="103"/>
      <c r="N5" s="100">
        <v>0</v>
      </c>
      <c r="O5" s="101">
        <v>0</v>
      </c>
      <c r="P5" s="101">
        <v>0</v>
      </c>
      <c r="Q5" s="101">
        <v>0</v>
      </c>
      <c r="R5" s="101">
        <v>0</v>
      </c>
      <c r="S5" s="101">
        <v>0</v>
      </c>
      <c r="T5" s="101">
        <v>0</v>
      </c>
      <c r="U5" s="102"/>
      <c r="V5" s="102"/>
      <c r="W5" s="103"/>
      <c r="X5" s="100">
        <v>0</v>
      </c>
      <c r="Y5" s="101">
        <v>0</v>
      </c>
      <c r="Z5" s="101">
        <v>0</v>
      </c>
      <c r="AA5" s="101">
        <v>0</v>
      </c>
      <c r="AB5" s="104">
        <v>0</v>
      </c>
      <c r="AC5" s="105">
        <v>0</v>
      </c>
      <c r="AD5" s="100">
        <v>0</v>
      </c>
      <c r="AE5" s="101">
        <v>0</v>
      </c>
      <c r="AF5" s="101">
        <v>0</v>
      </c>
      <c r="AG5" s="101">
        <v>0</v>
      </c>
      <c r="AH5" s="104">
        <v>0</v>
      </c>
      <c r="AI5" s="105">
        <v>0</v>
      </c>
      <c r="AJ5" s="118">
        <f>IF(COUNT(D5:M5)=0,AJ4,AVERAGE(D5:M5))</f>
        <v>0.14285714285714285</v>
      </c>
      <c r="AK5" s="52">
        <f>IF(COUNT(N5:W5)=0,"",AVERAGE(N5:W5))</f>
        <v>0</v>
      </c>
      <c r="AL5" s="52">
        <f>IF(COUNT(X5:AB5)=0,"",AVERAGE(X5:AB5))</f>
        <v>0</v>
      </c>
      <c r="AM5" s="53">
        <f>IF(COUNT(AD5:AH5)=0,"",AVERAGE(AD5:AH5))</f>
        <v>0</v>
      </c>
      <c r="AN5" s="168"/>
      <c r="AO5" s="168"/>
      <c r="AP5" s="168"/>
      <c r="AQ5" s="168"/>
      <c r="AR5" s="168"/>
      <c r="AS5" s="168"/>
      <c r="AT5" s="168"/>
      <c r="AU5" s="168"/>
      <c r="AV5" s="168"/>
      <c r="AW5" s="168"/>
      <c r="AX5" s="364">
        <f>IF(B5=0,AX4,B5-DATE(YEAR(B5)-1,12,31))</f>
        <v>124</v>
      </c>
      <c r="AY5" s="236">
        <f>IF(AZ5=0,AY4,AZ5-DATE(YEAR(AZ5)-1,12,31))</f>
        <v>115</v>
      </c>
      <c r="AZ5" s="235">
        <v>39197</v>
      </c>
      <c r="BA5" s="347">
        <v>0.2</v>
      </c>
      <c r="BB5" s="236">
        <f>IF(BC5=0,BB4,BC5-DATE(YEAR(BC5)-1,12,31))</f>
        <v>128</v>
      </c>
      <c r="BC5" s="213">
        <v>38845</v>
      </c>
      <c r="BD5" s="345">
        <v>0</v>
      </c>
      <c r="BE5" s="344">
        <f>IF(BF5=0,BE4,BF5-DATE(YEAR(BF5)-1,12,31))</f>
        <v>116</v>
      </c>
      <c r="BF5" s="213">
        <v>39563</v>
      </c>
      <c r="BG5" s="336">
        <v>0.5714285714285714</v>
      </c>
      <c r="BH5" s="344">
        <v>107</v>
      </c>
      <c r="BI5" s="213">
        <v>39920</v>
      </c>
      <c r="BJ5" s="336">
        <v>0</v>
      </c>
      <c r="BK5" s="344">
        <v>134</v>
      </c>
      <c r="BL5" s="213">
        <v>40312</v>
      </c>
      <c r="BM5" s="336">
        <v>0</v>
      </c>
      <c r="BN5" s="344">
        <v>123</v>
      </c>
      <c r="BO5" s="213">
        <v>40666</v>
      </c>
      <c r="BP5" s="336">
        <v>0.2857142857142857</v>
      </c>
    </row>
    <row r="6" spans="1:68">
      <c r="A6" s="60" t="s">
        <v>30</v>
      </c>
      <c r="B6" s="123">
        <v>41040</v>
      </c>
      <c r="C6" s="107" t="s">
        <v>73</v>
      </c>
      <c r="D6" s="100">
        <v>1</v>
      </c>
      <c r="E6" s="101">
        <v>1</v>
      </c>
      <c r="F6" s="101">
        <v>1</v>
      </c>
      <c r="G6" s="101">
        <v>1</v>
      </c>
      <c r="H6" s="101">
        <v>1</v>
      </c>
      <c r="I6" s="101">
        <v>1</v>
      </c>
      <c r="J6" s="101">
        <v>1</v>
      </c>
      <c r="K6" s="102"/>
      <c r="L6" s="102"/>
      <c r="M6" s="103"/>
      <c r="N6" s="100">
        <v>0</v>
      </c>
      <c r="O6" s="101">
        <v>0</v>
      </c>
      <c r="P6" s="101">
        <v>0</v>
      </c>
      <c r="Q6" s="101">
        <v>0</v>
      </c>
      <c r="R6" s="101">
        <v>0</v>
      </c>
      <c r="S6" s="101">
        <v>0</v>
      </c>
      <c r="T6" s="101">
        <v>0</v>
      </c>
      <c r="U6" s="102"/>
      <c r="V6" s="102"/>
      <c r="W6" s="103"/>
      <c r="X6" s="100">
        <v>1</v>
      </c>
      <c r="Y6" s="101">
        <v>1</v>
      </c>
      <c r="Z6" s="101">
        <v>1</v>
      </c>
      <c r="AA6" s="101">
        <v>1</v>
      </c>
      <c r="AB6" s="104">
        <v>1</v>
      </c>
      <c r="AC6" s="105">
        <v>2</v>
      </c>
      <c r="AD6" s="100">
        <v>0</v>
      </c>
      <c r="AE6" s="101">
        <v>0</v>
      </c>
      <c r="AF6" s="101">
        <v>0</v>
      </c>
      <c r="AG6" s="101">
        <v>0</v>
      </c>
      <c r="AH6" s="104">
        <v>0</v>
      </c>
      <c r="AI6" s="105">
        <v>0</v>
      </c>
      <c r="AJ6" s="119">
        <f t="shared" ref="AJ6:AJ17" si="0">IF(COUNT(D6:M6)=0,AJ5,AVERAGE(D6:M6))</f>
        <v>1</v>
      </c>
      <c r="AK6" s="55">
        <f t="shared" ref="AK6:AK69" si="1">IF(COUNT(N6:W6)=0,"",AVERAGE(N6:W6))</f>
        <v>0</v>
      </c>
      <c r="AL6" s="55">
        <f t="shared" ref="AL6:AL69" si="2">IF(COUNT(X6:AB6)=0,"",AVERAGE(X6:AB6))</f>
        <v>1</v>
      </c>
      <c r="AM6" s="56">
        <f t="shared" ref="AM6:AM69" si="3">IF(COUNT(AD6:AH6)=0,"",AVERAGE(AD6:AH6))</f>
        <v>0</v>
      </c>
      <c r="AN6" s="168"/>
      <c r="AO6" s="168"/>
      <c r="AP6" s="168"/>
      <c r="AQ6" s="168"/>
      <c r="AR6" s="168"/>
      <c r="AS6" s="168"/>
      <c r="AT6" s="168"/>
      <c r="AU6" s="168"/>
      <c r="AV6" s="168"/>
      <c r="AW6" s="168"/>
      <c r="AX6" s="337">
        <f t="shared" ref="AX6:AX69" si="4">IF(B6=0,AX5,B6-DATE(YEAR(B6)-1,12,31))</f>
        <v>132</v>
      </c>
      <c r="AY6" s="236">
        <f>IF(AZ6=0,AY5,AZ6-DATE(YEAR(AZ6)-1,12,31))</f>
        <v>117</v>
      </c>
      <c r="AZ6" s="235">
        <v>39199</v>
      </c>
      <c r="BA6" s="347">
        <v>0.4</v>
      </c>
      <c r="BB6" s="236">
        <f t="shared" ref="BB6:BB26" si="5">IF(BC6=0,BB5,BC6-DATE(YEAR(BC6)-1,12,31))</f>
        <v>132</v>
      </c>
      <c r="BC6" s="213">
        <v>38849</v>
      </c>
      <c r="BD6" s="345">
        <v>0</v>
      </c>
      <c r="BE6" s="344">
        <f t="shared" ref="BE6:BE17" si="6">IF(BF6=0,BE5,BF6-DATE(YEAR(BF6)-1,12,31))</f>
        <v>123</v>
      </c>
      <c r="BF6" s="213">
        <v>39570</v>
      </c>
      <c r="BG6" s="336">
        <v>0.5714285714285714</v>
      </c>
      <c r="BH6" s="344">
        <v>114</v>
      </c>
      <c r="BI6" s="213">
        <v>39927</v>
      </c>
      <c r="BJ6" s="336">
        <v>0</v>
      </c>
      <c r="BK6" s="344">
        <v>140</v>
      </c>
      <c r="BL6" s="213">
        <v>40318</v>
      </c>
      <c r="BM6" s="336">
        <v>1.1428571428571428</v>
      </c>
      <c r="BN6" s="344">
        <v>130</v>
      </c>
      <c r="BO6" s="213">
        <v>40673</v>
      </c>
      <c r="BP6" s="336">
        <v>0.2857142857142857</v>
      </c>
    </row>
    <row r="7" spans="1:68">
      <c r="A7" s="60" t="s">
        <v>30</v>
      </c>
      <c r="B7" s="123">
        <v>41047</v>
      </c>
      <c r="C7" s="107" t="s">
        <v>73</v>
      </c>
      <c r="D7" s="100">
        <v>1</v>
      </c>
      <c r="E7" s="101">
        <v>1</v>
      </c>
      <c r="F7" s="101">
        <v>2</v>
      </c>
      <c r="G7" s="101">
        <v>1</v>
      </c>
      <c r="H7" s="101">
        <v>1</v>
      </c>
      <c r="I7" s="101">
        <v>2</v>
      </c>
      <c r="J7" s="101">
        <v>1</v>
      </c>
      <c r="K7" s="102"/>
      <c r="L7" s="102"/>
      <c r="M7" s="103"/>
      <c r="N7" s="100">
        <v>0</v>
      </c>
      <c r="O7" s="101">
        <v>0</v>
      </c>
      <c r="P7" s="101">
        <v>0</v>
      </c>
      <c r="Q7" s="101">
        <v>0</v>
      </c>
      <c r="R7" s="101">
        <v>0</v>
      </c>
      <c r="S7" s="101">
        <v>0</v>
      </c>
      <c r="T7" s="101">
        <v>0</v>
      </c>
      <c r="U7" s="102"/>
      <c r="V7" s="102"/>
      <c r="W7" s="103"/>
      <c r="X7" s="100">
        <v>1</v>
      </c>
      <c r="Y7" s="101">
        <v>1</v>
      </c>
      <c r="Z7" s="101">
        <v>1</v>
      </c>
      <c r="AA7" s="101">
        <v>1</v>
      </c>
      <c r="AB7" s="104">
        <v>1</v>
      </c>
      <c r="AC7" s="105">
        <v>2</v>
      </c>
      <c r="AD7" s="100">
        <v>0</v>
      </c>
      <c r="AE7" s="101">
        <v>0</v>
      </c>
      <c r="AF7" s="101">
        <v>0</v>
      </c>
      <c r="AG7" s="101">
        <v>0</v>
      </c>
      <c r="AH7" s="104">
        <v>0</v>
      </c>
      <c r="AI7" s="105">
        <v>0</v>
      </c>
      <c r="AJ7" s="119">
        <f t="shared" si="0"/>
        <v>1.2857142857142858</v>
      </c>
      <c r="AK7" s="55">
        <f t="shared" si="1"/>
        <v>0</v>
      </c>
      <c r="AL7" s="55">
        <f t="shared" si="2"/>
        <v>1</v>
      </c>
      <c r="AM7" s="56">
        <f t="shared" si="3"/>
        <v>0</v>
      </c>
      <c r="AN7" s="168"/>
      <c r="AO7" s="168"/>
      <c r="AP7" s="168"/>
      <c r="AQ7" s="168"/>
      <c r="AR7" s="168"/>
      <c r="AS7" s="168"/>
      <c r="AT7" s="168"/>
      <c r="AU7" s="168"/>
      <c r="AV7" s="168"/>
      <c r="AW7" s="168"/>
      <c r="AX7" s="337">
        <f t="shared" si="4"/>
        <v>139</v>
      </c>
      <c r="AY7" s="236">
        <f t="shared" ref="AY7:AY23" si="7">IF(AZ7=0,AY6,AZ7-DATE(YEAR(AZ7)-1,12,31))</f>
        <v>122</v>
      </c>
      <c r="AZ7" s="235">
        <v>39204</v>
      </c>
      <c r="BA7" s="347">
        <v>0.4</v>
      </c>
      <c r="BB7" s="236">
        <f t="shared" si="5"/>
        <v>136</v>
      </c>
      <c r="BC7" s="213">
        <v>38853</v>
      </c>
      <c r="BD7" s="345">
        <v>0</v>
      </c>
      <c r="BE7" s="344">
        <f t="shared" si="6"/>
        <v>130</v>
      </c>
      <c r="BF7" s="213">
        <v>39577</v>
      </c>
      <c r="BG7" s="336">
        <v>0.5714285714285714</v>
      </c>
      <c r="BH7" s="344">
        <v>120</v>
      </c>
      <c r="BI7" s="213">
        <v>39933</v>
      </c>
      <c r="BJ7" s="336">
        <v>0</v>
      </c>
      <c r="BK7" s="344">
        <v>148</v>
      </c>
      <c r="BL7" s="213">
        <v>40326</v>
      </c>
      <c r="BM7" s="336">
        <v>1.7142857142857142</v>
      </c>
      <c r="BN7" s="344">
        <v>138</v>
      </c>
      <c r="BO7" s="213">
        <v>40681</v>
      </c>
      <c r="BP7" s="336">
        <v>1.2857142857142858</v>
      </c>
    </row>
    <row r="8" spans="1:68">
      <c r="A8" s="60" t="s">
        <v>30</v>
      </c>
      <c r="B8" s="123">
        <v>41054</v>
      </c>
      <c r="C8" s="107" t="s">
        <v>73</v>
      </c>
      <c r="D8" s="106">
        <v>2</v>
      </c>
      <c r="E8" s="107">
        <v>2</v>
      </c>
      <c r="F8" s="107">
        <v>3</v>
      </c>
      <c r="G8" s="107">
        <v>2</v>
      </c>
      <c r="H8" s="107">
        <v>2</v>
      </c>
      <c r="I8" s="107">
        <v>4</v>
      </c>
      <c r="J8" s="107">
        <v>4</v>
      </c>
      <c r="K8" s="108"/>
      <c r="L8" s="108"/>
      <c r="M8" s="109"/>
      <c r="N8" s="106">
        <v>0</v>
      </c>
      <c r="O8" s="107">
        <v>0</v>
      </c>
      <c r="P8" s="107">
        <v>1</v>
      </c>
      <c r="Q8" s="107">
        <v>0</v>
      </c>
      <c r="R8" s="107">
        <v>0</v>
      </c>
      <c r="S8" s="107">
        <v>1</v>
      </c>
      <c r="T8" s="107">
        <v>1</v>
      </c>
      <c r="U8" s="108"/>
      <c r="V8" s="108"/>
      <c r="W8" s="109"/>
      <c r="X8" s="106">
        <v>2</v>
      </c>
      <c r="Y8" s="107">
        <v>2</v>
      </c>
      <c r="Z8" s="107">
        <v>2</v>
      </c>
      <c r="AA8" s="107">
        <v>2</v>
      </c>
      <c r="AB8" s="110">
        <v>2</v>
      </c>
      <c r="AC8" s="111">
        <v>2</v>
      </c>
      <c r="AD8" s="106">
        <v>1</v>
      </c>
      <c r="AE8" s="107">
        <v>1</v>
      </c>
      <c r="AF8" s="107">
        <v>1</v>
      </c>
      <c r="AG8" s="107">
        <v>1</v>
      </c>
      <c r="AH8" s="110">
        <v>1</v>
      </c>
      <c r="AI8" s="111">
        <v>2</v>
      </c>
      <c r="AJ8" s="119">
        <f t="shared" si="0"/>
        <v>2.7142857142857144</v>
      </c>
      <c r="AK8" s="55">
        <f t="shared" si="1"/>
        <v>0.42857142857142855</v>
      </c>
      <c r="AL8" s="55">
        <f t="shared" si="2"/>
        <v>2</v>
      </c>
      <c r="AM8" s="56">
        <f t="shared" si="3"/>
        <v>1</v>
      </c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337">
        <f t="shared" si="4"/>
        <v>146</v>
      </c>
      <c r="AY8" s="236">
        <f t="shared" si="7"/>
        <v>124</v>
      </c>
      <c r="AZ8" s="235">
        <v>39206</v>
      </c>
      <c r="BA8" s="347">
        <v>0.2857142857142857</v>
      </c>
      <c r="BB8" s="236">
        <f t="shared" si="5"/>
        <v>138</v>
      </c>
      <c r="BC8" s="213">
        <v>38855</v>
      </c>
      <c r="BD8" s="345">
        <v>0</v>
      </c>
      <c r="BE8" s="344">
        <f t="shared" si="6"/>
        <v>137</v>
      </c>
      <c r="BF8" s="213">
        <v>39584</v>
      </c>
      <c r="BG8" s="336">
        <v>0.7142857142857143</v>
      </c>
      <c r="BH8" s="344">
        <v>128</v>
      </c>
      <c r="BI8" s="213">
        <v>39941</v>
      </c>
      <c r="BJ8" s="336">
        <v>0.7142857142857143</v>
      </c>
      <c r="BK8" s="344">
        <v>155</v>
      </c>
      <c r="BL8" s="213">
        <v>40333</v>
      </c>
      <c r="BM8" s="336">
        <v>2.8571428571428572</v>
      </c>
      <c r="BN8" s="344">
        <v>145</v>
      </c>
      <c r="BO8" s="213">
        <v>40688</v>
      </c>
      <c r="BP8" s="336">
        <v>2.7142857142857144</v>
      </c>
    </row>
    <row r="9" spans="1:68">
      <c r="A9" s="60" t="s">
        <v>30</v>
      </c>
      <c r="B9" s="123">
        <v>41061</v>
      </c>
      <c r="C9" s="107" t="s">
        <v>73</v>
      </c>
      <c r="D9" s="106">
        <v>4</v>
      </c>
      <c r="E9" s="107">
        <v>4</v>
      </c>
      <c r="F9" s="107">
        <v>6</v>
      </c>
      <c r="G9" s="107">
        <v>3</v>
      </c>
      <c r="H9" s="107">
        <v>3</v>
      </c>
      <c r="I9" s="107">
        <v>5</v>
      </c>
      <c r="J9" s="107">
        <v>6</v>
      </c>
      <c r="K9" s="108"/>
      <c r="L9" s="108"/>
      <c r="M9" s="109"/>
      <c r="N9" s="106">
        <v>2</v>
      </c>
      <c r="O9" s="107">
        <v>2</v>
      </c>
      <c r="P9" s="107">
        <v>2</v>
      </c>
      <c r="Q9" s="107">
        <v>1</v>
      </c>
      <c r="R9" s="107">
        <v>1</v>
      </c>
      <c r="S9" s="107">
        <v>2</v>
      </c>
      <c r="T9" s="107">
        <v>2</v>
      </c>
      <c r="U9" s="108"/>
      <c r="V9" s="108"/>
      <c r="W9" s="109"/>
      <c r="X9" s="106">
        <v>3</v>
      </c>
      <c r="Y9" s="107">
        <v>3</v>
      </c>
      <c r="Z9" s="107">
        <v>3</v>
      </c>
      <c r="AA9" s="107">
        <v>3</v>
      </c>
      <c r="AB9" s="110">
        <v>3</v>
      </c>
      <c r="AC9" s="111">
        <v>2</v>
      </c>
      <c r="AD9" s="106">
        <v>1</v>
      </c>
      <c r="AE9" s="107">
        <v>1</v>
      </c>
      <c r="AF9" s="107">
        <v>1</v>
      </c>
      <c r="AG9" s="107">
        <v>1</v>
      </c>
      <c r="AH9" s="110">
        <v>1</v>
      </c>
      <c r="AI9" s="111">
        <v>2</v>
      </c>
      <c r="AJ9" s="119">
        <f t="shared" si="0"/>
        <v>4.4285714285714288</v>
      </c>
      <c r="AK9" s="55">
        <f t="shared" si="1"/>
        <v>1.7142857142857142</v>
      </c>
      <c r="AL9" s="55">
        <f t="shared" si="2"/>
        <v>3</v>
      </c>
      <c r="AM9" s="56">
        <f t="shared" si="3"/>
        <v>1</v>
      </c>
      <c r="AN9" s="168"/>
      <c r="AO9" s="168"/>
      <c r="AP9" s="168"/>
      <c r="AQ9" s="168"/>
      <c r="AR9" s="168"/>
      <c r="AS9" s="168"/>
      <c r="AT9" s="168"/>
      <c r="AU9" s="168"/>
      <c r="AV9" s="168"/>
      <c r="AW9" s="168"/>
      <c r="AX9" s="337">
        <f t="shared" si="4"/>
        <v>153</v>
      </c>
      <c r="AY9" s="236">
        <f t="shared" si="7"/>
        <v>128</v>
      </c>
      <c r="AZ9" s="235">
        <v>39210</v>
      </c>
      <c r="BA9" s="347">
        <v>0.42857142857142855</v>
      </c>
      <c r="BB9" s="236">
        <f t="shared" si="5"/>
        <v>139</v>
      </c>
      <c r="BC9" s="213">
        <v>38856</v>
      </c>
      <c r="BD9" s="345">
        <v>0.14285714285714285</v>
      </c>
      <c r="BE9" s="344">
        <f t="shared" si="6"/>
        <v>144</v>
      </c>
      <c r="BF9" s="213">
        <v>39591</v>
      </c>
      <c r="BG9" s="336">
        <v>1.4285714285714286</v>
      </c>
      <c r="BH9" s="344">
        <v>135</v>
      </c>
      <c r="BI9" s="213">
        <v>39948</v>
      </c>
      <c r="BJ9" s="336">
        <v>1</v>
      </c>
      <c r="BK9" s="344">
        <v>162</v>
      </c>
      <c r="BL9" s="213">
        <v>40340</v>
      </c>
      <c r="BM9" s="336">
        <v>4</v>
      </c>
      <c r="BN9" s="344">
        <v>150</v>
      </c>
      <c r="BO9" s="213">
        <v>40693</v>
      </c>
      <c r="BP9" s="336">
        <v>3.8571428571428572</v>
      </c>
    </row>
    <row r="10" spans="1:68">
      <c r="A10" s="60" t="s">
        <v>30</v>
      </c>
      <c r="B10" s="123">
        <v>41068</v>
      </c>
      <c r="C10" s="107" t="s">
        <v>73</v>
      </c>
      <c r="D10" s="106">
        <v>5</v>
      </c>
      <c r="E10" s="107">
        <v>5</v>
      </c>
      <c r="F10" s="107">
        <v>7</v>
      </c>
      <c r="G10" s="107">
        <v>4</v>
      </c>
      <c r="H10" s="107">
        <v>4</v>
      </c>
      <c r="I10" s="107">
        <v>5</v>
      </c>
      <c r="J10" s="107">
        <v>7</v>
      </c>
      <c r="K10" s="108"/>
      <c r="L10" s="108"/>
      <c r="M10" s="109"/>
      <c r="N10" s="106">
        <v>2</v>
      </c>
      <c r="O10" s="107">
        <v>2</v>
      </c>
      <c r="P10" s="107">
        <v>2</v>
      </c>
      <c r="Q10" s="107">
        <v>2</v>
      </c>
      <c r="R10" s="107">
        <v>2</v>
      </c>
      <c r="S10" s="107">
        <v>2</v>
      </c>
      <c r="T10" s="107">
        <v>2</v>
      </c>
      <c r="U10" s="108"/>
      <c r="V10" s="108"/>
      <c r="W10" s="109"/>
      <c r="X10" s="106">
        <v>3</v>
      </c>
      <c r="Y10" s="107">
        <v>3</v>
      </c>
      <c r="Z10" s="107">
        <v>3</v>
      </c>
      <c r="AA10" s="107">
        <v>3</v>
      </c>
      <c r="AB10" s="110">
        <v>3</v>
      </c>
      <c r="AC10" s="111">
        <v>2</v>
      </c>
      <c r="AD10" s="106">
        <v>1</v>
      </c>
      <c r="AE10" s="107">
        <v>1</v>
      </c>
      <c r="AF10" s="107">
        <v>1</v>
      </c>
      <c r="AG10" s="107">
        <v>1</v>
      </c>
      <c r="AH10" s="110">
        <v>1</v>
      </c>
      <c r="AI10" s="111">
        <v>2</v>
      </c>
      <c r="AJ10" s="119">
        <f t="shared" si="0"/>
        <v>5.2857142857142856</v>
      </c>
      <c r="AK10" s="55">
        <f t="shared" si="1"/>
        <v>2</v>
      </c>
      <c r="AL10" s="55">
        <f t="shared" si="2"/>
        <v>3</v>
      </c>
      <c r="AM10" s="56">
        <f t="shared" si="3"/>
        <v>1</v>
      </c>
      <c r="AN10" s="168"/>
      <c r="AO10" s="168"/>
      <c r="AP10" s="168"/>
      <c r="AQ10" s="168"/>
      <c r="AR10" s="168"/>
      <c r="AS10" s="168"/>
      <c r="AT10" s="168"/>
      <c r="AU10" s="168"/>
      <c r="AV10" s="168"/>
      <c r="AW10" s="168"/>
      <c r="AX10" s="337">
        <f t="shared" si="4"/>
        <v>160</v>
      </c>
      <c r="AY10" s="236">
        <f t="shared" si="7"/>
        <v>131</v>
      </c>
      <c r="AZ10" s="235">
        <v>39213</v>
      </c>
      <c r="BA10" s="347">
        <v>0.5714285714285714</v>
      </c>
      <c r="BB10" s="236">
        <f t="shared" si="5"/>
        <v>142</v>
      </c>
      <c r="BC10" s="213">
        <v>38859</v>
      </c>
      <c r="BD10" s="345">
        <v>0.42857142857142855</v>
      </c>
      <c r="BE10" s="344">
        <f t="shared" si="6"/>
        <v>151</v>
      </c>
      <c r="BF10" s="213">
        <v>39598</v>
      </c>
      <c r="BG10" s="336">
        <v>3.4285714285714284</v>
      </c>
      <c r="BH10" s="344">
        <v>140</v>
      </c>
      <c r="BI10" s="213">
        <v>39953</v>
      </c>
      <c r="BJ10" s="336">
        <v>1.4285714285714286</v>
      </c>
      <c r="BK10" s="344">
        <v>173</v>
      </c>
      <c r="BL10" s="213">
        <v>40351</v>
      </c>
      <c r="BM10" s="336">
        <v>4.4285714285714288</v>
      </c>
      <c r="BN10" s="344">
        <v>158</v>
      </c>
      <c r="BO10" s="213">
        <v>40701</v>
      </c>
      <c r="BP10" s="336">
        <v>5.4285714285714288</v>
      </c>
    </row>
    <row r="11" spans="1:68">
      <c r="A11" s="60" t="s">
        <v>30</v>
      </c>
      <c r="B11" s="123">
        <v>41074</v>
      </c>
      <c r="C11" s="107" t="s">
        <v>74</v>
      </c>
      <c r="D11" s="106">
        <v>6</v>
      </c>
      <c r="E11" s="107">
        <v>6</v>
      </c>
      <c r="F11" s="107">
        <v>7</v>
      </c>
      <c r="G11" s="107">
        <v>5</v>
      </c>
      <c r="H11" s="107">
        <v>5</v>
      </c>
      <c r="I11" s="107">
        <v>5</v>
      </c>
      <c r="J11" s="107">
        <v>7</v>
      </c>
      <c r="K11" s="108"/>
      <c r="L11" s="108"/>
      <c r="M11" s="109"/>
      <c r="N11" s="106">
        <v>2</v>
      </c>
      <c r="O11" s="107">
        <v>2</v>
      </c>
      <c r="P11" s="107">
        <v>2</v>
      </c>
      <c r="Q11" s="107">
        <v>2</v>
      </c>
      <c r="R11" s="107">
        <v>2</v>
      </c>
      <c r="S11" s="107">
        <v>2</v>
      </c>
      <c r="T11" s="107">
        <v>2</v>
      </c>
      <c r="U11" s="108"/>
      <c r="V11" s="108"/>
      <c r="W11" s="109"/>
      <c r="X11" s="106">
        <v>3</v>
      </c>
      <c r="Y11" s="107">
        <v>3</v>
      </c>
      <c r="Z11" s="107">
        <v>3</v>
      </c>
      <c r="AA11" s="107">
        <v>3</v>
      </c>
      <c r="AB11" s="110">
        <v>3</v>
      </c>
      <c r="AC11" s="111">
        <v>2</v>
      </c>
      <c r="AD11" s="106">
        <v>1</v>
      </c>
      <c r="AE11" s="107">
        <v>1</v>
      </c>
      <c r="AF11" s="107">
        <v>1</v>
      </c>
      <c r="AG11" s="107">
        <v>1</v>
      </c>
      <c r="AH11" s="110">
        <v>1</v>
      </c>
      <c r="AI11" s="111">
        <v>2</v>
      </c>
      <c r="AJ11" s="119">
        <f t="shared" si="0"/>
        <v>5.8571428571428568</v>
      </c>
      <c r="AK11" s="55">
        <f t="shared" si="1"/>
        <v>2</v>
      </c>
      <c r="AL11" s="55">
        <f t="shared" si="2"/>
        <v>3</v>
      </c>
      <c r="AM11" s="56">
        <f t="shared" si="3"/>
        <v>1</v>
      </c>
      <c r="AN11" s="168"/>
      <c r="AO11" s="168"/>
      <c r="AP11" s="168"/>
      <c r="AQ11" s="168"/>
      <c r="AR11" s="168"/>
      <c r="AS11" s="168"/>
      <c r="AT11" s="168"/>
      <c r="AU11" s="168"/>
      <c r="AV11" s="168"/>
      <c r="AW11" s="168"/>
      <c r="AX11" s="337">
        <f t="shared" si="4"/>
        <v>166</v>
      </c>
      <c r="AY11" s="236">
        <f t="shared" si="7"/>
        <v>135</v>
      </c>
      <c r="AZ11" s="235">
        <v>39217</v>
      </c>
      <c r="BA11" s="347">
        <v>1.2857142857142858</v>
      </c>
      <c r="BB11" s="236">
        <f t="shared" si="5"/>
        <v>144</v>
      </c>
      <c r="BC11" s="213">
        <v>38861</v>
      </c>
      <c r="BD11" s="345">
        <v>0.42857142857142855</v>
      </c>
      <c r="BE11" s="344">
        <f t="shared" si="6"/>
        <v>157</v>
      </c>
      <c r="BF11" s="213">
        <v>39604</v>
      </c>
      <c r="BG11" s="336">
        <v>4.4285714285714288</v>
      </c>
      <c r="BH11" s="344">
        <v>149</v>
      </c>
      <c r="BI11" s="213">
        <v>39962</v>
      </c>
      <c r="BJ11" s="336">
        <v>2.8571428571428572</v>
      </c>
      <c r="BK11" s="344">
        <v>183</v>
      </c>
      <c r="BL11" s="213">
        <v>40361</v>
      </c>
      <c r="BM11" s="336">
        <v>5.7142857142857144</v>
      </c>
      <c r="BN11" s="344">
        <v>167</v>
      </c>
      <c r="BO11" s="213">
        <v>40710</v>
      </c>
      <c r="BP11" s="336">
        <v>6.8571428571428568</v>
      </c>
    </row>
    <row r="12" spans="1:68">
      <c r="A12" s="60" t="s">
        <v>30</v>
      </c>
      <c r="B12" s="123">
        <v>41079</v>
      </c>
      <c r="C12" s="107" t="s">
        <v>73</v>
      </c>
      <c r="D12" s="106">
        <v>7</v>
      </c>
      <c r="E12" s="107">
        <v>7</v>
      </c>
      <c r="F12" s="107">
        <v>7</v>
      </c>
      <c r="G12" s="107">
        <v>7</v>
      </c>
      <c r="H12" s="107">
        <v>7</v>
      </c>
      <c r="I12" s="107">
        <v>7</v>
      </c>
      <c r="J12" s="107">
        <v>8</v>
      </c>
      <c r="K12" s="108"/>
      <c r="L12" s="108"/>
      <c r="M12" s="109"/>
      <c r="N12" s="106">
        <v>2</v>
      </c>
      <c r="O12" s="107">
        <v>2</v>
      </c>
      <c r="P12" s="107">
        <v>2</v>
      </c>
      <c r="Q12" s="107">
        <v>2</v>
      </c>
      <c r="R12" s="107">
        <v>2</v>
      </c>
      <c r="S12" s="107">
        <v>2</v>
      </c>
      <c r="T12" s="107">
        <v>3</v>
      </c>
      <c r="U12" s="108"/>
      <c r="V12" s="108"/>
      <c r="W12" s="109"/>
      <c r="X12" s="106">
        <v>3</v>
      </c>
      <c r="Y12" s="107">
        <v>3</v>
      </c>
      <c r="Z12" s="107">
        <v>3</v>
      </c>
      <c r="AA12" s="107">
        <v>3</v>
      </c>
      <c r="AB12" s="110">
        <v>3</v>
      </c>
      <c r="AC12" s="111">
        <v>2</v>
      </c>
      <c r="AD12" s="106">
        <v>1</v>
      </c>
      <c r="AE12" s="107">
        <v>1</v>
      </c>
      <c r="AF12" s="107">
        <v>1</v>
      </c>
      <c r="AG12" s="107">
        <v>1</v>
      </c>
      <c r="AH12" s="110">
        <v>1</v>
      </c>
      <c r="AI12" s="111">
        <v>2</v>
      </c>
      <c r="AJ12" s="119">
        <f t="shared" si="0"/>
        <v>7.1428571428571432</v>
      </c>
      <c r="AK12" s="55">
        <f t="shared" si="1"/>
        <v>2.1428571428571428</v>
      </c>
      <c r="AL12" s="55">
        <f t="shared" si="2"/>
        <v>3</v>
      </c>
      <c r="AM12" s="56">
        <f t="shared" si="3"/>
        <v>1</v>
      </c>
      <c r="AN12" s="168"/>
      <c r="AO12" s="168"/>
      <c r="AP12" s="168"/>
      <c r="AQ12" s="168"/>
      <c r="AR12" s="168"/>
      <c r="AS12" s="168"/>
      <c r="AT12" s="168"/>
      <c r="AU12" s="168"/>
      <c r="AV12" s="168"/>
      <c r="AW12" s="168"/>
      <c r="AX12" s="337">
        <f t="shared" si="4"/>
        <v>171</v>
      </c>
      <c r="AY12" s="236">
        <f t="shared" si="7"/>
        <v>138</v>
      </c>
      <c r="AZ12" s="235">
        <v>39220</v>
      </c>
      <c r="BA12" s="347">
        <v>1.2857142857142858</v>
      </c>
      <c r="BB12" s="236">
        <f t="shared" si="5"/>
        <v>146</v>
      </c>
      <c r="BC12" s="213">
        <v>38863</v>
      </c>
      <c r="BD12" s="345">
        <v>0.42857142857142855</v>
      </c>
      <c r="BE12" s="344">
        <f t="shared" si="6"/>
        <v>165</v>
      </c>
      <c r="BF12" s="213">
        <v>39612</v>
      </c>
      <c r="BG12" s="336">
        <v>5.1428571428571432</v>
      </c>
      <c r="BH12" s="344">
        <v>155</v>
      </c>
      <c r="BI12" s="213">
        <v>39968</v>
      </c>
      <c r="BJ12" s="336">
        <v>3.5714285714285716</v>
      </c>
      <c r="BK12" s="344">
        <v>190</v>
      </c>
      <c r="BL12" s="213">
        <v>40368</v>
      </c>
      <c r="BM12" s="336">
        <v>6.2857142857142856</v>
      </c>
      <c r="BN12" s="344">
        <v>174</v>
      </c>
      <c r="BO12" s="213">
        <v>40717</v>
      </c>
      <c r="BP12" s="336">
        <v>7.7142857142857144</v>
      </c>
    </row>
    <row r="13" spans="1:68">
      <c r="A13" s="60" t="s">
        <v>30</v>
      </c>
      <c r="B13" s="123">
        <v>41088</v>
      </c>
      <c r="C13" s="107" t="s">
        <v>84</v>
      </c>
      <c r="D13" s="106">
        <v>8</v>
      </c>
      <c r="E13" s="107">
        <v>8</v>
      </c>
      <c r="F13" s="107">
        <v>8</v>
      </c>
      <c r="G13" s="107">
        <v>8</v>
      </c>
      <c r="H13" s="107">
        <v>8</v>
      </c>
      <c r="I13" s="107">
        <v>8</v>
      </c>
      <c r="J13" s="107">
        <v>8</v>
      </c>
      <c r="K13" s="108"/>
      <c r="L13" s="108"/>
      <c r="M13" s="109"/>
      <c r="N13" s="106">
        <v>3</v>
      </c>
      <c r="O13" s="107">
        <v>3</v>
      </c>
      <c r="P13" s="107">
        <v>3</v>
      </c>
      <c r="Q13" s="107">
        <v>3</v>
      </c>
      <c r="R13" s="237">
        <v>3</v>
      </c>
      <c r="S13" s="107">
        <v>3</v>
      </c>
      <c r="T13" s="107">
        <v>3</v>
      </c>
      <c r="U13" s="108"/>
      <c r="V13" s="108"/>
      <c r="W13" s="109"/>
      <c r="X13" s="106"/>
      <c r="Y13" s="107"/>
      <c r="Z13" s="107"/>
      <c r="AA13" s="107"/>
      <c r="AB13" s="110"/>
      <c r="AC13" s="111"/>
      <c r="AD13" s="106"/>
      <c r="AE13" s="107"/>
      <c r="AF13" s="107"/>
      <c r="AG13" s="107"/>
      <c r="AH13" s="110"/>
      <c r="AI13" s="111"/>
      <c r="AJ13" s="119">
        <f t="shared" si="0"/>
        <v>8</v>
      </c>
      <c r="AK13" s="55">
        <f t="shared" si="1"/>
        <v>3</v>
      </c>
      <c r="AL13" s="55" t="str">
        <f t="shared" si="2"/>
        <v/>
      </c>
      <c r="AM13" s="56" t="str">
        <f t="shared" si="3"/>
        <v/>
      </c>
      <c r="AN13" s="168"/>
      <c r="AO13" s="168"/>
      <c r="AP13" s="168"/>
      <c r="AQ13" s="168"/>
      <c r="AR13" s="168"/>
      <c r="AS13" s="168"/>
      <c r="AT13" s="168"/>
      <c r="AU13" s="168"/>
      <c r="AV13" s="168"/>
      <c r="AW13" s="168"/>
      <c r="AX13" s="337">
        <f t="shared" si="4"/>
        <v>180</v>
      </c>
      <c r="AY13" s="236">
        <f t="shared" si="7"/>
        <v>142</v>
      </c>
      <c r="AZ13" s="235">
        <v>39224</v>
      </c>
      <c r="BA13" s="347">
        <v>1.2857142857142858</v>
      </c>
      <c r="BB13" s="236">
        <f t="shared" si="5"/>
        <v>149</v>
      </c>
      <c r="BC13" s="213">
        <v>38866</v>
      </c>
      <c r="BD13" s="345">
        <v>0.42857142857142855</v>
      </c>
      <c r="BE13" s="344">
        <f t="shared" si="6"/>
        <v>171</v>
      </c>
      <c r="BF13" s="213">
        <v>39618</v>
      </c>
      <c r="BG13" s="336">
        <v>6.1428571428571432</v>
      </c>
      <c r="BH13" s="344">
        <v>163</v>
      </c>
      <c r="BI13" s="213">
        <v>39976</v>
      </c>
      <c r="BJ13" s="336">
        <v>5.1428571428571432</v>
      </c>
      <c r="BK13" s="344">
        <v>197</v>
      </c>
      <c r="BL13" s="213">
        <v>40375</v>
      </c>
      <c r="BM13" s="336">
        <v>7.4285714285714288</v>
      </c>
      <c r="BN13" s="344">
        <v>182</v>
      </c>
      <c r="BO13" s="213">
        <v>40725</v>
      </c>
      <c r="BP13" s="336">
        <v>8</v>
      </c>
    </row>
    <row r="14" spans="1:68">
      <c r="A14" s="60" t="s">
        <v>30</v>
      </c>
      <c r="B14" s="123"/>
      <c r="C14" s="107"/>
      <c r="D14" s="106"/>
      <c r="E14" s="107"/>
      <c r="F14" s="107"/>
      <c r="G14" s="107"/>
      <c r="H14" s="107"/>
      <c r="I14" s="107"/>
      <c r="J14" s="107"/>
      <c r="K14" s="108"/>
      <c r="L14" s="108"/>
      <c r="M14" s="109"/>
      <c r="N14" s="106"/>
      <c r="O14" s="107"/>
      <c r="P14" s="107"/>
      <c r="Q14" s="107"/>
      <c r="R14" s="107"/>
      <c r="S14" s="107"/>
      <c r="T14" s="107"/>
      <c r="U14" s="108"/>
      <c r="V14" s="108"/>
      <c r="W14" s="109"/>
      <c r="X14" s="106"/>
      <c r="Y14" s="107"/>
      <c r="Z14" s="107"/>
      <c r="AA14" s="107"/>
      <c r="AB14" s="110"/>
      <c r="AC14" s="111"/>
      <c r="AD14" s="106"/>
      <c r="AE14" s="107"/>
      <c r="AF14" s="107"/>
      <c r="AG14" s="107"/>
      <c r="AH14" s="110"/>
      <c r="AI14" s="111"/>
      <c r="AJ14" s="119">
        <f t="shared" si="0"/>
        <v>8</v>
      </c>
      <c r="AK14" s="55" t="str">
        <f t="shared" si="1"/>
        <v/>
      </c>
      <c r="AL14" s="55" t="str">
        <f t="shared" si="2"/>
        <v/>
      </c>
      <c r="AM14" s="56" t="str">
        <f t="shared" si="3"/>
        <v/>
      </c>
      <c r="AN14" s="168"/>
      <c r="AO14" s="168"/>
      <c r="AP14" s="168"/>
      <c r="AQ14" s="168"/>
      <c r="AR14" s="168"/>
      <c r="AS14" s="168"/>
      <c r="AT14" s="168"/>
      <c r="AU14" s="168"/>
      <c r="AV14" s="168"/>
      <c r="AW14" s="168"/>
      <c r="AX14" s="337">
        <f t="shared" si="4"/>
        <v>180</v>
      </c>
      <c r="AY14" s="236">
        <f t="shared" si="7"/>
        <v>145</v>
      </c>
      <c r="AZ14" s="235">
        <v>39227</v>
      </c>
      <c r="BA14" s="347">
        <v>1.7142857142857142</v>
      </c>
      <c r="BB14" s="236">
        <f t="shared" si="5"/>
        <v>151</v>
      </c>
      <c r="BC14" s="213">
        <v>38868</v>
      </c>
      <c r="BD14" s="345">
        <v>0.5714285714285714</v>
      </c>
      <c r="BE14" s="344">
        <f t="shared" si="6"/>
        <v>179</v>
      </c>
      <c r="BF14" s="213">
        <v>39626</v>
      </c>
      <c r="BG14" s="336">
        <v>7.1428571428571432</v>
      </c>
      <c r="BH14" s="344">
        <v>169</v>
      </c>
      <c r="BI14" s="213">
        <v>39982</v>
      </c>
      <c r="BJ14" s="336">
        <v>5.7142857142857144</v>
      </c>
      <c r="BK14" s="344"/>
      <c r="BL14" s="213"/>
      <c r="BM14" s="336"/>
      <c r="BN14" s="344"/>
      <c r="BO14" s="213"/>
      <c r="BP14" s="336"/>
    </row>
    <row r="15" spans="1:68">
      <c r="A15" s="60" t="s">
        <v>30</v>
      </c>
      <c r="B15" s="123"/>
      <c r="C15" s="107"/>
      <c r="D15" s="106"/>
      <c r="E15" s="107"/>
      <c r="F15" s="107"/>
      <c r="G15" s="107"/>
      <c r="H15" s="107"/>
      <c r="I15" s="107"/>
      <c r="J15" s="107"/>
      <c r="K15" s="108"/>
      <c r="L15" s="108"/>
      <c r="M15" s="109"/>
      <c r="N15" s="106"/>
      <c r="O15" s="107"/>
      <c r="P15" s="107"/>
      <c r="Q15" s="107"/>
      <c r="R15" s="107"/>
      <c r="S15" s="107"/>
      <c r="T15" s="107"/>
      <c r="U15" s="108"/>
      <c r="V15" s="108"/>
      <c r="W15" s="109"/>
      <c r="X15" s="106"/>
      <c r="Y15" s="107"/>
      <c r="Z15" s="107"/>
      <c r="AA15" s="107"/>
      <c r="AB15" s="110"/>
      <c r="AC15" s="111"/>
      <c r="AD15" s="106"/>
      <c r="AE15" s="107"/>
      <c r="AF15" s="107"/>
      <c r="AG15" s="107"/>
      <c r="AH15" s="110"/>
      <c r="AI15" s="111"/>
      <c r="AJ15" s="119">
        <f t="shared" si="0"/>
        <v>8</v>
      </c>
      <c r="AK15" s="55" t="str">
        <f t="shared" si="1"/>
        <v/>
      </c>
      <c r="AL15" s="55" t="str">
        <f t="shared" si="2"/>
        <v/>
      </c>
      <c r="AM15" s="56" t="str">
        <f t="shared" si="3"/>
        <v/>
      </c>
      <c r="AN15" s="168"/>
      <c r="AO15" s="168"/>
      <c r="AP15" s="168"/>
      <c r="AQ15" s="168"/>
      <c r="AR15" s="168"/>
      <c r="AS15" s="168"/>
      <c r="AT15" s="168"/>
      <c r="AU15" s="168"/>
      <c r="AV15" s="168"/>
      <c r="AW15" s="168"/>
      <c r="AX15" s="337">
        <f t="shared" si="4"/>
        <v>180</v>
      </c>
      <c r="AY15" s="236">
        <f t="shared" si="7"/>
        <v>151</v>
      </c>
      <c r="AZ15" s="235">
        <v>39233</v>
      </c>
      <c r="BA15" s="347">
        <v>3</v>
      </c>
      <c r="BB15" s="236">
        <f t="shared" si="5"/>
        <v>153</v>
      </c>
      <c r="BC15" s="213">
        <v>38870</v>
      </c>
      <c r="BD15" s="345">
        <v>0.7142857142857143</v>
      </c>
      <c r="BE15" s="344">
        <f t="shared" si="6"/>
        <v>189</v>
      </c>
      <c r="BF15" s="213">
        <v>39636</v>
      </c>
      <c r="BG15" s="336">
        <v>7.2857142857142856</v>
      </c>
      <c r="BH15" s="344">
        <v>176</v>
      </c>
      <c r="BI15" s="213">
        <v>39989</v>
      </c>
      <c r="BJ15" s="336">
        <v>6.4285714285714288</v>
      </c>
      <c r="BK15" s="344"/>
      <c r="BL15" s="213"/>
      <c r="BM15" s="336"/>
      <c r="BN15" s="344"/>
      <c r="BO15" s="213"/>
      <c r="BP15" s="336"/>
    </row>
    <row r="16" spans="1:68">
      <c r="A16" s="60" t="s">
        <v>30</v>
      </c>
      <c r="B16" s="123"/>
      <c r="C16" s="107"/>
      <c r="D16" s="106"/>
      <c r="E16" s="107"/>
      <c r="F16" s="107"/>
      <c r="G16" s="107"/>
      <c r="H16" s="107"/>
      <c r="I16" s="107"/>
      <c r="J16" s="107"/>
      <c r="K16" s="108"/>
      <c r="L16" s="108"/>
      <c r="M16" s="109"/>
      <c r="N16" s="106"/>
      <c r="O16" s="107"/>
      <c r="P16" s="107"/>
      <c r="Q16" s="107"/>
      <c r="R16" s="107"/>
      <c r="S16" s="107"/>
      <c r="T16" s="107"/>
      <c r="U16" s="108"/>
      <c r="V16" s="108"/>
      <c r="W16" s="109"/>
      <c r="X16" s="106"/>
      <c r="Y16" s="107"/>
      <c r="Z16" s="107"/>
      <c r="AA16" s="107"/>
      <c r="AB16" s="110"/>
      <c r="AC16" s="111"/>
      <c r="AD16" s="106"/>
      <c r="AE16" s="107"/>
      <c r="AF16" s="107"/>
      <c r="AG16" s="107"/>
      <c r="AH16" s="110"/>
      <c r="AI16" s="111"/>
      <c r="AJ16" s="119">
        <f t="shared" si="0"/>
        <v>8</v>
      </c>
      <c r="AK16" s="55" t="str">
        <f t="shared" si="1"/>
        <v/>
      </c>
      <c r="AL16" s="55" t="str">
        <f t="shared" si="2"/>
        <v/>
      </c>
      <c r="AM16" s="56" t="str">
        <f t="shared" si="3"/>
        <v/>
      </c>
      <c r="AN16" s="168"/>
      <c r="AO16" s="168"/>
      <c r="AP16" s="168"/>
      <c r="AQ16" s="168"/>
      <c r="AR16" s="168"/>
      <c r="AS16" s="168"/>
      <c r="AT16" s="168"/>
      <c r="AU16" s="168"/>
      <c r="AV16" s="168"/>
      <c r="AW16" s="168"/>
      <c r="AX16" s="337">
        <f t="shared" si="4"/>
        <v>180</v>
      </c>
      <c r="AY16" s="236">
        <f t="shared" si="7"/>
        <v>152</v>
      </c>
      <c r="AZ16" s="235">
        <v>39234</v>
      </c>
      <c r="BA16" s="347">
        <v>3.5714285714285716</v>
      </c>
      <c r="BB16" s="236">
        <f t="shared" si="5"/>
        <v>156</v>
      </c>
      <c r="BC16" s="213">
        <v>38873</v>
      </c>
      <c r="BD16" s="345">
        <v>0.8571428571428571</v>
      </c>
      <c r="BE16" s="344">
        <f t="shared" si="6"/>
        <v>193</v>
      </c>
      <c r="BF16" s="213">
        <v>39640</v>
      </c>
      <c r="BG16" s="336">
        <v>7.8571428571428568</v>
      </c>
      <c r="BH16" s="344">
        <v>182</v>
      </c>
      <c r="BI16" s="213">
        <v>39995</v>
      </c>
      <c r="BJ16" s="336">
        <v>7.2857142857142856</v>
      </c>
      <c r="BK16" s="344"/>
      <c r="BL16" s="213"/>
      <c r="BM16" s="336"/>
      <c r="BN16" s="344"/>
      <c r="BO16" s="213"/>
      <c r="BP16" s="336"/>
    </row>
    <row r="17" spans="1:68">
      <c r="A17" s="60" t="s">
        <v>30</v>
      </c>
      <c r="B17" s="123"/>
      <c r="C17" s="107"/>
      <c r="D17" s="106"/>
      <c r="E17" s="107"/>
      <c r="F17" s="107"/>
      <c r="G17" s="107"/>
      <c r="H17" s="107"/>
      <c r="I17" s="107"/>
      <c r="J17" s="107"/>
      <c r="K17" s="108"/>
      <c r="L17" s="108"/>
      <c r="M17" s="109"/>
      <c r="N17" s="106"/>
      <c r="O17" s="107"/>
      <c r="P17" s="107"/>
      <c r="Q17" s="107"/>
      <c r="R17" s="107"/>
      <c r="S17" s="107"/>
      <c r="T17" s="107"/>
      <c r="U17" s="108"/>
      <c r="V17" s="108"/>
      <c r="W17" s="109"/>
      <c r="X17" s="106"/>
      <c r="Y17" s="107"/>
      <c r="Z17" s="107"/>
      <c r="AA17" s="107"/>
      <c r="AB17" s="110"/>
      <c r="AC17" s="111"/>
      <c r="AD17" s="106"/>
      <c r="AE17" s="107"/>
      <c r="AF17" s="107"/>
      <c r="AG17" s="107"/>
      <c r="AH17" s="110"/>
      <c r="AI17" s="111"/>
      <c r="AJ17" s="119">
        <f t="shared" si="0"/>
        <v>8</v>
      </c>
      <c r="AK17" s="55" t="str">
        <f>IF(COUNT(N17:W17)=0,"",AVERAGE(N17:W17))</f>
        <v/>
      </c>
      <c r="AL17" s="55" t="str">
        <f>IF(COUNT(X17:AB17)=0,"",AVERAGE(X17:AB17))</f>
        <v/>
      </c>
      <c r="AM17" s="56" t="str">
        <f>IF(COUNT(AD17:AH17)=0,"",AVERAGE(AD17:AH17))</f>
        <v/>
      </c>
      <c r="AN17" s="168"/>
      <c r="AO17" s="168"/>
      <c r="AP17" s="168"/>
      <c r="AQ17" s="168"/>
      <c r="AR17" s="168"/>
      <c r="AS17" s="168"/>
      <c r="AT17" s="168"/>
      <c r="AU17" s="168"/>
      <c r="AV17" s="168"/>
      <c r="AW17" s="168"/>
      <c r="AX17" s="337">
        <f t="shared" si="4"/>
        <v>180</v>
      </c>
      <c r="AY17" s="236">
        <f t="shared" si="7"/>
        <v>156</v>
      </c>
      <c r="AZ17" s="235">
        <v>39238</v>
      </c>
      <c r="BA17" s="347">
        <v>3.7142857142857144</v>
      </c>
      <c r="BB17" s="236">
        <f t="shared" si="5"/>
        <v>158</v>
      </c>
      <c r="BC17" s="213">
        <v>38875</v>
      </c>
      <c r="BD17" s="345">
        <v>0.8571428571428571</v>
      </c>
      <c r="BE17" s="344">
        <f t="shared" si="6"/>
        <v>200</v>
      </c>
      <c r="BF17" s="213">
        <v>39647</v>
      </c>
      <c r="BG17" s="336">
        <v>8</v>
      </c>
      <c r="BH17" s="344">
        <v>191</v>
      </c>
      <c r="BI17" s="213">
        <v>40004</v>
      </c>
      <c r="BJ17" s="336">
        <v>8</v>
      </c>
      <c r="BK17" s="344"/>
      <c r="BL17" s="213"/>
      <c r="BM17" s="336"/>
      <c r="BN17" s="344"/>
      <c r="BO17" s="213"/>
      <c r="BP17" s="336"/>
    </row>
    <row r="18" spans="1:68">
      <c r="A18" s="60" t="s">
        <v>30</v>
      </c>
      <c r="B18" s="123"/>
      <c r="C18" s="107"/>
      <c r="D18" s="106"/>
      <c r="E18" s="107"/>
      <c r="F18" s="107"/>
      <c r="G18" s="107"/>
      <c r="H18" s="107"/>
      <c r="I18" s="107"/>
      <c r="J18" s="107"/>
      <c r="K18" s="108"/>
      <c r="L18" s="108"/>
      <c r="M18" s="109"/>
      <c r="N18" s="106"/>
      <c r="O18" s="107"/>
      <c r="P18" s="107"/>
      <c r="Q18" s="107"/>
      <c r="R18" s="107"/>
      <c r="S18" s="107"/>
      <c r="T18" s="107"/>
      <c r="U18" s="108"/>
      <c r="V18" s="108"/>
      <c r="W18" s="109"/>
      <c r="X18" s="106"/>
      <c r="Y18" s="107"/>
      <c r="Z18" s="107"/>
      <c r="AA18" s="107"/>
      <c r="AB18" s="110"/>
      <c r="AC18" s="111"/>
      <c r="AD18" s="106"/>
      <c r="AE18" s="107"/>
      <c r="AF18" s="107"/>
      <c r="AG18" s="107"/>
      <c r="AH18" s="110"/>
      <c r="AI18" s="111"/>
      <c r="AJ18" s="119">
        <f>IF(COUNT(D18:M18)=0,AJ17,AVERAGE(D18:M18))</f>
        <v>8</v>
      </c>
      <c r="AK18" s="55" t="str">
        <f>IF(COUNT(N18:W18)=0,"",AVERAGE(N18:W18))</f>
        <v/>
      </c>
      <c r="AL18" s="55" t="str">
        <f>IF(COUNT(X18:AB18)=0,"",AVERAGE(X18:AB18))</f>
        <v/>
      </c>
      <c r="AM18" s="56" t="str">
        <f>IF(COUNT(AD18:AH18)=0,"",AVERAGE(AD18:AH18))</f>
        <v/>
      </c>
      <c r="AN18" s="168"/>
      <c r="AO18" s="168"/>
      <c r="AP18" s="168"/>
      <c r="AQ18" s="168"/>
      <c r="AR18" s="168"/>
      <c r="AS18" s="168"/>
      <c r="AT18" s="168"/>
      <c r="AU18" s="168"/>
      <c r="AV18" s="168"/>
      <c r="AW18" s="168"/>
      <c r="AX18" s="337">
        <f t="shared" si="4"/>
        <v>180</v>
      </c>
      <c r="AY18" s="236">
        <f t="shared" si="7"/>
        <v>158</v>
      </c>
      <c r="AZ18" s="235">
        <v>39240</v>
      </c>
      <c r="BA18" s="347">
        <v>4.1428571428571432</v>
      </c>
      <c r="BB18" s="236">
        <f t="shared" si="5"/>
        <v>160</v>
      </c>
      <c r="BC18" s="213">
        <v>38877</v>
      </c>
      <c r="BD18" s="345">
        <v>1.7142857142857142</v>
      </c>
      <c r="BE18" s="344"/>
      <c r="BF18" s="213"/>
      <c r="BG18" s="336"/>
      <c r="BH18" s="344">
        <v>198</v>
      </c>
      <c r="BI18" s="213">
        <v>40011</v>
      </c>
      <c r="BJ18" s="336">
        <v>8</v>
      </c>
      <c r="BK18" s="344"/>
      <c r="BL18" s="213"/>
      <c r="BM18" s="336"/>
      <c r="BN18" s="344"/>
      <c r="BO18" s="213"/>
      <c r="BP18" s="336"/>
    </row>
    <row r="19" spans="1:68">
      <c r="A19" s="60" t="s">
        <v>30</v>
      </c>
      <c r="B19" s="123"/>
      <c r="C19" s="107"/>
      <c r="D19" s="106"/>
      <c r="E19" s="107"/>
      <c r="F19" s="107"/>
      <c r="G19" s="107"/>
      <c r="H19" s="107"/>
      <c r="I19" s="107"/>
      <c r="J19" s="107"/>
      <c r="K19" s="108"/>
      <c r="L19" s="108"/>
      <c r="M19" s="109"/>
      <c r="N19" s="106"/>
      <c r="O19" s="107"/>
      <c r="P19" s="107"/>
      <c r="Q19" s="107"/>
      <c r="R19" s="107"/>
      <c r="S19" s="107"/>
      <c r="T19" s="107"/>
      <c r="U19" s="108"/>
      <c r="V19" s="108"/>
      <c r="W19" s="109"/>
      <c r="X19" s="106"/>
      <c r="Y19" s="107"/>
      <c r="Z19" s="107"/>
      <c r="AA19" s="107"/>
      <c r="AB19" s="110"/>
      <c r="AC19" s="111"/>
      <c r="AD19" s="106"/>
      <c r="AE19" s="107"/>
      <c r="AF19" s="107"/>
      <c r="AG19" s="107"/>
      <c r="AH19" s="110"/>
      <c r="AI19" s="111"/>
      <c r="AJ19" s="119"/>
      <c r="AK19" s="55"/>
      <c r="AL19" s="55"/>
      <c r="AM19" s="56"/>
      <c r="AN19" s="168"/>
      <c r="AO19" s="168"/>
      <c r="AP19" s="168"/>
      <c r="AQ19" s="168"/>
      <c r="AR19" s="168"/>
      <c r="AS19" s="168"/>
      <c r="AT19" s="168"/>
      <c r="AU19" s="168"/>
      <c r="AV19" s="168"/>
      <c r="AW19" s="168"/>
      <c r="AX19" s="337">
        <f t="shared" si="4"/>
        <v>180</v>
      </c>
      <c r="AY19" s="236">
        <f t="shared" si="7"/>
        <v>166</v>
      </c>
      <c r="AZ19" s="235">
        <v>39248</v>
      </c>
      <c r="BA19" s="347">
        <v>5</v>
      </c>
      <c r="BB19" s="236">
        <f t="shared" si="5"/>
        <v>163</v>
      </c>
      <c r="BC19" s="213">
        <v>38880</v>
      </c>
      <c r="BD19" s="345">
        <v>3</v>
      </c>
      <c r="BE19" s="344"/>
      <c r="BF19" s="213"/>
      <c r="BG19" s="336"/>
      <c r="BH19" s="344"/>
      <c r="BI19" s="213"/>
      <c r="BJ19" s="336"/>
      <c r="BK19" s="344"/>
      <c r="BL19" s="213"/>
      <c r="BM19" s="336"/>
      <c r="BN19" s="344"/>
      <c r="BO19" s="213"/>
      <c r="BP19" s="336"/>
    </row>
    <row r="20" spans="1:68">
      <c r="A20" s="60" t="s">
        <v>30</v>
      </c>
      <c r="B20" s="123"/>
      <c r="C20" s="107"/>
      <c r="D20" s="106"/>
      <c r="E20" s="107"/>
      <c r="F20" s="107"/>
      <c r="G20" s="107"/>
      <c r="H20" s="107"/>
      <c r="I20" s="107"/>
      <c r="J20" s="107"/>
      <c r="K20" s="108"/>
      <c r="L20" s="108"/>
      <c r="M20" s="109"/>
      <c r="N20" s="106"/>
      <c r="O20" s="107"/>
      <c r="P20" s="107"/>
      <c r="Q20" s="107"/>
      <c r="R20" s="107"/>
      <c r="S20" s="107"/>
      <c r="T20" s="107"/>
      <c r="U20" s="108"/>
      <c r="V20" s="108"/>
      <c r="W20" s="109"/>
      <c r="X20" s="106"/>
      <c r="Y20" s="107"/>
      <c r="Z20" s="107"/>
      <c r="AA20" s="107"/>
      <c r="AB20" s="110"/>
      <c r="AC20" s="111"/>
      <c r="AD20" s="106"/>
      <c r="AE20" s="107"/>
      <c r="AF20" s="107"/>
      <c r="AG20" s="107"/>
      <c r="AH20" s="110"/>
      <c r="AI20" s="111"/>
      <c r="AJ20" s="119"/>
      <c r="AK20" s="55" t="str">
        <f t="shared" si="1"/>
        <v/>
      </c>
      <c r="AL20" s="55"/>
      <c r="AM20" s="56"/>
      <c r="AN20" s="168"/>
      <c r="AO20" s="168"/>
      <c r="AP20" s="168"/>
      <c r="AQ20" s="168"/>
      <c r="AR20" s="168"/>
      <c r="AS20" s="168"/>
      <c r="AT20" s="168"/>
      <c r="AU20" s="168"/>
      <c r="AV20" s="168"/>
      <c r="AW20" s="168"/>
      <c r="AX20" s="337">
        <f t="shared" si="4"/>
        <v>180</v>
      </c>
      <c r="AY20" s="236">
        <f t="shared" si="7"/>
        <v>171</v>
      </c>
      <c r="AZ20" s="235">
        <v>39253</v>
      </c>
      <c r="BA20" s="347">
        <v>5.7142857142857144</v>
      </c>
      <c r="BB20" s="236">
        <f t="shared" si="5"/>
        <v>166</v>
      </c>
      <c r="BC20" s="213">
        <v>38883</v>
      </c>
      <c r="BD20" s="345">
        <v>3.8571428571428572</v>
      </c>
      <c r="BE20" s="326"/>
      <c r="BF20" s="182"/>
      <c r="BG20" s="134"/>
      <c r="BH20" s="326"/>
      <c r="BI20" s="182"/>
      <c r="BJ20" s="134"/>
      <c r="BK20" s="326"/>
      <c r="BL20" s="213"/>
      <c r="BM20" s="336"/>
      <c r="BN20" s="326"/>
      <c r="BO20" s="213"/>
      <c r="BP20" s="336"/>
    </row>
    <row r="21" spans="1:68">
      <c r="A21" s="60" t="s">
        <v>30</v>
      </c>
      <c r="B21" s="123"/>
      <c r="C21" s="107"/>
      <c r="D21" s="106"/>
      <c r="E21" s="107"/>
      <c r="F21" s="107"/>
      <c r="G21" s="107"/>
      <c r="H21" s="107"/>
      <c r="I21" s="107"/>
      <c r="J21" s="107"/>
      <c r="K21" s="108"/>
      <c r="L21" s="108"/>
      <c r="M21" s="109"/>
      <c r="N21" s="106"/>
      <c r="O21" s="107"/>
      <c r="P21" s="107"/>
      <c r="Q21" s="107"/>
      <c r="R21" s="107"/>
      <c r="S21" s="107"/>
      <c r="T21" s="107"/>
      <c r="U21" s="108"/>
      <c r="V21" s="108"/>
      <c r="W21" s="109"/>
      <c r="X21" s="106"/>
      <c r="Y21" s="107"/>
      <c r="Z21" s="107"/>
      <c r="AA21" s="107"/>
      <c r="AB21" s="110"/>
      <c r="AC21" s="111"/>
      <c r="AD21" s="106"/>
      <c r="AE21" s="107"/>
      <c r="AF21" s="107"/>
      <c r="AG21" s="107"/>
      <c r="AH21" s="110"/>
      <c r="AI21" s="111"/>
      <c r="AJ21" s="119"/>
      <c r="AK21" s="55" t="str">
        <f>IF(COUNT(N21:W21)=0,"",AVERAGE(N21:W21))</f>
        <v/>
      </c>
      <c r="AL21" s="55"/>
      <c r="AM21" s="56"/>
      <c r="AN21" s="168"/>
      <c r="AO21" s="168"/>
      <c r="AP21" s="168"/>
      <c r="AQ21" s="168"/>
      <c r="AR21" s="168"/>
      <c r="AS21" s="168"/>
      <c r="AT21" s="168"/>
      <c r="AU21" s="168"/>
      <c r="AV21" s="168"/>
      <c r="AW21" s="168"/>
      <c r="AX21" s="337">
        <f t="shared" si="4"/>
        <v>180</v>
      </c>
      <c r="AY21" s="236">
        <f t="shared" si="7"/>
        <v>180</v>
      </c>
      <c r="AZ21" s="235">
        <v>39262</v>
      </c>
      <c r="BA21" s="347">
        <v>7.5714285714285712</v>
      </c>
      <c r="BB21" s="236">
        <f t="shared" si="5"/>
        <v>170</v>
      </c>
      <c r="BC21" s="213">
        <v>38887</v>
      </c>
      <c r="BD21" s="345">
        <v>4.2857142857142856</v>
      </c>
      <c r="BE21" s="326"/>
      <c r="BF21" s="182"/>
      <c r="BG21" s="134"/>
      <c r="BH21" s="326"/>
      <c r="BI21" s="182"/>
      <c r="BJ21" s="134"/>
      <c r="BK21" s="326"/>
      <c r="BL21" s="213"/>
      <c r="BM21" s="336"/>
      <c r="BN21" s="326"/>
      <c r="BO21" s="213"/>
      <c r="BP21" s="336"/>
    </row>
    <row r="22" spans="1:68">
      <c r="A22" s="16" t="s">
        <v>30</v>
      </c>
      <c r="B22" s="123"/>
      <c r="C22" s="107"/>
      <c r="D22" s="106"/>
      <c r="E22" s="107"/>
      <c r="F22" s="107"/>
      <c r="G22" s="107"/>
      <c r="H22" s="107"/>
      <c r="I22" s="107"/>
      <c r="J22" s="107"/>
      <c r="K22" s="108"/>
      <c r="L22" s="108"/>
      <c r="M22" s="109"/>
      <c r="N22" s="106"/>
      <c r="O22" s="107"/>
      <c r="P22" s="107"/>
      <c r="Q22" s="107"/>
      <c r="R22" s="107"/>
      <c r="S22" s="107"/>
      <c r="T22" s="107"/>
      <c r="U22" s="108"/>
      <c r="V22" s="108"/>
      <c r="W22" s="109"/>
      <c r="X22" s="106"/>
      <c r="Y22" s="107"/>
      <c r="Z22" s="107"/>
      <c r="AA22" s="107"/>
      <c r="AB22" s="110"/>
      <c r="AC22" s="111"/>
      <c r="AD22" s="106"/>
      <c r="AE22" s="107"/>
      <c r="AF22" s="107"/>
      <c r="AG22" s="107"/>
      <c r="AH22" s="110"/>
      <c r="AI22" s="111"/>
      <c r="AJ22" s="119"/>
      <c r="AK22" s="55" t="str">
        <f t="shared" si="1"/>
        <v/>
      </c>
      <c r="AL22" s="55"/>
      <c r="AM22" s="56"/>
      <c r="AN22" s="168"/>
      <c r="AO22" s="168"/>
      <c r="AP22" s="168"/>
      <c r="AQ22" s="168"/>
      <c r="AR22" s="168"/>
      <c r="AS22" s="168"/>
      <c r="AT22" s="168"/>
      <c r="AU22" s="168"/>
      <c r="AV22" s="168"/>
      <c r="AW22" s="168"/>
      <c r="AX22" s="337">
        <f t="shared" si="4"/>
        <v>180</v>
      </c>
      <c r="AY22" s="236">
        <f t="shared" si="7"/>
        <v>187</v>
      </c>
      <c r="AZ22" s="235">
        <v>39269</v>
      </c>
      <c r="BA22" s="347">
        <v>7.7142857142857144</v>
      </c>
      <c r="BB22" s="236">
        <f t="shared" si="5"/>
        <v>172</v>
      </c>
      <c r="BC22" s="213">
        <v>38889</v>
      </c>
      <c r="BD22" s="345">
        <v>5</v>
      </c>
      <c r="BE22" s="326"/>
      <c r="BF22" s="182"/>
      <c r="BG22" s="134"/>
      <c r="BH22" s="326"/>
      <c r="BI22" s="182"/>
      <c r="BJ22" s="134"/>
      <c r="BK22" s="326"/>
      <c r="BL22" s="213"/>
      <c r="BM22" s="336"/>
      <c r="BN22" s="326"/>
      <c r="BO22" s="213"/>
      <c r="BP22" s="336"/>
    </row>
    <row r="23" spans="1:68">
      <c r="A23" s="16" t="s">
        <v>30</v>
      </c>
      <c r="B23" s="123"/>
      <c r="C23" s="107"/>
      <c r="D23" s="106"/>
      <c r="E23" s="107"/>
      <c r="F23" s="107"/>
      <c r="G23" s="107"/>
      <c r="H23" s="107"/>
      <c r="I23" s="107"/>
      <c r="J23" s="107"/>
      <c r="K23" s="108"/>
      <c r="L23" s="108"/>
      <c r="M23" s="109"/>
      <c r="N23" s="106"/>
      <c r="O23" s="107"/>
      <c r="P23" s="107"/>
      <c r="Q23" s="107"/>
      <c r="R23" s="107"/>
      <c r="S23" s="107"/>
      <c r="T23" s="107"/>
      <c r="U23" s="108"/>
      <c r="V23" s="108"/>
      <c r="W23" s="109"/>
      <c r="X23" s="106"/>
      <c r="Y23" s="107"/>
      <c r="Z23" s="107"/>
      <c r="AA23" s="107"/>
      <c r="AB23" s="110"/>
      <c r="AC23" s="111"/>
      <c r="AD23" s="106"/>
      <c r="AE23" s="107"/>
      <c r="AF23" s="107"/>
      <c r="AG23" s="107"/>
      <c r="AH23" s="110"/>
      <c r="AI23" s="111"/>
      <c r="AJ23" s="119"/>
      <c r="AK23" s="55" t="str">
        <f t="shared" si="1"/>
        <v/>
      </c>
      <c r="AL23" s="55"/>
      <c r="AM23" s="56"/>
      <c r="AN23" s="168"/>
      <c r="AO23" s="168"/>
      <c r="AP23" s="168"/>
      <c r="AQ23" s="168"/>
      <c r="AR23" s="168"/>
      <c r="AS23" s="168"/>
      <c r="AT23" s="168"/>
      <c r="AU23" s="168"/>
      <c r="AV23" s="168"/>
      <c r="AW23" s="168"/>
      <c r="AX23" s="337">
        <f t="shared" si="4"/>
        <v>180</v>
      </c>
      <c r="AY23" s="236">
        <f t="shared" si="7"/>
        <v>194</v>
      </c>
      <c r="AZ23" s="235">
        <v>39276</v>
      </c>
      <c r="BA23" s="347">
        <v>8</v>
      </c>
      <c r="BB23" s="236">
        <f t="shared" si="5"/>
        <v>177</v>
      </c>
      <c r="BC23" s="213">
        <v>38894</v>
      </c>
      <c r="BD23" s="345">
        <v>5.5714285714285712</v>
      </c>
      <c r="BE23" s="326"/>
      <c r="BF23" s="182"/>
      <c r="BG23" s="134"/>
      <c r="BH23" s="326"/>
      <c r="BI23" s="182"/>
      <c r="BJ23" s="134"/>
      <c r="BK23" s="326"/>
      <c r="BL23" s="213"/>
      <c r="BM23" s="336"/>
      <c r="BN23" s="326"/>
      <c r="BO23" s="213"/>
      <c r="BP23" s="336"/>
    </row>
    <row r="24" spans="1:68">
      <c r="A24" s="16" t="s">
        <v>30</v>
      </c>
      <c r="B24" s="123"/>
      <c r="C24" s="107"/>
      <c r="D24" s="106"/>
      <c r="E24" s="107"/>
      <c r="F24" s="107"/>
      <c r="G24" s="107"/>
      <c r="H24" s="107"/>
      <c r="I24" s="107"/>
      <c r="J24" s="107"/>
      <c r="K24" s="108"/>
      <c r="L24" s="108"/>
      <c r="M24" s="109"/>
      <c r="N24" s="106"/>
      <c r="O24" s="107"/>
      <c r="P24" s="107"/>
      <c r="Q24" s="107"/>
      <c r="R24" s="107"/>
      <c r="S24" s="107"/>
      <c r="T24" s="107"/>
      <c r="U24" s="108"/>
      <c r="V24" s="108"/>
      <c r="W24" s="109"/>
      <c r="X24" s="106"/>
      <c r="Y24" s="107"/>
      <c r="Z24" s="107"/>
      <c r="AA24" s="107"/>
      <c r="AB24" s="110"/>
      <c r="AC24" s="111"/>
      <c r="AD24" s="106"/>
      <c r="AE24" s="107"/>
      <c r="AF24" s="107"/>
      <c r="AG24" s="107"/>
      <c r="AH24" s="110"/>
      <c r="AI24" s="111"/>
      <c r="AJ24" s="119"/>
      <c r="AK24" s="55" t="str">
        <f t="shared" si="1"/>
        <v/>
      </c>
      <c r="AL24" s="55"/>
      <c r="AM24" s="56"/>
      <c r="AN24" s="168"/>
      <c r="AO24" s="168"/>
      <c r="AP24" s="168"/>
      <c r="AQ24" s="168"/>
      <c r="AR24" s="168"/>
      <c r="AS24" s="168"/>
      <c r="AT24" s="168"/>
      <c r="AU24" s="168"/>
      <c r="AV24" s="168"/>
      <c r="AW24" s="168"/>
      <c r="AX24" s="337">
        <f t="shared" si="4"/>
        <v>180</v>
      </c>
      <c r="AY24" s="236"/>
      <c r="AZ24" s="235"/>
      <c r="BA24" s="347" t="s">
        <v>59</v>
      </c>
      <c r="BB24" s="236">
        <f t="shared" si="5"/>
        <v>179</v>
      </c>
      <c r="BC24" s="213">
        <v>38896</v>
      </c>
      <c r="BD24" s="345">
        <v>5.5714285714285712</v>
      </c>
      <c r="BE24" s="326"/>
      <c r="BF24" s="182"/>
      <c r="BG24" s="134"/>
      <c r="BH24" s="326"/>
      <c r="BI24" s="182"/>
      <c r="BJ24" s="134"/>
      <c r="BK24" s="326"/>
      <c r="BL24" s="213"/>
      <c r="BM24" s="336"/>
      <c r="BN24" s="326"/>
      <c r="BO24" s="213"/>
      <c r="BP24" s="336"/>
    </row>
    <row r="25" spans="1:68">
      <c r="A25" s="16" t="s">
        <v>30</v>
      </c>
      <c r="B25" s="123"/>
      <c r="C25" s="107"/>
      <c r="D25" s="106"/>
      <c r="E25" s="107"/>
      <c r="F25" s="107"/>
      <c r="G25" s="107"/>
      <c r="H25" s="107"/>
      <c r="I25" s="107"/>
      <c r="J25" s="107"/>
      <c r="K25" s="108"/>
      <c r="L25" s="108"/>
      <c r="M25" s="109"/>
      <c r="N25" s="106"/>
      <c r="O25" s="107"/>
      <c r="P25" s="107"/>
      <c r="Q25" s="107"/>
      <c r="R25" s="107"/>
      <c r="S25" s="107"/>
      <c r="T25" s="107"/>
      <c r="U25" s="108"/>
      <c r="V25" s="108"/>
      <c r="W25" s="109"/>
      <c r="X25" s="106"/>
      <c r="Y25" s="107"/>
      <c r="Z25" s="107"/>
      <c r="AA25" s="107"/>
      <c r="AB25" s="110"/>
      <c r="AC25" s="111"/>
      <c r="AD25" s="106"/>
      <c r="AE25" s="107"/>
      <c r="AF25" s="107"/>
      <c r="AG25" s="107"/>
      <c r="AH25" s="110"/>
      <c r="AI25" s="111"/>
      <c r="AJ25" s="119"/>
      <c r="AK25" s="55" t="str">
        <f t="shared" si="1"/>
        <v/>
      </c>
      <c r="AL25" s="55"/>
      <c r="AM25" s="56"/>
      <c r="AN25" s="168"/>
      <c r="AO25" s="168"/>
      <c r="AP25" s="168"/>
      <c r="AQ25" s="168"/>
      <c r="AR25" s="168"/>
      <c r="AS25" s="168"/>
      <c r="AT25" s="168"/>
      <c r="AU25" s="168"/>
      <c r="AV25" s="168"/>
      <c r="AW25" s="168"/>
      <c r="AX25" s="337">
        <f t="shared" si="4"/>
        <v>180</v>
      </c>
      <c r="AY25" s="236"/>
      <c r="AZ25" s="235"/>
      <c r="BA25" s="347" t="s">
        <v>59</v>
      </c>
      <c r="BB25" s="236">
        <f t="shared" si="5"/>
        <v>187</v>
      </c>
      <c r="BC25" s="213">
        <v>38904</v>
      </c>
      <c r="BD25" s="345">
        <v>7.2857142857142856</v>
      </c>
      <c r="BE25" s="326"/>
      <c r="BF25" s="182"/>
      <c r="BG25" s="134"/>
      <c r="BH25" s="326"/>
      <c r="BI25" s="182"/>
      <c r="BJ25" s="134"/>
      <c r="BK25" s="326"/>
      <c r="BL25" s="213"/>
      <c r="BM25" s="336"/>
      <c r="BN25" s="326"/>
      <c r="BO25" s="213"/>
      <c r="BP25" s="336"/>
    </row>
    <row r="26" spans="1:68">
      <c r="A26" s="16" t="s">
        <v>30</v>
      </c>
      <c r="B26" s="123"/>
      <c r="C26" s="107"/>
      <c r="D26" s="106"/>
      <c r="E26" s="107"/>
      <c r="F26" s="107"/>
      <c r="G26" s="107"/>
      <c r="H26" s="107"/>
      <c r="I26" s="107"/>
      <c r="J26" s="107"/>
      <c r="K26" s="108"/>
      <c r="L26" s="108"/>
      <c r="M26" s="109"/>
      <c r="N26" s="106"/>
      <c r="O26" s="107"/>
      <c r="P26" s="107"/>
      <c r="Q26" s="107"/>
      <c r="R26" s="107"/>
      <c r="S26" s="107"/>
      <c r="T26" s="107"/>
      <c r="U26" s="108"/>
      <c r="V26" s="108"/>
      <c r="W26" s="109"/>
      <c r="X26" s="106"/>
      <c r="Y26" s="107"/>
      <c r="Z26" s="107"/>
      <c r="AA26" s="107"/>
      <c r="AB26" s="110"/>
      <c r="AC26" s="111"/>
      <c r="AD26" s="106"/>
      <c r="AE26" s="107"/>
      <c r="AF26" s="107"/>
      <c r="AG26" s="107"/>
      <c r="AH26" s="110"/>
      <c r="AI26" s="111"/>
      <c r="AJ26" s="119"/>
      <c r="AK26" s="55" t="str">
        <f t="shared" si="1"/>
        <v/>
      </c>
      <c r="AL26" s="55"/>
      <c r="AM26" s="56"/>
      <c r="AN26" s="168"/>
      <c r="AO26" s="168"/>
      <c r="AP26" s="168"/>
      <c r="AQ26" s="168"/>
      <c r="AR26" s="168"/>
      <c r="AS26" s="168"/>
      <c r="AT26" s="168"/>
      <c r="AU26" s="168"/>
      <c r="AV26" s="168"/>
      <c r="AW26" s="168"/>
      <c r="AX26" s="337">
        <f t="shared" si="4"/>
        <v>180</v>
      </c>
      <c r="AY26" s="236"/>
      <c r="AZ26" s="235"/>
      <c r="BA26" s="347" t="s">
        <v>59</v>
      </c>
      <c r="BB26" s="236">
        <f t="shared" si="5"/>
        <v>195</v>
      </c>
      <c r="BC26" s="213">
        <v>38912</v>
      </c>
      <c r="BD26" s="345">
        <v>8</v>
      </c>
      <c r="BE26" s="326"/>
      <c r="BF26" s="182"/>
      <c r="BG26" s="134"/>
      <c r="BH26" s="326"/>
      <c r="BI26" s="182"/>
      <c r="BJ26" s="134"/>
      <c r="BK26" s="326"/>
      <c r="BL26" s="213"/>
      <c r="BM26" s="336"/>
      <c r="BN26" s="326"/>
      <c r="BO26" s="213"/>
      <c r="BP26" s="336"/>
    </row>
    <row r="27" spans="1:68">
      <c r="A27" s="16" t="s">
        <v>30</v>
      </c>
      <c r="B27" s="123"/>
      <c r="C27" s="107"/>
      <c r="D27" s="106"/>
      <c r="E27" s="107"/>
      <c r="F27" s="107"/>
      <c r="G27" s="107"/>
      <c r="H27" s="107"/>
      <c r="I27" s="107"/>
      <c r="J27" s="107"/>
      <c r="K27" s="108"/>
      <c r="L27" s="108"/>
      <c r="M27" s="109"/>
      <c r="N27" s="106"/>
      <c r="O27" s="107"/>
      <c r="P27" s="107"/>
      <c r="Q27" s="107"/>
      <c r="R27" s="107"/>
      <c r="S27" s="107"/>
      <c r="T27" s="107"/>
      <c r="U27" s="108"/>
      <c r="V27" s="108"/>
      <c r="W27" s="109"/>
      <c r="X27" s="106"/>
      <c r="Y27" s="107"/>
      <c r="Z27" s="107"/>
      <c r="AA27" s="107"/>
      <c r="AB27" s="110"/>
      <c r="AC27" s="111"/>
      <c r="AD27" s="106"/>
      <c r="AE27" s="107"/>
      <c r="AF27" s="107"/>
      <c r="AG27" s="107"/>
      <c r="AH27" s="110"/>
      <c r="AI27" s="111"/>
      <c r="AJ27" s="119"/>
      <c r="AK27" s="55" t="str">
        <f t="shared" si="1"/>
        <v/>
      </c>
      <c r="AL27" s="55"/>
      <c r="AM27" s="56"/>
      <c r="AN27" s="168"/>
      <c r="AO27" s="168"/>
      <c r="AP27" s="168"/>
      <c r="AQ27" s="168"/>
      <c r="AR27" s="168"/>
      <c r="AS27" s="168"/>
      <c r="AT27" s="168"/>
      <c r="AU27" s="168"/>
      <c r="AV27" s="168"/>
      <c r="AW27" s="168"/>
      <c r="AX27" s="337">
        <f t="shared" si="4"/>
        <v>180</v>
      </c>
      <c r="AY27" s="236"/>
      <c r="AZ27" s="235"/>
      <c r="BA27" s="347" t="s">
        <v>59</v>
      </c>
      <c r="BB27" s="232"/>
      <c r="BC27" s="213"/>
      <c r="BD27" s="182"/>
      <c r="BE27" s="326"/>
      <c r="BF27" s="182"/>
      <c r="BG27" s="134"/>
      <c r="BH27" s="326"/>
      <c r="BI27" s="182"/>
      <c r="BJ27" s="134"/>
      <c r="BK27" s="326"/>
      <c r="BL27" s="213"/>
      <c r="BM27" s="336"/>
      <c r="BN27" s="326"/>
      <c r="BO27" s="213"/>
      <c r="BP27" s="336"/>
    </row>
    <row r="28" spans="1:68">
      <c r="A28" s="16" t="s">
        <v>30</v>
      </c>
      <c r="B28" s="123"/>
      <c r="C28" s="107"/>
      <c r="D28" s="106"/>
      <c r="E28" s="107"/>
      <c r="F28" s="107"/>
      <c r="G28" s="107"/>
      <c r="H28" s="107"/>
      <c r="I28" s="107"/>
      <c r="J28" s="107"/>
      <c r="K28" s="108"/>
      <c r="L28" s="108"/>
      <c r="M28" s="109"/>
      <c r="N28" s="106"/>
      <c r="O28" s="107"/>
      <c r="P28" s="107"/>
      <c r="Q28" s="107"/>
      <c r="R28" s="107"/>
      <c r="S28" s="107"/>
      <c r="T28" s="107"/>
      <c r="U28" s="108"/>
      <c r="V28" s="108"/>
      <c r="W28" s="109"/>
      <c r="X28" s="106"/>
      <c r="Y28" s="107"/>
      <c r="Z28" s="107"/>
      <c r="AA28" s="107"/>
      <c r="AB28" s="110"/>
      <c r="AC28" s="111"/>
      <c r="AD28" s="106"/>
      <c r="AE28" s="107"/>
      <c r="AF28" s="107"/>
      <c r="AG28" s="107"/>
      <c r="AH28" s="110"/>
      <c r="AI28" s="111"/>
      <c r="AJ28" s="119"/>
      <c r="AK28" s="55" t="str">
        <f t="shared" si="1"/>
        <v/>
      </c>
      <c r="AL28" s="55"/>
      <c r="AM28" s="56"/>
      <c r="AN28" s="168"/>
      <c r="AO28" s="168"/>
      <c r="AP28" s="168"/>
      <c r="AQ28" s="168"/>
      <c r="AR28" s="168"/>
      <c r="AS28" s="168"/>
      <c r="AT28" s="168"/>
      <c r="AU28" s="168"/>
      <c r="AV28" s="168"/>
      <c r="AW28" s="168"/>
      <c r="AX28" s="337">
        <f t="shared" si="4"/>
        <v>180</v>
      </c>
      <c r="AY28" s="236"/>
      <c r="AZ28" s="235"/>
      <c r="BA28" s="347" t="s">
        <v>59</v>
      </c>
      <c r="BB28" s="232"/>
      <c r="BC28" s="213"/>
      <c r="BD28" s="182"/>
      <c r="BE28" s="326"/>
      <c r="BF28" s="182"/>
      <c r="BG28" s="134"/>
      <c r="BH28" s="326"/>
      <c r="BI28" s="182"/>
      <c r="BJ28" s="134"/>
      <c r="BK28" s="326"/>
      <c r="BL28" s="213"/>
      <c r="BM28" s="336"/>
      <c r="BN28" s="326"/>
      <c r="BO28" s="213"/>
      <c r="BP28" s="336"/>
    </row>
    <row r="29" spans="1:68">
      <c r="A29" s="16" t="s">
        <v>30</v>
      </c>
      <c r="B29" s="123"/>
      <c r="C29" s="107"/>
      <c r="D29" s="106"/>
      <c r="E29" s="107"/>
      <c r="F29" s="107"/>
      <c r="G29" s="107"/>
      <c r="H29" s="107"/>
      <c r="I29" s="107"/>
      <c r="J29" s="107"/>
      <c r="K29" s="108"/>
      <c r="L29" s="108"/>
      <c r="M29" s="109"/>
      <c r="N29" s="106"/>
      <c r="O29" s="107"/>
      <c r="P29" s="107"/>
      <c r="Q29" s="107"/>
      <c r="R29" s="107"/>
      <c r="S29" s="107"/>
      <c r="T29" s="107"/>
      <c r="U29" s="108"/>
      <c r="V29" s="108"/>
      <c r="W29" s="109"/>
      <c r="X29" s="106"/>
      <c r="Y29" s="107"/>
      <c r="Z29" s="107"/>
      <c r="AA29" s="107"/>
      <c r="AB29" s="110"/>
      <c r="AC29" s="111"/>
      <c r="AD29" s="106"/>
      <c r="AE29" s="107"/>
      <c r="AF29" s="107"/>
      <c r="AG29" s="107"/>
      <c r="AH29" s="110"/>
      <c r="AI29" s="111"/>
      <c r="AJ29" s="119"/>
      <c r="AK29" s="55" t="str">
        <f t="shared" si="1"/>
        <v/>
      </c>
      <c r="AL29" s="55"/>
      <c r="AM29" s="56"/>
      <c r="AN29" s="168"/>
      <c r="AO29" s="168"/>
      <c r="AP29" s="168"/>
      <c r="AQ29" s="168"/>
      <c r="AR29" s="168"/>
      <c r="AS29" s="168"/>
      <c r="AT29" s="168"/>
      <c r="AU29" s="168"/>
      <c r="AV29" s="168"/>
      <c r="AW29" s="168"/>
      <c r="AX29" s="337">
        <f t="shared" si="4"/>
        <v>180</v>
      </c>
      <c r="AY29" s="236"/>
      <c r="AZ29" s="235"/>
      <c r="BA29" s="347" t="s">
        <v>59</v>
      </c>
      <c r="BB29" s="232"/>
      <c r="BC29" s="213"/>
      <c r="BD29" s="182"/>
      <c r="BE29" s="326"/>
      <c r="BF29" s="182"/>
      <c r="BG29" s="134"/>
      <c r="BH29" s="326"/>
      <c r="BI29" s="182"/>
      <c r="BJ29" s="134"/>
      <c r="BK29" s="326"/>
      <c r="BL29" s="213"/>
      <c r="BM29" s="336"/>
      <c r="BN29" s="326"/>
      <c r="BO29" s="213"/>
      <c r="BP29" s="336"/>
    </row>
    <row r="30" spans="1:68">
      <c r="A30" s="16" t="s">
        <v>30</v>
      </c>
      <c r="B30" s="123"/>
      <c r="C30" s="107"/>
      <c r="D30" s="106"/>
      <c r="E30" s="107"/>
      <c r="F30" s="107"/>
      <c r="G30" s="107"/>
      <c r="H30" s="107"/>
      <c r="I30" s="107"/>
      <c r="J30" s="107"/>
      <c r="K30" s="108"/>
      <c r="L30" s="108"/>
      <c r="M30" s="109"/>
      <c r="N30" s="106"/>
      <c r="O30" s="107"/>
      <c r="P30" s="107"/>
      <c r="Q30" s="107"/>
      <c r="R30" s="107"/>
      <c r="S30" s="107"/>
      <c r="T30" s="107"/>
      <c r="U30" s="108"/>
      <c r="V30" s="108"/>
      <c r="W30" s="109"/>
      <c r="X30" s="106"/>
      <c r="Y30" s="107"/>
      <c r="Z30" s="107"/>
      <c r="AA30" s="107"/>
      <c r="AB30" s="110"/>
      <c r="AC30" s="111"/>
      <c r="AD30" s="106"/>
      <c r="AE30" s="107"/>
      <c r="AF30" s="107"/>
      <c r="AG30" s="107"/>
      <c r="AH30" s="110"/>
      <c r="AI30" s="111"/>
      <c r="AJ30" s="119"/>
      <c r="AK30" s="55" t="str">
        <f t="shared" si="1"/>
        <v/>
      </c>
      <c r="AL30" s="55"/>
      <c r="AM30" s="56"/>
      <c r="AN30" s="168"/>
      <c r="AO30" s="168"/>
      <c r="AP30" s="168"/>
      <c r="AQ30" s="168"/>
      <c r="AR30" s="168"/>
      <c r="AS30" s="168"/>
      <c r="AT30" s="168"/>
      <c r="AU30" s="168"/>
      <c r="AV30" s="168"/>
      <c r="AW30" s="168"/>
      <c r="AX30" s="337">
        <f t="shared" si="4"/>
        <v>180</v>
      </c>
      <c r="AY30" s="236"/>
      <c r="AZ30" s="235"/>
      <c r="BA30" s="347" t="s">
        <v>59</v>
      </c>
      <c r="BB30" s="232"/>
      <c r="BC30" s="213"/>
      <c r="BD30" s="182"/>
      <c r="BE30" s="326"/>
      <c r="BF30" s="182"/>
      <c r="BG30" s="134"/>
      <c r="BH30" s="326"/>
      <c r="BI30" s="182"/>
      <c r="BJ30" s="134"/>
      <c r="BK30" s="326"/>
      <c r="BL30" s="213"/>
      <c r="BM30" s="336"/>
      <c r="BN30" s="326"/>
      <c r="BO30" s="213"/>
      <c r="BP30" s="336"/>
    </row>
    <row r="31" spans="1:68">
      <c r="A31" s="16" t="s">
        <v>30</v>
      </c>
      <c r="B31" s="123"/>
      <c r="C31" s="107"/>
      <c r="D31" s="106"/>
      <c r="E31" s="107"/>
      <c r="F31" s="107"/>
      <c r="G31" s="107"/>
      <c r="H31" s="107"/>
      <c r="I31" s="107"/>
      <c r="J31" s="107"/>
      <c r="K31" s="108"/>
      <c r="L31" s="108"/>
      <c r="M31" s="109"/>
      <c r="N31" s="106"/>
      <c r="O31" s="107"/>
      <c r="P31" s="107"/>
      <c r="Q31" s="107"/>
      <c r="R31" s="107"/>
      <c r="S31" s="107"/>
      <c r="T31" s="107"/>
      <c r="U31" s="108"/>
      <c r="V31" s="108"/>
      <c r="W31" s="109"/>
      <c r="X31" s="106"/>
      <c r="Y31" s="107"/>
      <c r="Z31" s="107"/>
      <c r="AA31" s="107"/>
      <c r="AB31" s="110"/>
      <c r="AC31" s="111"/>
      <c r="AD31" s="106"/>
      <c r="AE31" s="107"/>
      <c r="AF31" s="107"/>
      <c r="AG31" s="107"/>
      <c r="AH31" s="110"/>
      <c r="AI31" s="111"/>
      <c r="AJ31" s="119"/>
      <c r="AK31" s="55" t="str">
        <f t="shared" si="1"/>
        <v/>
      </c>
      <c r="AL31" s="55"/>
      <c r="AM31" s="56"/>
      <c r="AN31" s="168"/>
      <c r="AO31" s="168"/>
      <c r="AP31" s="168"/>
      <c r="AQ31" s="168"/>
      <c r="AR31" s="168"/>
      <c r="AS31" s="168"/>
      <c r="AT31" s="168"/>
      <c r="AU31" s="168"/>
      <c r="AV31" s="168"/>
      <c r="AW31" s="168"/>
      <c r="AX31" s="337">
        <f t="shared" si="4"/>
        <v>180</v>
      </c>
      <c r="AY31" s="236"/>
      <c r="AZ31" s="235"/>
      <c r="BA31" s="347" t="s">
        <v>59</v>
      </c>
      <c r="BB31" s="232"/>
      <c r="BC31" s="213"/>
      <c r="BD31" s="182"/>
      <c r="BE31" s="326"/>
      <c r="BF31" s="182"/>
      <c r="BG31" s="134"/>
      <c r="BH31" s="326"/>
      <c r="BI31" s="182"/>
      <c r="BJ31" s="134"/>
      <c r="BK31" s="326"/>
      <c r="BL31" s="213"/>
      <c r="BM31" s="336"/>
      <c r="BN31" s="326"/>
      <c r="BO31" s="213"/>
      <c r="BP31" s="336"/>
    </row>
    <row r="32" spans="1:68">
      <c r="A32" s="16" t="s">
        <v>30</v>
      </c>
      <c r="B32" s="123"/>
      <c r="C32" s="107"/>
      <c r="D32" s="106"/>
      <c r="E32" s="107"/>
      <c r="F32" s="107"/>
      <c r="G32" s="107"/>
      <c r="H32" s="107"/>
      <c r="I32" s="107"/>
      <c r="J32" s="107"/>
      <c r="K32" s="108"/>
      <c r="L32" s="108"/>
      <c r="M32" s="109"/>
      <c r="N32" s="106"/>
      <c r="O32" s="107"/>
      <c r="P32" s="107"/>
      <c r="Q32" s="107"/>
      <c r="R32" s="107"/>
      <c r="S32" s="107"/>
      <c r="T32" s="107"/>
      <c r="U32" s="108"/>
      <c r="V32" s="108"/>
      <c r="W32" s="109"/>
      <c r="X32" s="106"/>
      <c r="Y32" s="107"/>
      <c r="Z32" s="107"/>
      <c r="AA32" s="107"/>
      <c r="AB32" s="110"/>
      <c r="AC32" s="111"/>
      <c r="AD32" s="106"/>
      <c r="AE32" s="107"/>
      <c r="AF32" s="107"/>
      <c r="AG32" s="107"/>
      <c r="AH32" s="110"/>
      <c r="AI32" s="111"/>
      <c r="AJ32" s="119"/>
      <c r="AK32" s="55" t="str">
        <f t="shared" si="1"/>
        <v/>
      </c>
      <c r="AL32" s="55"/>
      <c r="AM32" s="56"/>
      <c r="AN32" s="168"/>
      <c r="AO32" s="168"/>
      <c r="AP32" s="168"/>
      <c r="AQ32" s="168"/>
      <c r="AR32" s="168"/>
      <c r="AS32" s="168"/>
      <c r="AT32" s="168"/>
      <c r="AU32" s="168"/>
      <c r="AV32" s="168"/>
      <c r="AW32" s="168"/>
      <c r="AX32" s="337">
        <f t="shared" si="4"/>
        <v>180</v>
      </c>
      <c r="AY32" s="236"/>
      <c r="AZ32" s="235"/>
      <c r="BA32" s="347" t="s">
        <v>59</v>
      </c>
      <c r="BB32" s="232"/>
      <c r="BC32" s="213"/>
      <c r="BD32" s="182"/>
      <c r="BE32" s="326"/>
      <c r="BF32" s="182"/>
      <c r="BG32" s="134"/>
      <c r="BH32" s="326"/>
      <c r="BI32" s="182"/>
      <c r="BJ32" s="134"/>
      <c r="BK32" s="326"/>
      <c r="BL32" s="213"/>
      <c r="BM32" s="336"/>
      <c r="BN32" s="326"/>
      <c r="BO32" s="213"/>
      <c r="BP32" s="336"/>
    </row>
    <row r="33" spans="1:68">
      <c r="A33" s="16" t="s">
        <v>30</v>
      </c>
      <c r="B33" s="123"/>
      <c r="C33" s="107"/>
      <c r="D33" s="106"/>
      <c r="E33" s="107"/>
      <c r="F33" s="107"/>
      <c r="G33" s="107"/>
      <c r="H33" s="107"/>
      <c r="I33" s="107"/>
      <c r="J33" s="107"/>
      <c r="K33" s="108"/>
      <c r="L33" s="108"/>
      <c r="M33" s="109"/>
      <c r="N33" s="106"/>
      <c r="O33" s="107"/>
      <c r="P33" s="107"/>
      <c r="Q33" s="107"/>
      <c r="R33" s="107"/>
      <c r="S33" s="107"/>
      <c r="T33" s="107"/>
      <c r="U33" s="108"/>
      <c r="V33" s="108"/>
      <c r="W33" s="109"/>
      <c r="X33" s="106"/>
      <c r="Y33" s="107"/>
      <c r="Z33" s="107"/>
      <c r="AA33" s="107"/>
      <c r="AB33" s="110"/>
      <c r="AC33" s="111"/>
      <c r="AD33" s="106"/>
      <c r="AE33" s="107"/>
      <c r="AF33" s="107"/>
      <c r="AG33" s="107"/>
      <c r="AH33" s="110"/>
      <c r="AI33" s="111"/>
      <c r="AJ33" s="119"/>
      <c r="AK33" s="55" t="str">
        <f t="shared" si="1"/>
        <v/>
      </c>
      <c r="AL33" s="55"/>
      <c r="AM33" s="56"/>
      <c r="AN33" s="168"/>
      <c r="AO33" s="168"/>
      <c r="AP33" s="168"/>
      <c r="AQ33" s="168"/>
      <c r="AR33" s="168"/>
      <c r="AS33" s="168"/>
      <c r="AT33" s="168"/>
      <c r="AU33" s="168"/>
      <c r="AV33" s="168"/>
      <c r="AW33" s="168"/>
      <c r="AX33" s="337">
        <f t="shared" si="4"/>
        <v>180</v>
      </c>
      <c r="AY33" s="236"/>
      <c r="AZ33" s="235"/>
      <c r="BA33" s="347" t="s">
        <v>59</v>
      </c>
      <c r="BB33" s="232"/>
      <c r="BC33" s="213"/>
      <c r="BD33" s="182"/>
      <c r="BE33" s="326"/>
      <c r="BF33" s="182"/>
      <c r="BG33" s="134"/>
      <c r="BH33" s="326"/>
      <c r="BI33" s="182"/>
      <c r="BJ33" s="134"/>
      <c r="BK33" s="326"/>
      <c r="BL33" s="213"/>
      <c r="BM33" s="336"/>
      <c r="BN33" s="326"/>
      <c r="BO33" s="213"/>
      <c r="BP33" s="336"/>
    </row>
    <row r="34" spans="1:68" ht="13" thickBot="1">
      <c r="A34" s="17" t="s">
        <v>30</v>
      </c>
      <c r="B34" s="124"/>
      <c r="C34" s="113"/>
      <c r="D34" s="112"/>
      <c r="E34" s="113"/>
      <c r="F34" s="113"/>
      <c r="G34" s="113"/>
      <c r="H34" s="113"/>
      <c r="I34" s="113"/>
      <c r="J34" s="113"/>
      <c r="K34" s="114"/>
      <c r="L34" s="114"/>
      <c r="M34" s="115"/>
      <c r="N34" s="112"/>
      <c r="O34" s="113"/>
      <c r="P34" s="113"/>
      <c r="Q34" s="113"/>
      <c r="R34" s="113"/>
      <c r="S34" s="113"/>
      <c r="T34" s="113"/>
      <c r="U34" s="114"/>
      <c r="V34" s="114"/>
      <c r="W34" s="115"/>
      <c r="X34" s="112"/>
      <c r="Y34" s="113"/>
      <c r="Z34" s="113"/>
      <c r="AA34" s="113"/>
      <c r="AB34" s="116"/>
      <c r="AC34" s="117"/>
      <c r="AD34" s="112"/>
      <c r="AE34" s="113"/>
      <c r="AF34" s="113"/>
      <c r="AG34" s="113"/>
      <c r="AH34" s="116"/>
      <c r="AI34" s="117"/>
      <c r="AJ34" s="120"/>
      <c r="AK34" s="58" t="str">
        <f t="shared" si="1"/>
        <v/>
      </c>
      <c r="AL34" s="58"/>
      <c r="AM34" s="59"/>
      <c r="AN34" s="168"/>
      <c r="AO34" s="168"/>
      <c r="AP34" s="168"/>
      <c r="AQ34" s="168"/>
      <c r="AR34" s="168"/>
      <c r="AS34" s="168"/>
      <c r="AT34" s="168"/>
      <c r="AU34" s="168"/>
      <c r="AV34" s="168"/>
      <c r="AW34" s="168"/>
      <c r="AX34" s="338">
        <f t="shared" si="4"/>
        <v>180</v>
      </c>
      <c r="AY34" s="339"/>
      <c r="AZ34" s="346"/>
      <c r="BA34" s="348" t="s">
        <v>59</v>
      </c>
      <c r="BB34" s="328"/>
      <c r="BC34" s="329"/>
      <c r="BD34" s="330"/>
      <c r="BE34" s="327"/>
      <c r="BF34" s="330"/>
      <c r="BG34" s="331"/>
      <c r="BH34" s="327"/>
      <c r="BI34" s="330"/>
      <c r="BJ34" s="331"/>
      <c r="BK34" s="327"/>
      <c r="BL34" s="329"/>
      <c r="BM34" s="342"/>
      <c r="BN34" s="327"/>
      <c r="BO34" s="329"/>
      <c r="BP34" s="342"/>
    </row>
    <row r="35" spans="1:68">
      <c r="A35" s="15" t="s">
        <v>31</v>
      </c>
      <c r="B35" s="123">
        <v>41046</v>
      </c>
      <c r="C35" s="107" t="s">
        <v>72</v>
      </c>
      <c r="D35" s="106">
        <v>0</v>
      </c>
      <c r="E35" s="107">
        <v>0</v>
      </c>
      <c r="F35" s="107">
        <v>0</v>
      </c>
      <c r="G35" s="107">
        <v>0</v>
      </c>
      <c r="H35" s="107">
        <v>0</v>
      </c>
      <c r="I35" s="107">
        <v>0</v>
      </c>
      <c r="J35" s="107">
        <v>0</v>
      </c>
      <c r="K35" s="108">
        <v>0</v>
      </c>
      <c r="L35" s="108">
        <v>0</v>
      </c>
      <c r="M35" s="109">
        <v>0</v>
      </c>
      <c r="N35" s="106">
        <v>0</v>
      </c>
      <c r="O35" s="107">
        <v>0</v>
      </c>
      <c r="P35" s="107">
        <v>0</v>
      </c>
      <c r="Q35" s="107">
        <v>0</v>
      </c>
      <c r="R35" s="107">
        <v>0</v>
      </c>
      <c r="S35" s="107">
        <v>0</v>
      </c>
      <c r="T35" s="107">
        <v>0</v>
      </c>
      <c r="U35" s="108">
        <v>0</v>
      </c>
      <c r="V35" s="108">
        <v>0</v>
      </c>
      <c r="W35" s="109">
        <v>0</v>
      </c>
      <c r="X35" s="106">
        <v>0</v>
      </c>
      <c r="Y35" s="107">
        <v>0</v>
      </c>
      <c r="Z35" s="107">
        <v>0</v>
      </c>
      <c r="AA35" s="107">
        <v>0</v>
      </c>
      <c r="AB35" s="110">
        <v>0</v>
      </c>
      <c r="AC35" s="111">
        <v>0</v>
      </c>
      <c r="AD35" s="106">
        <v>0</v>
      </c>
      <c r="AE35" s="107">
        <v>0</v>
      </c>
      <c r="AF35" s="107">
        <v>0</v>
      </c>
      <c r="AG35" s="107">
        <v>0</v>
      </c>
      <c r="AH35" s="110">
        <v>0</v>
      </c>
      <c r="AI35" s="111">
        <v>0</v>
      </c>
      <c r="AJ35" s="121">
        <f t="shared" ref="AJ35:AJ69" si="8">IF(COUNT(D35:M35)=0,"",AVERAGE(D35:M35))</f>
        <v>0</v>
      </c>
      <c r="AK35" s="62">
        <f t="shared" si="1"/>
        <v>0</v>
      </c>
      <c r="AL35" s="62">
        <f t="shared" si="2"/>
        <v>0</v>
      </c>
      <c r="AM35" s="63">
        <f t="shared" si="3"/>
        <v>0</v>
      </c>
      <c r="AN35" s="168"/>
      <c r="AO35" s="168"/>
      <c r="AP35" s="168"/>
      <c r="AQ35" s="168"/>
      <c r="AR35" s="168"/>
      <c r="AS35" s="168"/>
      <c r="AT35" s="168"/>
      <c r="AU35" s="168"/>
      <c r="AV35" s="168"/>
      <c r="AW35" s="168"/>
      <c r="AX35" s="337">
        <f>IF(B35=0,AX34,B35-DATE(YEAR(B35)-1,12,31))</f>
        <v>138</v>
      </c>
      <c r="AY35" s="232"/>
      <c r="AZ35" s="235"/>
      <c r="BA35" s="232"/>
      <c r="BB35" s="232"/>
      <c r="BC35" s="233"/>
      <c r="BD35" s="168"/>
      <c r="BE35" s="168"/>
      <c r="BF35" s="168"/>
      <c r="BG35" s="168"/>
      <c r="BH35" s="168"/>
      <c r="BI35" s="168"/>
      <c r="BJ35" s="168"/>
      <c r="BK35" s="361">
        <v>123</v>
      </c>
      <c r="BL35" s="362">
        <v>40301</v>
      </c>
      <c r="BM35" s="370">
        <v>0</v>
      </c>
      <c r="BN35" s="361">
        <v>119</v>
      </c>
      <c r="BO35" s="362">
        <v>40662</v>
      </c>
      <c r="BP35" s="370">
        <v>0</v>
      </c>
    </row>
    <row r="36" spans="1:68">
      <c r="A36" s="16" t="s">
        <v>31</v>
      </c>
      <c r="B36" s="123">
        <v>41050</v>
      </c>
      <c r="C36" s="107" t="s">
        <v>72</v>
      </c>
      <c r="D36" s="106">
        <v>0</v>
      </c>
      <c r="E36" s="107">
        <v>0</v>
      </c>
      <c r="F36" s="107">
        <v>0</v>
      </c>
      <c r="G36" s="107">
        <v>0</v>
      </c>
      <c r="H36" s="107">
        <v>0</v>
      </c>
      <c r="I36" s="107">
        <v>1</v>
      </c>
      <c r="J36" s="107">
        <v>0</v>
      </c>
      <c r="K36" s="108">
        <v>0</v>
      </c>
      <c r="L36" s="108">
        <v>0</v>
      </c>
      <c r="M36" s="109">
        <v>0</v>
      </c>
      <c r="N36" s="106">
        <v>0</v>
      </c>
      <c r="O36" s="107">
        <v>0</v>
      </c>
      <c r="P36" s="107">
        <v>0</v>
      </c>
      <c r="Q36" s="107">
        <v>0</v>
      </c>
      <c r="R36" s="107">
        <v>0</v>
      </c>
      <c r="S36" s="107">
        <v>0</v>
      </c>
      <c r="T36" s="107">
        <v>0</v>
      </c>
      <c r="U36" s="108">
        <v>0</v>
      </c>
      <c r="V36" s="108">
        <v>0</v>
      </c>
      <c r="W36" s="109">
        <v>0</v>
      </c>
      <c r="X36" s="106">
        <v>0</v>
      </c>
      <c r="Y36" s="107">
        <v>1</v>
      </c>
      <c r="Z36" s="107">
        <v>0</v>
      </c>
      <c r="AA36" s="107">
        <v>0</v>
      </c>
      <c r="AB36" s="110">
        <v>0</v>
      </c>
      <c r="AC36" s="111">
        <v>0</v>
      </c>
      <c r="AD36" s="106">
        <v>0</v>
      </c>
      <c r="AE36" s="107">
        <v>0</v>
      </c>
      <c r="AF36" s="107">
        <v>0</v>
      </c>
      <c r="AG36" s="107">
        <v>0</v>
      </c>
      <c r="AH36" s="110">
        <v>0</v>
      </c>
      <c r="AI36" s="111"/>
      <c r="AJ36" s="119">
        <f t="shared" si="8"/>
        <v>0.1</v>
      </c>
      <c r="AK36" s="55">
        <f t="shared" si="1"/>
        <v>0</v>
      </c>
      <c r="AL36" s="55">
        <f t="shared" si="2"/>
        <v>0.2</v>
      </c>
      <c r="AM36" s="56">
        <f t="shared" si="3"/>
        <v>0</v>
      </c>
      <c r="AN36" s="168"/>
      <c r="AO36" s="168"/>
      <c r="AP36" s="168"/>
      <c r="AQ36" s="168"/>
      <c r="AR36" s="168"/>
      <c r="AS36" s="168"/>
      <c r="AT36" s="168"/>
      <c r="AU36" s="168"/>
      <c r="AV36" s="168"/>
      <c r="AW36" s="168"/>
      <c r="AX36" s="337">
        <f t="shared" si="4"/>
        <v>142</v>
      </c>
      <c r="AY36" s="232"/>
      <c r="AZ36" s="235"/>
      <c r="BA36" s="232"/>
      <c r="BB36" s="232"/>
      <c r="BC36" s="233"/>
      <c r="BD36" s="168"/>
      <c r="BE36" s="168"/>
      <c r="BF36" s="168"/>
      <c r="BG36" s="168"/>
      <c r="BH36" s="168"/>
      <c r="BI36" s="168"/>
      <c r="BJ36" s="168"/>
      <c r="BK36" s="326">
        <v>130</v>
      </c>
      <c r="BL36" s="213">
        <v>40308</v>
      </c>
      <c r="BM36" s="336">
        <v>0</v>
      </c>
      <c r="BN36" s="326">
        <v>126</v>
      </c>
      <c r="BO36" s="213">
        <v>40669</v>
      </c>
      <c r="BP36" s="336">
        <v>0</v>
      </c>
    </row>
    <row r="37" spans="1:68">
      <c r="A37" s="16" t="s">
        <v>31</v>
      </c>
      <c r="B37" s="123">
        <v>41054</v>
      </c>
      <c r="C37" s="107" t="s">
        <v>72</v>
      </c>
      <c r="D37" s="106">
        <v>2</v>
      </c>
      <c r="E37" s="107">
        <v>1</v>
      </c>
      <c r="F37" s="107">
        <v>2</v>
      </c>
      <c r="G37" s="107">
        <v>1</v>
      </c>
      <c r="H37" s="107">
        <v>1</v>
      </c>
      <c r="I37" s="107">
        <v>1</v>
      </c>
      <c r="J37" s="107">
        <v>2</v>
      </c>
      <c r="K37" s="108">
        <v>1</v>
      </c>
      <c r="L37" s="108">
        <v>1</v>
      </c>
      <c r="M37" s="109">
        <v>0</v>
      </c>
      <c r="N37" s="106">
        <v>0</v>
      </c>
      <c r="O37" s="107">
        <v>0</v>
      </c>
      <c r="P37" s="107">
        <v>0</v>
      </c>
      <c r="Q37" s="107">
        <v>0</v>
      </c>
      <c r="R37" s="107">
        <v>0</v>
      </c>
      <c r="S37" s="107">
        <v>0</v>
      </c>
      <c r="T37" s="107">
        <v>0</v>
      </c>
      <c r="U37" s="108">
        <v>0</v>
      </c>
      <c r="V37" s="108">
        <v>0</v>
      </c>
      <c r="W37" s="109">
        <v>0</v>
      </c>
      <c r="X37" s="106">
        <v>0</v>
      </c>
      <c r="Y37" s="107">
        <v>2</v>
      </c>
      <c r="Z37" s="107">
        <v>0</v>
      </c>
      <c r="AA37" s="107">
        <v>0</v>
      </c>
      <c r="AB37" s="110">
        <v>1</v>
      </c>
      <c r="AC37" s="111">
        <v>0</v>
      </c>
      <c r="AD37" s="106">
        <v>0</v>
      </c>
      <c r="AE37" s="107">
        <v>0</v>
      </c>
      <c r="AF37" s="107">
        <v>0</v>
      </c>
      <c r="AG37" s="107">
        <v>0</v>
      </c>
      <c r="AH37" s="110">
        <v>0</v>
      </c>
      <c r="AI37" s="111">
        <v>0</v>
      </c>
      <c r="AJ37" s="119">
        <f t="shared" si="8"/>
        <v>1.2</v>
      </c>
      <c r="AK37" s="55">
        <f t="shared" si="1"/>
        <v>0</v>
      </c>
      <c r="AL37" s="55">
        <f t="shared" si="2"/>
        <v>0.6</v>
      </c>
      <c r="AM37" s="56">
        <f t="shared" si="3"/>
        <v>0</v>
      </c>
      <c r="AN37" s="168"/>
      <c r="AO37" s="168"/>
      <c r="AP37" s="168"/>
      <c r="AQ37" s="168"/>
      <c r="AR37" s="168"/>
      <c r="AS37" s="168"/>
      <c r="AT37" s="168"/>
      <c r="AU37" s="168"/>
      <c r="AV37" s="168"/>
      <c r="AW37" s="168"/>
      <c r="AX37" s="337">
        <f t="shared" si="4"/>
        <v>146</v>
      </c>
      <c r="AY37" s="232"/>
      <c r="AZ37" s="235"/>
      <c r="BA37" s="232"/>
      <c r="BB37" s="232"/>
      <c r="BC37" s="233"/>
      <c r="BD37" s="168"/>
      <c r="BE37" s="168"/>
      <c r="BF37" s="168"/>
      <c r="BG37" s="168"/>
      <c r="BH37" s="168"/>
      <c r="BI37" s="168"/>
      <c r="BJ37" s="168"/>
      <c r="BK37" s="326">
        <v>137</v>
      </c>
      <c r="BL37" s="213">
        <v>40315</v>
      </c>
      <c r="BM37" s="336">
        <v>0.2</v>
      </c>
      <c r="BN37" s="326">
        <v>130</v>
      </c>
      <c r="BO37" s="213">
        <v>40673</v>
      </c>
      <c r="BP37" s="336">
        <v>0.1</v>
      </c>
    </row>
    <row r="38" spans="1:68">
      <c r="A38" s="16" t="s">
        <v>31</v>
      </c>
      <c r="B38" s="123">
        <v>41057</v>
      </c>
      <c r="C38" s="107" t="s">
        <v>72</v>
      </c>
      <c r="D38" s="106">
        <v>2</v>
      </c>
      <c r="E38" s="107">
        <v>2</v>
      </c>
      <c r="F38" s="107">
        <v>3</v>
      </c>
      <c r="G38" s="107">
        <v>1</v>
      </c>
      <c r="H38" s="107">
        <v>1</v>
      </c>
      <c r="I38" s="107">
        <v>2</v>
      </c>
      <c r="J38" s="107">
        <v>2</v>
      </c>
      <c r="K38" s="108">
        <v>1</v>
      </c>
      <c r="L38" s="108">
        <v>2</v>
      </c>
      <c r="M38" s="109">
        <v>1</v>
      </c>
      <c r="N38" s="106">
        <v>0</v>
      </c>
      <c r="O38" s="107">
        <v>0</v>
      </c>
      <c r="P38" s="107">
        <v>1</v>
      </c>
      <c r="Q38" s="107">
        <v>0</v>
      </c>
      <c r="R38" s="107">
        <v>0</v>
      </c>
      <c r="S38" s="107">
        <v>0</v>
      </c>
      <c r="T38" s="107">
        <v>0</v>
      </c>
      <c r="U38" s="108">
        <v>0</v>
      </c>
      <c r="V38" s="108">
        <v>0</v>
      </c>
      <c r="W38" s="109">
        <v>0</v>
      </c>
      <c r="X38" s="106">
        <v>0</v>
      </c>
      <c r="Y38" s="107">
        <v>2</v>
      </c>
      <c r="Z38" s="107">
        <v>0</v>
      </c>
      <c r="AA38" s="107">
        <v>0</v>
      </c>
      <c r="AB38" s="110">
        <v>2</v>
      </c>
      <c r="AC38" s="111">
        <v>0</v>
      </c>
      <c r="AD38" s="106">
        <v>0</v>
      </c>
      <c r="AE38" s="107">
        <v>0</v>
      </c>
      <c r="AF38" s="107">
        <v>0</v>
      </c>
      <c r="AG38" s="107">
        <v>0</v>
      </c>
      <c r="AH38" s="110">
        <v>0</v>
      </c>
      <c r="AI38" s="111">
        <v>0</v>
      </c>
      <c r="AJ38" s="119">
        <f t="shared" si="8"/>
        <v>1.7</v>
      </c>
      <c r="AK38" s="55">
        <f t="shared" si="1"/>
        <v>0.1</v>
      </c>
      <c r="AL38" s="55">
        <f t="shared" si="2"/>
        <v>0.8</v>
      </c>
      <c r="AM38" s="56">
        <f t="shared" si="3"/>
        <v>0</v>
      </c>
      <c r="AN38" s="168"/>
      <c r="AO38" s="168"/>
      <c r="AP38" s="168"/>
      <c r="AQ38" s="168"/>
      <c r="AR38" s="168"/>
      <c r="AS38" s="168"/>
      <c r="AT38" s="168"/>
      <c r="AU38" s="168"/>
      <c r="AV38" s="168"/>
      <c r="AW38" s="168"/>
      <c r="AX38" s="337">
        <f t="shared" si="4"/>
        <v>149</v>
      </c>
      <c r="AY38" s="232"/>
      <c r="AZ38" s="235"/>
      <c r="BA38" s="232"/>
      <c r="BB38" s="232"/>
      <c r="BC38" s="233"/>
      <c r="BD38" s="168"/>
      <c r="BE38" s="168"/>
      <c r="BF38" s="168"/>
      <c r="BG38" s="168"/>
      <c r="BH38" s="168"/>
      <c r="BI38" s="168"/>
      <c r="BJ38" s="168"/>
      <c r="BK38" s="326">
        <v>141</v>
      </c>
      <c r="BL38" s="213">
        <v>40319</v>
      </c>
      <c r="BM38" s="336">
        <v>0.6</v>
      </c>
      <c r="BN38" s="326">
        <v>136</v>
      </c>
      <c r="BO38" s="213">
        <v>40679</v>
      </c>
      <c r="BP38" s="336">
        <v>0.7</v>
      </c>
    </row>
    <row r="39" spans="1:68">
      <c r="A39" s="16" t="s">
        <v>31</v>
      </c>
      <c r="B39" s="123">
        <v>41061</v>
      </c>
      <c r="C39" s="107" t="s">
        <v>72</v>
      </c>
      <c r="D39" s="106">
        <v>3</v>
      </c>
      <c r="E39" s="107">
        <v>2</v>
      </c>
      <c r="F39" s="107">
        <v>3</v>
      </c>
      <c r="G39" s="107">
        <v>2</v>
      </c>
      <c r="H39" s="107">
        <v>1</v>
      </c>
      <c r="I39" s="107">
        <v>2</v>
      </c>
      <c r="J39" s="107">
        <v>2</v>
      </c>
      <c r="K39" s="108">
        <v>1</v>
      </c>
      <c r="L39" s="108">
        <v>3</v>
      </c>
      <c r="M39" s="109">
        <v>1</v>
      </c>
      <c r="N39" s="106">
        <v>1</v>
      </c>
      <c r="O39" s="107">
        <v>1</v>
      </c>
      <c r="P39" s="107">
        <v>1</v>
      </c>
      <c r="Q39" s="107">
        <v>0</v>
      </c>
      <c r="R39" s="107">
        <v>0</v>
      </c>
      <c r="S39" s="107">
        <v>0</v>
      </c>
      <c r="T39" s="107">
        <v>0</v>
      </c>
      <c r="U39" s="108">
        <v>0</v>
      </c>
      <c r="V39" s="108">
        <v>1</v>
      </c>
      <c r="W39" s="109">
        <v>0</v>
      </c>
      <c r="X39" s="106">
        <v>0</v>
      </c>
      <c r="Y39" s="107">
        <v>2</v>
      </c>
      <c r="Z39" s="107">
        <v>1</v>
      </c>
      <c r="AA39" s="107">
        <v>1</v>
      </c>
      <c r="AB39" s="110">
        <v>3</v>
      </c>
      <c r="AC39" s="111">
        <v>0</v>
      </c>
      <c r="AD39" s="106">
        <v>0</v>
      </c>
      <c r="AE39" s="107">
        <v>0</v>
      </c>
      <c r="AF39" s="107">
        <v>0</v>
      </c>
      <c r="AG39" s="107">
        <v>0</v>
      </c>
      <c r="AH39" s="110">
        <v>0</v>
      </c>
      <c r="AI39" s="111">
        <v>0</v>
      </c>
      <c r="AJ39" s="119">
        <f t="shared" si="8"/>
        <v>2</v>
      </c>
      <c r="AK39" s="55">
        <f t="shared" si="1"/>
        <v>0.4</v>
      </c>
      <c r="AL39" s="55">
        <f t="shared" si="2"/>
        <v>1.4</v>
      </c>
      <c r="AM39" s="56">
        <f t="shared" si="3"/>
        <v>0</v>
      </c>
      <c r="AN39" s="168"/>
      <c r="AO39" s="168"/>
      <c r="AP39" s="168"/>
      <c r="AQ39" s="168"/>
      <c r="AR39" s="168"/>
      <c r="AS39" s="168"/>
      <c r="AT39" s="168"/>
      <c r="AU39" s="168"/>
      <c r="AV39" s="168"/>
      <c r="AW39" s="168"/>
      <c r="AX39" s="337">
        <f t="shared" si="4"/>
        <v>153</v>
      </c>
      <c r="AY39" s="232"/>
      <c r="AZ39" s="235"/>
      <c r="BA39" s="232"/>
      <c r="BB39" s="232"/>
      <c r="BC39" s="233"/>
      <c r="BD39" s="168"/>
      <c r="BE39" s="168"/>
      <c r="BF39" s="168"/>
      <c r="BG39" s="168"/>
      <c r="BH39" s="168"/>
      <c r="BI39" s="168"/>
      <c r="BJ39" s="168"/>
      <c r="BK39" s="326">
        <v>144</v>
      </c>
      <c r="BL39" s="213">
        <v>40322</v>
      </c>
      <c r="BM39" s="336">
        <v>0.6</v>
      </c>
      <c r="BN39" s="326">
        <v>140</v>
      </c>
      <c r="BO39" s="213">
        <v>40683</v>
      </c>
      <c r="BP39" s="336">
        <v>1.1000000000000001</v>
      </c>
    </row>
    <row r="40" spans="1:68">
      <c r="A40" s="16" t="s">
        <v>31</v>
      </c>
      <c r="B40" s="123">
        <v>41067</v>
      </c>
      <c r="C40" s="107" t="s">
        <v>72</v>
      </c>
      <c r="D40" s="106">
        <v>4</v>
      </c>
      <c r="E40" s="107">
        <v>3</v>
      </c>
      <c r="F40" s="107">
        <v>4</v>
      </c>
      <c r="G40" s="107">
        <v>2</v>
      </c>
      <c r="H40" s="107">
        <v>2</v>
      </c>
      <c r="I40" s="107">
        <v>3</v>
      </c>
      <c r="J40" s="107">
        <v>3</v>
      </c>
      <c r="K40" s="108">
        <v>1</v>
      </c>
      <c r="L40" s="108">
        <v>3</v>
      </c>
      <c r="M40" s="109">
        <v>1</v>
      </c>
      <c r="N40" s="106">
        <v>2</v>
      </c>
      <c r="O40" s="107">
        <v>2</v>
      </c>
      <c r="P40" s="107">
        <v>2</v>
      </c>
      <c r="Q40" s="107">
        <v>1</v>
      </c>
      <c r="R40" s="107">
        <v>0</v>
      </c>
      <c r="S40" s="107">
        <v>2</v>
      </c>
      <c r="T40" s="107">
        <v>1</v>
      </c>
      <c r="U40" s="108">
        <v>0</v>
      </c>
      <c r="V40" s="108">
        <v>1</v>
      </c>
      <c r="W40" s="109">
        <v>0</v>
      </c>
      <c r="X40" s="106">
        <v>0</v>
      </c>
      <c r="Y40" s="107">
        <v>3</v>
      </c>
      <c r="Z40" s="107">
        <v>2</v>
      </c>
      <c r="AA40" s="107">
        <v>3</v>
      </c>
      <c r="AB40" s="110">
        <v>3</v>
      </c>
      <c r="AC40" s="111">
        <v>1</v>
      </c>
      <c r="AD40" s="106">
        <v>0</v>
      </c>
      <c r="AE40" s="107">
        <v>1</v>
      </c>
      <c r="AF40" s="107">
        <v>1</v>
      </c>
      <c r="AG40" s="107">
        <v>1</v>
      </c>
      <c r="AH40" s="110">
        <v>1</v>
      </c>
      <c r="AI40" s="111">
        <v>1</v>
      </c>
      <c r="AJ40" s="119">
        <f t="shared" si="8"/>
        <v>2.6</v>
      </c>
      <c r="AK40" s="55">
        <f t="shared" si="1"/>
        <v>1.1000000000000001</v>
      </c>
      <c r="AL40" s="55">
        <f t="shared" si="2"/>
        <v>2.2000000000000002</v>
      </c>
      <c r="AM40" s="56">
        <f t="shared" si="3"/>
        <v>0.8</v>
      </c>
      <c r="AN40" s="168"/>
      <c r="AO40" s="168"/>
      <c r="AP40" s="168"/>
      <c r="AQ40" s="168"/>
      <c r="AR40" s="168"/>
      <c r="AS40" s="168"/>
      <c r="AT40" s="168"/>
      <c r="AU40" s="168"/>
      <c r="AV40" s="168"/>
      <c r="AW40" s="168"/>
      <c r="AX40" s="337">
        <f t="shared" si="4"/>
        <v>159</v>
      </c>
      <c r="AY40" s="232"/>
      <c r="AZ40" s="235"/>
      <c r="BA40" s="232"/>
      <c r="BB40" s="232"/>
      <c r="BC40" s="233"/>
      <c r="BD40" s="168"/>
      <c r="BE40" s="168"/>
      <c r="BF40" s="168"/>
      <c r="BG40" s="168"/>
      <c r="BH40" s="168"/>
      <c r="BI40" s="168"/>
      <c r="BJ40" s="168"/>
      <c r="BK40" s="326">
        <v>148</v>
      </c>
      <c r="BL40" s="213">
        <v>40326</v>
      </c>
      <c r="BM40" s="336">
        <v>1.2</v>
      </c>
      <c r="BN40" s="326">
        <v>146</v>
      </c>
      <c r="BO40" s="213">
        <v>40689</v>
      </c>
      <c r="BP40" s="336">
        <v>2.8</v>
      </c>
    </row>
    <row r="41" spans="1:68">
      <c r="A41" s="16" t="s">
        <v>31</v>
      </c>
      <c r="B41" s="123">
        <v>41071</v>
      </c>
      <c r="C41" s="107" t="s">
        <v>72</v>
      </c>
      <c r="D41" s="106"/>
      <c r="E41" s="107"/>
      <c r="F41" s="107"/>
      <c r="G41" s="107"/>
      <c r="H41" s="107"/>
      <c r="I41" s="107"/>
      <c r="J41" s="107"/>
      <c r="K41" s="108"/>
      <c r="L41" s="108"/>
      <c r="M41" s="109"/>
      <c r="N41" s="106"/>
      <c r="O41" s="107"/>
      <c r="P41" s="107"/>
      <c r="Q41" s="107"/>
      <c r="R41" s="107"/>
      <c r="S41" s="107"/>
      <c r="T41" s="107"/>
      <c r="U41" s="108"/>
      <c r="V41" s="108"/>
      <c r="W41" s="109"/>
      <c r="X41" s="106">
        <v>0</v>
      </c>
      <c r="Y41" s="107">
        <v>3</v>
      </c>
      <c r="Z41" s="107">
        <v>3</v>
      </c>
      <c r="AA41" s="107">
        <v>3</v>
      </c>
      <c r="AB41" s="110">
        <v>3</v>
      </c>
      <c r="AC41" s="111">
        <v>1</v>
      </c>
      <c r="AD41" s="106">
        <v>0</v>
      </c>
      <c r="AE41" s="107">
        <v>1</v>
      </c>
      <c r="AF41" s="107">
        <v>1</v>
      </c>
      <c r="AG41" s="107">
        <v>1</v>
      </c>
      <c r="AH41" s="110">
        <v>1</v>
      </c>
      <c r="AI41" s="111">
        <v>1</v>
      </c>
      <c r="AJ41" s="119" t="str">
        <f t="shared" si="8"/>
        <v/>
      </c>
      <c r="AK41" s="55" t="str">
        <f t="shared" si="1"/>
        <v/>
      </c>
      <c r="AL41" s="55">
        <f t="shared" si="2"/>
        <v>2.4</v>
      </c>
      <c r="AM41" s="56">
        <f t="shared" si="3"/>
        <v>0.8</v>
      </c>
      <c r="AN41" s="168"/>
      <c r="AO41" s="168"/>
      <c r="AP41" s="168"/>
      <c r="AQ41" s="168"/>
      <c r="AR41" s="168"/>
      <c r="AS41" s="168"/>
      <c r="AT41" s="168"/>
      <c r="AU41" s="168"/>
      <c r="AV41" s="168"/>
      <c r="AW41" s="168"/>
      <c r="AX41" s="337">
        <f t="shared" si="4"/>
        <v>163</v>
      </c>
      <c r="AY41" s="232"/>
      <c r="AZ41" s="235"/>
      <c r="BA41" s="232"/>
      <c r="BB41" s="232"/>
      <c r="BC41" s="233"/>
      <c r="BD41" s="168"/>
      <c r="BE41" s="168"/>
      <c r="BF41" s="168"/>
      <c r="BG41" s="168"/>
      <c r="BH41" s="168"/>
      <c r="BI41" s="168"/>
      <c r="BJ41" s="168"/>
      <c r="BK41" s="326">
        <v>154</v>
      </c>
      <c r="BL41" s="213">
        <v>40332</v>
      </c>
      <c r="BM41" s="336">
        <v>2.7</v>
      </c>
      <c r="BN41" s="326">
        <v>154</v>
      </c>
      <c r="BO41" s="213">
        <v>40697</v>
      </c>
      <c r="BP41" s="336">
        <v>4.4000000000000004</v>
      </c>
    </row>
    <row r="42" spans="1:68">
      <c r="A42" s="16" t="s">
        <v>31</v>
      </c>
      <c r="B42" s="123">
        <v>41075</v>
      </c>
      <c r="C42" s="107" t="s">
        <v>72</v>
      </c>
      <c r="D42" s="106">
        <v>4</v>
      </c>
      <c r="E42" s="107">
        <v>4</v>
      </c>
      <c r="F42" s="107">
        <v>5</v>
      </c>
      <c r="G42" s="107">
        <v>4</v>
      </c>
      <c r="H42" s="107">
        <v>4</v>
      </c>
      <c r="I42" s="107">
        <v>4</v>
      </c>
      <c r="J42" s="107">
        <v>4</v>
      </c>
      <c r="K42" s="108">
        <v>3</v>
      </c>
      <c r="L42" s="108">
        <v>4</v>
      </c>
      <c r="M42" s="109">
        <v>3</v>
      </c>
      <c r="N42" s="106">
        <v>2</v>
      </c>
      <c r="O42" s="107">
        <v>2</v>
      </c>
      <c r="P42" s="107">
        <v>2</v>
      </c>
      <c r="Q42" s="107">
        <v>2</v>
      </c>
      <c r="R42" s="107">
        <v>2</v>
      </c>
      <c r="S42" s="107">
        <v>2</v>
      </c>
      <c r="T42" s="107">
        <v>2</v>
      </c>
      <c r="U42" s="108">
        <v>2</v>
      </c>
      <c r="V42" s="108">
        <v>2</v>
      </c>
      <c r="W42" s="109">
        <v>1</v>
      </c>
      <c r="X42" s="106">
        <v>0</v>
      </c>
      <c r="Y42" s="107">
        <v>3</v>
      </c>
      <c r="Z42" s="107">
        <v>3</v>
      </c>
      <c r="AA42" s="107">
        <v>3</v>
      </c>
      <c r="AB42" s="110">
        <v>3</v>
      </c>
      <c r="AC42" s="111">
        <v>1</v>
      </c>
      <c r="AD42" s="106">
        <v>0</v>
      </c>
      <c r="AE42" s="107">
        <v>1</v>
      </c>
      <c r="AF42" s="107">
        <v>1</v>
      </c>
      <c r="AG42" s="107">
        <v>1</v>
      </c>
      <c r="AH42" s="110">
        <v>1</v>
      </c>
      <c r="AI42" s="111">
        <v>1</v>
      </c>
      <c r="AJ42" s="119">
        <f t="shared" si="8"/>
        <v>3.9</v>
      </c>
      <c r="AK42" s="55">
        <f t="shared" si="1"/>
        <v>1.9</v>
      </c>
      <c r="AL42" s="55">
        <f t="shared" si="2"/>
        <v>2.4</v>
      </c>
      <c r="AM42" s="56">
        <f t="shared" si="3"/>
        <v>0.8</v>
      </c>
      <c r="AN42" s="168"/>
      <c r="AO42" s="168"/>
      <c r="AP42" s="168"/>
      <c r="AQ42" s="168"/>
      <c r="AR42" s="168"/>
      <c r="AS42" s="168"/>
      <c r="AT42" s="168"/>
      <c r="AU42" s="168"/>
      <c r="AV42" s="168"/>
      <c r="AW42" s="168"/>
      <c r="AX42" s="337">
        <f t="shared" si="4"/>
        <v>167</v>
      </c>
      <c r="AY42" s="232"/>
      <c r="AZ42" s="235"/>
      <c r="BA42" s="232"/>
      <c r="BB42" s="232"/>
      <c r="BC42" s="233"/>
      <c r="BD42" s="168"/>
      <c r="BE42" s="168"/>
      <c r="BF42" s="168"/>
      <c r="BG42" s="168"/>
      <c r="BH42" s="168"/>
      <c r="BI42" s="168"/>
      <c r="BJ42" s="168"/>
      <c r="BK42" s="326">
        <v>161</v>
      </c>
      <c r="BL42" s="213">
        <v>40339</v>
      </c>
      <c r="BM42" s="336">
        <v>3.9</v>
      </c>
      <c r="BN42" s="326">
        <v>160</v>
      </c>
      <c r="BO42" s="213">
        <v>40703</v>
      </c>
      <c r="BP42" s="336">
        <v>5.6</v>
      </c>
    </row>
    <row r="43" spans="1:68">
      <c r="A43" s="16" t="s">
        <v>31</v>
      </c>
      <c r="B43" s="123">
        <v>41081</v>
      </c>
      <c r="C43" s="107" t="s">
        <v>80</v>
      </c>
      <c r="D43" s="106">
        <v>5</v>
      </c>
      <c r="E43" s="107">
        <v>5</v>
      </c>
      <c r="F43" s="107">
        <v>6</v>
      </c>
      <c r="G43" s="107">
        <v>5</v>
      </c>
      <c r="H43" s="107">
        <v>5</v>
      </c>
      <c r="I43" s="107">
        <v>5</v>
      </c>
      <c r="J43" s="107">
        <v>6</v>
      </c>
      <c r="K43" s="108">
        <v>4</v>
      </c>
      <c r="L43" s="108">
        <v>5</v>
      </c>
      <c r="M43" s="109">
        <v>4</v>
      </c>
      <c r="N43" s="106">
        <v>2</v>
      </c>
      <c r="O43" s="107">
        <v>2</v>
      </c>
      <c r="P43" s="107">
        <v>2</v>
      </c>
      <c r="Q43" s="107">
        <v>2</v>
      </c>
      <c r="R43" s="107">
        <v>2</v>
      </c>
      <c r="S43" s="107">
        <v>2</v>
      </c>
      <c r="T43" s="107">
        <v>2</v>
      </c>
      <c r="U43" s="108">
        <v>2</v>
      </c>
      <c r="V43" s="108">
        <v>2</v>
      </c>
      <c r="W43" s="109">
        <v>2</v>
      </c>
      <c r="X43" s="106">
        <v>0</v>
      </c>
      <c r="Y43" s="107">
        <v>3</v>
      </c>
      <c r="Z43" s="107">
        <v>3</v>
      </c>
      <c r="AA43" s="107">
        <v>3</v>
      </c>
      <c r="AB43" s="110">
        <v>3</v>
      </c>
      <c r="AC43" s="111">
        <v>1</v>
      </c>
      <c r="AD43" s="106">
        <v>0</v>
      </c>
      <c r="AE43" s="107">
        <v>1</v>
      </c>
      <c r="AF43" s="107">
        <v>1</v>
      </c>
      <c r="AG43" s="107">
        <v>1</v>
      </c>
      <c r="AH43" s="110">
        <v>1</v>
      </c>
      <c r="AI43" s="111">
        <v>1</v>
      </c>
      <c r="AJ43" s="119">
        <f t="shared" si="8"/>
        <v>5</v>
      </c>
      <c r="AK43" s="55">
        <f t="shared" si="1"/>
        <v>2</v>
      </c>
      <c r="AL43" s="55">
        <f t="shared" si="2"/>
        <v>2.4</v>
      </c>
      <c r="AM43" s="56">
        <f t="shared" si="3"/>
        <v>0.8</v>
      </c>
      <c r="AN43" s="168"/>
      <c r="AO43" s="168"/>
      <c r="AP43" s="168"/>
      <c r="AQ43" s="168"/>
      <c r="AR43" s="168"/>
      <c r="AS43" s="168"/>
      <c r="AT43" s="168"/>
      <c r="AU43" s="168"/>
      <c r="AV43" s="168"/>
      <c r="AW43" s="168"/>
      <c r="AX43" s="337">
        <f t="shared" si="4"/>
        <v>173</v>
      </c>
      <c r="AY43" s="232"/>
      <c r="AZ43" s="235"/>
      <c r="BA43" s="232"/>
      <c r="BB43" s="232"/>
      <c r="BC43" s="233"/>
      <c r="BD43" s="168"/>
      <c r="BE43" s="168"/>
      <c r="BF43" s="168"/>
      <c r="BG43" s="168"/>
      <c r="BH43" s="168"/>
      <c r="BI43" s="168"/>
      <c r="BJ43" s="168"/>
      <c r="BK43" s="326">
        <v>168</v>
      </c>
      <c r="BL43" s="213">
        <v>40346</v>
      </c>
      <c r="BM43" s="336">
        <v>5.4</v>
      </c>
      <c r="BN43" s="326">
        <v>168</v>
      </c>
      <c r="BO43" s="213">
        <v>40711</v>
      </c>
      <c r="BP43" s="336">
        <v>6</v>
      </c>
    </row>
    <row r="44" spans="1:68">
      <c r="A44" s="16" t="s">
        <v>31</v>
      </c>
      <c r="B44" s="123">
        <v>41089</v>
      </c>
      <c r="C44" s="107" t="s">
        <v>80</v>
      </c>
      <c r="D44" s="106">
        <v>7</v>
      </c>
      <c r="E44" s="107">
        <v>6</v>
      </c>
      <c r="F44" s="107">
        <v>6</v>
      </c>
      <c r="G44" s="107">
        <v>6</v>
      </c>
      <c r="H44" s="107">
        <v>6</v>
      </c>
      <c r="I44" s="107">
        <v>7</v>
      </c>
      <c r="J44" s="107">
        <v>7</v>
      </c>
      <c r="K44" s="108">
        <v>7</v>
      </c>
      <c r="L44" s="108">
        <v>6</v>
      </c>
      <c r="M44" s="109">
        <v>6</v>
      </c>
      <c r="N44" s="106">
        <v>2</v>
      </c>
      <c r="O44" s="107">
        <v>2</v>
      </c>
      <c r="P44" s="107">
        <v>2</v>
      </c>
      <c r="Q44" s="107">
        <v>2</v>
      </c>
      <c r="R44" s="107">
        <v>2</v>
      </c>
      <c r="S44" s="107">
        <v>2</v>
      </c>
      <c r="T44" s="107">
        <v>2</v>
      </c>
      <c r="U44" s="108">
        <v>2</v>
      </c>
      <c r="V44" s="108">
        <v>2</v>
      </c>
      <c r="W44" s="109">
        <v>2</v>
      </c>
      <c r="X44" s="106">
        <v>0</v>
      </c>
      <c r="Y44" s="107">
        <v>3</v>
      </c>
      <c r="Z44" s="107">
        <v>3</v>
      </c>
      <c r="AA44" s="107">
        <v>3</v>
      </c>
      <c r="AB44" s="110">
        <v>3</v>
      </c>
      <c r="AC44" s="111">
        <v>1</v>
      </c>
      <c r="AD44" s="106">
        <v>0</v>
      </c>
      <c r="AE44" s="107">
        <v>1</v>
      </c>
      <c r="AF44" s="107">
        <v>1</v>
      </c>
      <c r="AG44" s="107">
        <v>1</v>
      </c>
      <c r="AH44" s="110">
        <v>1</v>
      </c>
      <c r="AI44" s="111">
        <v>1</v>
      </c>
      <c r="AJ44" s="119">
        <f t="shared" si="8"/>
        <v>6.4</v>
      </c>
      <c r="AK44" s="55">
        <f t="shared" si="1"/>
        <v>2</v>
      </c>
      <c r="AL44" s="55">
        <f t="shared" si="2"/>
        <v>2.4</v>
      </c>
      <c r="AM44" s="56">
        <f t="shared" si="3"/>
        <v>0.8</v>
      </c>
      <c r="AN44" s="168"/>
      <c r="AO44" s="168"/>
      <c r="AP44" s="168"/>
      <c r="AQ44" s="168"/>
      <c r="AR44" s="168"/>
      <c r="AS44" s="168"/>
      <c r="AT44" s="168"/>
      <c r="AU44" s="168"/>
      <c r="AV44" s="168"/>
      <c r="AW44" s="168"/>
      <c r="AX44" s="337">
        <f t="shared" si="4"/>
        <v>181</v>
      </c>
      <c r="AY44" s="232"/>
      <c r="AZ44" s="235"/>
      <c r="BA44" s="232"/>
      <c r="BB44" s="232"/>
      <c r="BC44" s="233"/>
      <c r="BD44" s="168"/>
      <c r="BE44" s="168"/>
      <c r="BF44" s="168"/>
      <c r="BG44" s="168"/>
      <c r="BH44" s="168"/>
      <c r="BI44" s="168"/>
      <c r="BJ44" s="168"/>
      <c r="BK44" s="326">
        <v>175</v>
      </c>
      <c r="BL44" s="213">
        <v>40353</v>
      </c>
      <c r="BM44" s="336">
        <v>6</v>
      </c>
      <c r="BN44" s="326">
        <v>174</v>
      </c>
      <c r="BO44" s="213">
        <v>40717</v>
      </c>
      <c r="BP44" s="336">
        <v>6</v>
      </c>
    </row>
    <row r="45" spans="1:68">
      <c r="A45" s="16" t="s">
        <v>31</v>
      </c>
      <c r="B45" s="123">
        <v>41098</v>
      </c>
      <c r="C45" s="107" t="s">
        <v>72</v>
      </c>
      <c r="D45" s="106">
        <v>8</v>
      </c>
      <c r="E45" s="107">
        <v>8</v>
      </c>
      <c r="F45" s="107">
        <v>8</v>
      </c>
      <c r="G45" s="107">
        <v>8</v>
      </c>
      <c r="H45" s="107">
        <v>8</v>
      </c>
      <c r="I45" s="107">
        <v>8</v>
      </c>
      <c r="J45" s="107">
        <v>8</v>
      </c>
      <c r="K45" s="108">
        <v>8</v>
      </c>
      <c r="L45" s="108">
        <v>7</v>
      </c>
      <c r="M45" s="109">
        <v>7</v>
      </c>
      <c r="N45" s="106">
        <v>2</v>
      </c>
      <c r="O45" s="107">
        <v>2</v>
      </c>
      <c r="P45" s="107">
        <v>2</v>
      </c>
      <c r="Q45" s="107">
        <v>2</v>
      </c>
      <c r="R45" s="107">
        <v>2</v>
      </c>
      <c r="S45" s="107">
        <v>2</v>
      </c>
      <c r="T45" s="107">
        <v>2</v>
      </c>
      <c r="U45" s="108">
        <v>2</v>
      </c>
      <c r="V45" s="108">
        <v>2</v>
      </c>
      <c r="W45" s="109">
        <v>2</v>
      </c>
      <c r="X45" s="106">
        <v>0</v>
      </c>
      <c r="Y45" s="107">
        <v>3</v>
      </c>
      <c r="Z45" s="107">
        <v>3</v>
      </c>
      <c r="AA45" s="107">
        <v>3</v>
      </c>
      <c r="AB45" s="110">
        <v>3</v>
      </c>
      <c r="AC45" s="111">
        <v>1</v>
      </c>
      <c r="AD45" s="106">
        <v>0</v>
      </c>
      <c r="AE45" s="107">
        <v>1</v>
      </c>
      <c r="AF45" s="107">
        <v>1</v>
      </c>
      <c r="AG45" s="107">
        <v>1</v>
      </c>
      <c r="AH45" s="110">
        <v>1</v>
      </c>
      <c r="AI45" s="111">
        <v>1</v>
      </c>
      <c r="AJ45" s="119">
        <f t="shared" si="8"/>
        <v>7.8</v>
      </c>
      <c r="AK45" s="55">
        <f t="shared" si="1"/>
        <v>2</v>
      </c>
      <c r="AL45" s="55">
        <f t="shared" si="2"/>
        <v>2.4</v>
      </c>
      <c r="AM45" s="56">
        <f t="shared" si="3"/>
        <v>0.8</v>
      </c>
      <c r="AN45" s="168"/>
      <c r="AO45" s="168"/>
      <c r="AP45" s="168"/>
      <c r="AQ45" s="168"/>
      <c r="AR45" s="168"/>
      <c r="AS45" s="168"/>
      <c r="AT45" s="168"/>
      <c r="AU45" s="168"/>
      <c r="AV45" s="168"/>
      <c r="AW45" s="168"/>
      <c r="AX45" s="337">
        <f t="shared" si="4"/>
        <v>190</v>
      </c>
      <c r="AY45" s="232"/>
      <c r="AZ45" s="235"/>
      <c r="BA45" s="232"/>
      <c r="BB45" s="232"/>
      <c r="BC45" s="233"/>
      <c r="BD45" s="168"/>
      <c r="BE45" s="168"/>
      <c r="BF45" s="168"/>
      <c r="BG45" s="168"/>
      <c r="BH45" s="168"/>
      <c r="BI45" s="168"/>
      <c r="BJ45" s="168"/>
      <c r="BK45" s="326">
        <v>183</v>
      </c>
      <c r="BL45" s="213">
        <v>40361</v>
      </c>
      <c r="BM45" s="336">
        <v>7</v>
      </c>
      <c r="BN45" s="326">
        <v>182</v>
      </c>
      <c r="BO45" s="213">
        <v>40725</v>
      </c>
      <c r="BP45" s="336">
        <v>7.4</v>
      </c>
    </row>
    <row r="46" spans="1:68">
      <c r="A46" s="16" t="s">
        <v>31</v>
      </c>
      <c r="B46" s="123">
        <v>41105</v>
      </c>
      <c r="C46" s="107" t="s">
        <v>72</v>
      </c>
      <c r="D46" s="106">
        <v>8</v>
      </c>
      <c r="E46" s="107">
        <v>8</v>
      </c>
      <c r="F46" s="107">
        <v>8</v>
      </c>
      <c r="G46" s="107">
        <v>8</v>
      </c>
      <c r="H46" s="107">
        <v>8</v>
      </c>
      <c r="I46" s="107">
        <v>8</v>
      </c>
      <c r="J46" s="107">
        <v>8</v>
      </c>
      <c r="K46" s="108">
        <v>8</v>
      </c>
      <c r="L46" s="108">
        <v>8</v>
      </c>
      <c r="M46" s="109">
        <v>8</v>
      </c>
      <c r="N46" s="106">
        <v>2</v>
      </c>
      <c r="O46" s="107">
        <v>2</v>
      </c>
      <c r="P46" s="107">
        <v>2</v>
      </c>
      <c r="Q46" s="107">
        <v>2</v>
      </c>
      <c r="R46" s="107">
        <v>2</v>
      </c>
      <c r="S46" s="107">
        <v>2</v>
      </c>
      <c r="T46" s="107">
        <v>2</v>
      </c>
      <c r="U46" s="108">
        <v>2</v>
      </c>
      <c r="V46" s="108">
        <v>2</v>
      </c>
      <c r="W46" s="109">
        <v>2</v>
      </c>
      <c r="X46" s="106">
        <v>0</v>
      </c>
      <c r="Y46" s="107">
        <v>3</v>
      </c>
      <c r="Z46" s="107">
        <v>3</v>
      </c>
      <c r="AA46" s="107">
        <v>3</v>
      </c>
      <c r="AB46" s="110">
        <v>3</v>
      </c>
      <c r="AC46" s="111">
        <v>1</v>
      </c>
      <c r="AD46" s="106">
        <v>0</v>
      </c>
      <c r="AE46" s="107">
        <v>1</v>
      </c>
      <c r="AF46" s="107">
        <v>1</v>
      </c>
      <c r="AG46" s="107">
        <v>1</v>
      </c>
      <c r="AH46" s="110">
        <v>1</v>
      </c>
      <c r="AI46" s="111">
        <v>1</v>
      </c>
      <c r="AJ46" s="119">
        <f t="shared" si="8"/>
        <v>8</v>
      </c>
      <c r="AK46" s="55">
        <f t="shared" si="1"/>
        <v>2</v>
      </c>
      <c r="AL46" s="55">
        <f t="shared" si="2"/>
        <v>2.4</v>
      </c>
      <c r="AM46" s="56">
        <f t="shared" si="3"/>
        <v>0.8</v>
      </c>
      <c r="AN46" s="168"/>
      <c r="AO46" s="168"/>
      <c r="AP46" s="168"/>
      <c r="AQ46" s="168"/>
      <c r="AR46" s="168"/>
      <c r="AS46" s="168"/>
      <c r="AT46" s="168"/>
      <c r="AU46" s="168"/>
      <c r="AV46" s="168"/>
      <c r="AW46" s="168"/>
      <c r="AX46" s="337">
        <f t="shared" si="4"/>
        <v>197</v>
      </c>
      <c r="AY46" s="232"/>
      <c r="AZ46" s="235"/>
      <c r="BA46" s="232"/>
      <c r="BB46" s="232"/>
      <c r="BC46" s="233"/>
      <c r="BD46" s="168"/>
      <c r="BE46" s="168"/>
      <c r="BF46" s="168"/>
      <c r="BG46" s="168"/>
      <c r="BH46" s="168"/>
      <c r="BI46" s="168"/>
      <c r="BJ46" s="168"/>
      <c r="BK46" s="326">
        <v>193</v>
      </c>
      <c r="BL46" s="213">
        <v>40371</v>
      </c>
      <c r="BM46" s="336">
        <v>8</v>
      </c>
      <c r="BN46" s="326">
        <v>187</v>
      </c>
      <c r="BO46" s="213">
        <v>40730</v>
      </c>
      <c r="BP46" s="336">
        <v>8</v>
      </c>
    </row>
    <row r="47" spans="1:68">
      <c r="A47" s="16" t="s">
        <v>31</v>
      </c>
      <c r="B47" s="123"/>
      <c r="C47" s="107"/>
      <c r="D47" s="106"/>
      <c r="E47" s="107"/>
      <c r="F47" s="107"/>
      <c r="G47" s="107"/>
      <c r="H47" s="107"/>
      <c r="I47" s="107"/>
      <c r="J47" s="107"/>
      <c r="K47" s="108"/>
      <c r="L47" s="108"/>
      <c r="M47" s="109"/>
      <c r="N47" s="106"/>
      <c r="O47" s="107"/>
      <c r="P47" s="107"/>
      <c r="Q47" s="107"/>
      <c r="R47" s="107"/>
      <c r="S47" s="107"/>
      <c r="T47" s="107"/>
      <c r="U47" s="108"/>
      <c r="V47" s="108"/>
      <c r="W47" s="109"/>
      <c r="X47" s="106"/>
      <c r="Y47" s="107"/>
      <c r="Z47" s="107"/>
      <c r="AA47" s="107"/>
      <c r="AB47" s="110"/>
      <c r="AC47" s="111"/>
      <c r="AD47" s="106"/>
      <c r="AE47" s="107"/>
      <c r="AF47" s="107"/>
      <c r="AG47" s="107"/>
      <c r="AH47" s="110"/>
      <c r="AI47" s="111"/>
      <c r="AJ47" s="119" t="str">
        <f t="shared" si="8"/>
        <v/>
      </c>
      <c r="AK47" s="55" t="str">
        <f t="shared" si="1"/>
        <v/>
      </c>
      <c r="AL47" s="55"/>
      <c r="AM47" s="56"/>
      <c r="AN47" s="168"/>
      <c r="AO47" s="168"/>
      <c r="AP47" s="168"/>
      <c r="AQ47" s="168"/>
      <c r="AR47" s="168"/>
      <c r="AS47" s="168"/>
      <c r="AT47" s="168"/>
      <c r="AU47" s="168"/>
      <c r="AV47" s="168"/>
      <c r="AW47" s="168"/>
      <c r="AX47" s="337">
        <f t="shared" si="4"/>
        <v>197</v>
      </c>
      <c r="AY47" s="232"/>
      <c r="AZ47" s="235"/>
      <c r="BA47" s="232"/>
      <c r="BB47" s="232"/>
      <c r="BC47" s="233"/>
      <c r="BD47" s="168"/>
      <c r="BE47" s="168"/>
      <c r="BF47" s="168"/>
      <c r="BG47" s="168"/>
      <c r="BH47" s="168"/>
      <c r="BI47" s="168"/>
      <c r="BJ47" s="168"/>
      <c r="BK47" s="326"/>
      <c r="BL47" s="213"/>
      <c r="BM47" s="336" t="s">
        <v>59</v>
      </c>
      <c r="BN47" s="326"/>
      <c r="BO47" s="213"/>
      <c r="BP47" s="336" t="s">
        <v>59</v>
      </c>
    </row>
    <row r="48" spans="1:68">
      <c r="A48" s="16" t="s">
        <v>31</v>
      </c>
      <c r="B48" s="123"/>
      <c r="C48" s="107"/>
      <c r="D48" s="106"/>
      <c r="E48" s="107"/>
      <c r="F48" s="107"/>
      <c r="G48" s="107"/>
      <c r="H48" s="107"/>
      <c r="I48" s="107"/>
      <c r="J48" s="107"/>
      <c r="K48" s="108"/>
      <c r="L48" s="108"/>
      <c r="M48" s="109"/>
      <c r="N48" s="106"/>
      <c r="O48" s="107"/>
      <c r="P48" s="107"/>
      <c r="Q48" s="107"/>
      <c r="R48" s="107"/>
      <c r="S48" s="107"/>
      <c r="T48" s="107"/>
      <c r="U48" s="108"/>
      <c r="V48" s="108"/>
      <c r="W48" s="109"/>
      <c r="X48" s="106"/>
      <c r="Y48" s="107"/>
      <c r="Z48" s="107"/>
      <c r="AA48" s="107"/>
      <c r="AB48" s="110"/>
      <c r="AC48" s="111"/>
      <c r="AD48" s="106"/>
      <c r="AE48" s="107"/>
      <c r="AF48" s="107"/>
      <c r="AG48" s="107"/>
      <c r="AH48" s="110"/>
      <c r="AI48" s="111"/>
      <c r="AJ48" s="119" t="str">
        <f t="shared" si="8"/>
        <v/>
      </c>
      <c r="AK48" s="55" t="str">
        <f t="shared" si="1"/>
        <v/>
      </c>
      <c r="AL48" s="55"/>
      <c r="AM48" s="56"/>
      <c r="AN48" s="168"/>
      <c r="AO48" s="168"/>
      <c r="AP48" s="168"/>
      <c r="AQ48" s="168"/>
      <c r="AR48" s="168"/>
      <c r="AS48" s="168"/>
      <c r="AT48" s="168"/>
      <c r="AU48" s="168"/>
      <c r="AV48" s="168"/>
      <c r="AW48" s="168"/>
      <c r="AX48" s="337">
        <f t="shared" si="4"/>
        <v>197</v>
      </c>
      <c r="AY48" s="232"/>
      <c r="AZ48" s="235"/>
      <c r="BA48" s="232"/>
      <c r="BB48" s="232"/>
      <c r="BC48" s="233"/>
      <c r="BD48" s="168"/>
      <c r="BE48" s="168"/>
      <c r="BF48" s="168"/>
      <c r="BG48" s="168"/>
      <c r="BH48" s="168"/>
      <c r="BI48" s="168"/>
      <c r="BJ48" s="168"/>
      <c r="BK48" s="326"/>
      <c r="BL48" s="213"/>
      <c r="BM48" s="336" t="s">
        <v>59</v>
      </c>
      <c r="BN48" s="326"/>
      <c r="BO48" s="213"/>
      <c r="BP48" s="336" t="s">
        <v>59</v>
      </c>
    </row>
    <row r="49" spans="1:68">
      <c r="A49" s="16" t="s">
        <v>31</v>
      </c>
      <c r="B49" s="123"/>
      <c r="C49" s="107"/>
      <c r="D49" s="106"/>
      <c r="E49" s="107"/>
      <c r="F49" s="107"/>
      <c r="G49" s="107"/>
      <c r="H49" s="107"/>
      <c r="I49" s="107"/>
      <c r="J49" s="107"/>
      <c r="K49" s="108"/>
      <c r="L49" s="108"/>
      <c r="M49" s="109"/>
      <c r="N49" s="106"/>
      <c r="O49" s="107"/>
      <c r="P49" s="107"/>
      <c r="Q49" s="107"/>
      <c r="R49" s="107"/>
      <c r="S49" s="107"/>
      <c r="T49" s="107"/>
      <c r="U49" s="108"/>
      <c r="V49" s="108"/>
      <c r="W49" s="109"/>
      <c r="X49" s="106"/>
      <c r="Y49" s="107"/>
      <c r="Z49" s="107"/>
      <c r="AA49" s="107"/>
      <c r="AB49" s="110"/>
      <c r="AC49" s="111"/>
      <c r="AD49" s="106"/>
      <c r="AE49" s="107"/>
      <c r="AF49" s="107"/>
      <c r="AG49" s="107"/>
      <c r="AH49" s="110"/>
      <c r="AI49" s="111"/>
      <c r="AJ49" s="119" t="str">
        <f t="shared" si="8"/>
        <v/>
      </c>
      <c r="AK49" s="55" t="str">
        <f t="shared" si="1"/>
        <v/>
      </c>
      <c r="AL49" s="55"/>
      <c r="AM49" s="56"/>
      <c r="AN49" s="168"/>
      <c r="AO49" s="168"/>
      <c r="AP49" s="168"/>
      <c r="AQ49" s="168"/>
      <c r="AR49" s="168"/>
      <c r="AS49" s="168"/>
      <c r="AT49" s="168"/>
      <c r="AU49" s="168"/>
      <c r="AV49" s="168"/>
      <c r="AW49" s="168"/>
      <c r="AX49" s="337">
        <f t="shared" si="4"/>
        <v>197</v>
      </c>
      <c r="AY49" s="232"/>
      <c r="AZ49" s="235"/>
      <c r="BA49" s="232"/>
      <c r="BB49" s="232"/>
      <c r="BC49" s="233"/>
      <c r="BD49" s="168"/>
      <c r="BE49" s="168"/>
      <c r="BF49" s="168"/>
      <c r="BG49" s="168"/>
      <c r="BH49" s="168"/>
      <c r="BI49" s="168"/>
      <c r="BJ49" s="168"/>
      <c r="BK49" s="326"/>
      <c r="BL49" s="213"/>
      <c r="BM49" s="336" t="s">
        <v>59</v>
      </c>
      <c r="BN49" s="326"/>
      <c r="BO49" s="213"/>
      <c r="BP49" s="336" t="s">
        <v>59</v>
      </c>
    </row>
    <row r="50" spans="1:68">
      <c r="A50" s="16" t="s">
        <v>31</v>
      </c>
      <c r="B50" s="123"/>
      <c r="C50" s="107"/>
      <c r="D50" s="106"/>
      <c r="E50" s="107"/>
      <c r="F50" s="107"/>
      <c r="G50" s="107"/>
      <c r="H50" s="107"/>
      <c r="I50" s="107"/>
      <c r="J50" s="107"/>
      <c r="K50" s="108"/>
      <c r="L50" s="108"/>
      <c r="M50" s="109"/>
      <c r="N50" s="106"/>
      <c r="O50" s="107"/>
      <c r="P50" s="107"/>
      <c r="Q50" s="107"/>
      <c r="R50" s="107"/>
      <c r="S50" s="107"/>
      <c r="T50" s="107"/>
      <c r="U50" s="108"/>
      <c r="V50" s="108"/>
      <c r="W50" s="109"/>
      <c r="X50" s="106"/>
      <c r="Y50" s="107"/>
      <c r="Z50" s="107"/>
      <c r="AA50" s="107"/>
      <c r="AB50" s="110"/>
      <c r="AC50" s="111"/>
      <c r="AD50" s="106"/>
      <c r="AE50" s="107"/>
      <c r="AF50" s="107"/>
      <c r="AG50" s="107"/>
      <c r="AH50" s="110"/>
      <c r="AI50" s="111"/>
      <c r="AJ50" s="119" t="str">
        <f t="shared" si="8"/>
        <v/>
      </c>
      <c r="AK50" s="55" t="str">
        <f t="shared" si="1"/>
        <v/>
      </c>
      <c r="AL50" s="55"/>
      <c r="AM50" s="56"/>
      <c r="AN50" s="168"/>
      <c r="AO50" s="168"/>
      <c r="AP50" s="168"/>
      <c r="AQ50" s="168"/>
      <c r="AR50" s="168"/>
      <c r="AS50" s="168"/>
      <c r="AT50" s="168"/>
      <c r="AU50" s="168"/>
      <c r="AV50" s="168"/>
      <c r="AW50" s="168"/>
      <c r="AX50" s="337">
        <f t="shared" si="4"/>
        <v>197</v>
      </c>
      <c r="AY50" s="232"/>
      <c r="AZ50" s="235"/>
      <c r="BA50" s="232"/>
      <c r="BB50" s="232"/>
      <c r="BC50" s="233"/>
      <c r="BD50" s="168"/>
      <c r="BE50" s="168"/>
      <c r="BF50" s="168"/>
      <c r="BG50" s="168"/>
      <c r="BH50" s="168"/>
      <c r="BI50" s="168"/>
      <c r="BJ50" s="168"/>
      <c r="BK50" s="326"/>
      <c r="BL50" s="213"/>
      <c r="BM50" s="336" t="s">
        <v>59</v>
      </c>
      <c r="BN50" s="326"/>
      <c r="BO50" s="213"/>
      <c r="BP50" s="336" t="s">
        <v>59</v>
      </c>
    </row>
    <row r="51" spans="1:68">
      <c r="A51" s="16" t="s">
        <v>31</v>
      </c>
      <c r="B51" s="123"/>
      <c r="C51" s="107"/>
      <c r="D51" s="106"/>
      <c r="E51" s="107"/>
      <c r="F51" s="107"/>
      <c r="G51" s="107"/>
      <c r="H51" s="107"/>
      <c r="I51" s="107"/>
      <c r="J51" s="107"/>
      <c r="K51" s="108"/>
      <c r="L51" s="108"/>
      <c r="M51" s="109"/>
      <c r="N51" s="106"/>
      <c r="O51" s="107"/>
      <c r="P51" s="107"/>
      <c r="Q51" s="107"/>
      <c r="R51" s="107"/>
      <c r="S51" s="107"/>
      <c r="T51" s="107"/>
      <c r="U51" s="108"/>
      <c r="V51" s="108"/>
      <c r="W51" s="109"/>
      <c r="X51" s="106"/>
      <c r="Y51" s="107"/>
      <c r="Z51" s="107"/>
      <c r="AA51" s="107"/>
      <c r="AB51" s="110"/>
      <c r="AC51" s="111"/>
      <c r="AD51" s="106"/>
      <c r="AE51" s="107"/>
      <c r="AF51" s="107"/>
      <c r="AG51" s="107"/>
      <c r="AH51" s="110"/>
      <c r="AI51" s="111"/>
      <c r="AJ51" s="119" t="str">
        <f t="shared" si="8"/>
        <v/>
      </c>
      <c r="AK51" s="55" t="str">
        <f t="shared" si="1"/>
        <v/>
      </c>
      <c r="AL51" s="55"/>
      <c r="AM51" s="56"/>
      <c r="AN51" s="168"/>
      <c r="AO51" s="168"/>
      <c r="AP51" s="168"/>
      <c r="AQ51" s="168"/>
      <c r="AR51" s="168"/>
      <c r="AS51" s="168"/>
      <c r="AT51" s="168"/>
      <c r="AU51" s="168"/>
      <c r="AV51" s="168"/>
      <c r="AW51" s="168"/>
      <c r="AX51" s="337">
        <f t="shared" si="4"/>
        <v>197</v>
      </c>
      <c r="AY51" s="232"/>
      <c r="AZ51" s="235"/>
      <c r="BA51" s="232"/>
      <c r="BB51" s="232"/>
      <c r="BC51" s="233"/>
      <c r="BD51" s="168"/>
      <c r="BE51" s="168"/>
      <c r="BF51" s="168"/>
      <c r="BG51" s="168"/>
      <c r="BH51" s="168"/>
      <c r="BI51" s="168"/>
      <c r="BJ51" s="168"/>
      <c r="BK51" s="326"/>
      <c r="BL51" s="213"/>
      <c r="BM51" s="336" t="s">
        <v>59</v>
      </c>
      <c r="BN51" s="326"/>
      <c r="BO51" s="213"/>
      <c r="BP51" s="336" t="s">
        <v>59</v>
      </c>
    </row>
    <row r="52" spans="1:68">
      <c r="A52" s="16" t="s">
        <v>31</v>
      </c>
      <c r="B52" s="123"/>
      <c r="C52" s="107"/>
      <c r="D52" s="106"/>
      <c r="E52" s="107"/>
      <c r="F52" s="107"/>
      <c r="G52" s="107"/>
      <c r="H52" s="107"/>
      <c r="I52" s="107"/>
      <c r="J52" s="107"/>
      <c r="K52" s="108"/>
      <c r="L52" s="108"/>
      <c r="M52" s="109"/>
      <c r="N52" s="106"/>
      <c r="O52" s="107"/>
      <c r="P52" s="107"/>
      <c r="Q52" s="107"/>
      <c r="R52" s="107"/>
      <c r="S52" s="107"/>
      <c r="T52" s="107"/>
      <c r="U52" s="108"/>
      <c r="V52" s="108"/>
      <c r="W52" s="109"/>
      <c r="X52" s="106"/>
      <c r="Y52" s="107"/>
      <c r="Z52" s="107"/>
      <c r="AA52" s="107"/>
      <c r="AB52" s="110"/>
      <c r="AC52" s="111"/>
      <c r="AD52" s="106"/>
      <c r="AE52" s="107"/>
      <c r="AF52" s="107"/>
      <c r="AG52" s="107"/>
      <c r="AH52" s="110"/>
      <c r="AI52" s="111"/>
      <c r="AJ52" s="119" t="str">
        <f t="shared" si="8"/>
        <v/>
      </c>
      <c r="AK52" s="55" t="str">
        <f t="shared" si="1"/>
        <v/>
      </c>
      <c r="AL52" s="55"/>
      <c r="AM52" s="56"/>
      <c r="AN52" s="168"/>
      <c r="AO52" s="168"/>
      <c r="AP52" s="168"/>
      <c r="AQ52" s="168"/>
      <c r="AR52" s="168"/>
      <c r="AS52" s="168"/>
      <c r="AT52" s="168"/>
      <c r="AU52" s="168"/>
      <c r="AV52" s="168"/>
      <c r="AW52" s="168"/>
      <c r="AX52" s="337">
        <f t="shared" si="4"/>
        <v>197</v>
      </c>
      <c r="AY52" s="232"/>
      <c r="AZ52" s="235"/>
      <c r="BA52" s="232"/>
      <c r="BB52" s="232"/>
      <c r="BC52" s="233"/>
      <c r="BD52" s="168"/>
      <c r="BE52" s="168"/>
      <c r="BF52" s="168"/>
      <c r="BG52" s="168"/>
      <c r="BH52" s="168"/>
      <c r="BI52" s="168"/>
      <c r="BJ52" s="168"/>
      <c r="BK52" s="326"/>
      <c r="BL52" s="213"/>
      <c r="BM52" s="336" t="s">
        <v>59</v>
      </c>
      <c r="BN52" s="326"/>
      <c r="BO52" s="213"/>
      <c r="BP52" s="336" t="s">
        <v>59</v>
      </c>
    </row>
    <row r="53" spans="1:68">
      <c r="A53" s="16" t="s">
        <v>31</v>
      </c>
      <c r="B53" s="123"/>
      <c r="C53" s="107"/>
      <c r="D53" s="106"/>
      <c r="E53" s="107"/>
      <c r="F53" s="107"/>
      <c r="G53" s="107"/>
      <c r="H53" s="107"/>
      <c r="I53" s="107"/>
      <c r="J53" s="107"/>
      <c r="K53" s="108"/>
      <c r="L53" s="108"/>
      <c r="M53" s="109"/>
      <c r="N53" s="106"/>
      <c r="O53" s="107"/>
      <c r="P53" s="107"/>
      <c r="Q53" s="107"/>
      <c r="R53" s="107"/>
      <c r="S53" s="107"/>
      <c r="T53" s="107"/>
      <c r="U53" s="108"/>
      <c r="V53" s="108"/>
      <c r="W53" s="109"/>
      <c r="X53" s="106"/>
      <c r="Y53" s="107"/>
      <c r="Z53" s="107"/>
      <c r="AA53" s="107"/>
      <c r="AB53" s="110"/>
      <c r="AC53" s="111"/>
      <c r="AD53" s="106"/>
      <c r="AE53" s="107"/>
      <c r="AF53" s="107"/>
      <c r="AG53" s="107"/>
      <c r="AH53" s="110"/>
      <c r="AI53" s="111"/>
      <c r="AJ53" s="119" t="str">
        <f t="shared" si="8"/>
        <v/>
      </c>
      <c r="AK53" s="55" t="str">
        <f t="shared" si="1"/>
        <v/>
      </c>
      <c r="AL53" s="55" t="str">
        <f t="shared" si="2"/>
        <v/>
      </c>
      <c r="AM53" s="56" t="str">
        <f t="shared" si="3"/>
        <v/>
      </c>
      <c r="AN53" s="168"/>
      <c r="AO53" s="168"/>
      <c r="AP53" s="168"/>
      <c r="AQ53" s="168"/>
      <c r="AR53" s="168"/>
      <c r="AS53" s="168"/>
      <c r="AT53" s="168"/>
      <c r="AU53" s="168"/>
      <c r="AV53" s="168"/>
      <c r="AW53" s="168"/>
      <c r="AX53" s="337">
        <f t="shared" si="4"/>
        <v>197</v>
      </c>
      <c r="AY53" s="232"/>
      <c r="AZ53" s="235"/>
      <c r="BA53" s="232"/>
      <c r="BB53" s="232"/>
      <c r="BC53" s="233"/>
      <c r="BD53" s="168"/>
      <c r="BE53" s="168"/>
      <c r="BF53" s="168"/>
      <c r="BG53" s="168"/>
      <c r="BH53" s="168"/>
      <c r="BI53" s="168"/>
      <c r="BJ53" s="168"/>
      <c r="BK53" s="326"/>
      <c r="BL53" s="213"/>
      <c r="BM53" s="336" t="s">
        <v>59</v>
      </c>
      <c r="BN53" s="326"/>
      <c r="BO53" s="213"/>
      <c r="BP53" s="336" t="s">
        <v>59</v>
      </c>
    </row>
    <row r="54" spans="1:68">
      <c r="A54" s="16" t="s">
        <v>31</v>
      </c>
      <c r="B54" s="123"/>
      <c r="C54" s="107"/>
      <c r="D54" s="106"/>
      <c r="E54" s="107"/>
      <c r="F54" s="107"/>
      <c r="G54" s="107"/>
      <c r="H54" s="107"/>
      <c r="I54" s="107"/>
      <c r="J54" s="107"/>
      <c r="K54" s="108"/>
      <c r="L54" s="108"/>
      <c r="M54" s="109"/>
      <c r="N54" s="106"/>
      <c r="O54" s="107"/>
      <c r="P54" s="107"/>
      <c r="Q54" s="107"/>
      <c r="R54" s="107"/>
      <c r="S54" s="107"/>
      <c r="T54" s="107"/>
      <c r="U54" s="108"/>
      <c r="V54" s="108"/>
      <c r="W54" s="109"/>
      <c r="X54" s="106"/>
      <c r="Y54" s="107"/>
      <c r="Z54" s="107"/>
      <c r="AA54" s="107"/>
      <c r="AB54" s="110"/>
      <c r="AC54" s="111"/>
      <c r="AD54" s="106"/>
      <c r="AE54" s="107"/>
      <c r="AF54" s="107"/>
      <c r="AG54" s="107"/>
      <c r="AH54" s="110"/>
      <c r="AI54" s="111"/>
      <c r="AJ54" s="119" t="str">
        <f t="shared" si="8"/>
        <v/>
      </c>
      <c r="AK54" s="55" t="str">
        <f t="shared" si="1"/>
        <v/>
      </c>
      <c r="AL54" s="55" t="str">
        <f t="shared" si="2"/>
        <v/>
      </c>
      <c r="AM54" s="56" t="str">
        <f t="shared" si="3"/>
        <v/>
      </c>
      <c r="AN54" s="168"/>
      <c r="AO54" s="168"/>
      <c r="AP54" s="168"/>
      <c r="AQ54" s="168"/>
      <c r="AR54" s="168"/>
      <c r="AS54" s="168"/>
      <c r="AT54" s="168"/>
      <c r="AU54" s="168"/>
      <c r="AV54" s="168"/>
      <c r="AW54" s="168"/>
      <c r="AX54" s="337">
        <f t="shared" si="4"/>
        <v>197</v>
      </c>
      <c r="AY54" s="232"/>
      <c r="AZ54" s="235"/>
      <c r="BA54" s="232"/>
      <c r="BB54" s="232"/>
      <c r="BC54" s="233"/>
      <c r="BD54" s="168"/>
      <c r="BE54" s="168"/>
      <c r="BF54" s="168"/>
      <c r="BG54" s="168"/>
      <c r="BH54" s="168"/>
      <c r="BI54" s="168"/>
      <c r="BJ54" s="168"/>
      <c r="BK54" s="326"/>
      <c r="BL54" s="213"/>
      <c r="BM54" s="336" t="s">
        <v>59</v>
      </c>
      <c r="BN54" s="326"/>
      <c r="BO54" s="213"/>
      <c r="BP54" s="336" t="s">
        <v>59</v>
      </c>
    </row>
    <row r="55" spans="1:68">
      <c r="A55" s="16" t="s">
        <v>31</v>
      </c>
      <c r="B55" s="123"/>
      <c r="C55" s="107"/>
      <c r="D55" s="106"/>
      <c r="E55" s="107"/>
      <c r="F55" s="107"/>
      <c r="G55" s="107"/>
      <c r="H55" s="107"/>
      <c r="I55" s="107"/>
      <c r="J55" s="107"/>
      <c r="K55" s="108"/>
      <c r="L55" s="108"/>
      <c r="M55" s="109"/>
      <c r="N55" s="106"/>
      <c r="O55" s="107"/>
      <c r="P55" s="107"/>
      <c r="Q55" s="107"/>
      <c r="R55" s="107"/>
      <c r="S55" s="107"/>
      <c r="T55" s="107"/>
      <c r="U55" s="108"/>
      <c r="V55" s="108"/>
      <c r="W55" s="109"/>
      <c r="X55" s="106"/>
      <c r="Y55" s="107"/>
      <c r="Z55" s="107"/>
      <c r="AA55" s="107"/>
      <c r="AB55" s="110"/>
      <c r="AC55" s="111"/>
      <c r="AD55" s="106"/>
      <c r="AE55" s="107"/>
      <c r="AF55" s="107"/>
      <c r="AG55" s="107"/>
      <c r="AH55" s="110"/>
      <c r="AI55" s="111"/>
      <c r="AJ55" s="119" t="str">
        <f t="shared" si="8"/>
        <v/>
      </c>
      <c r="AK55" s="55" t="str">
        <f t="shared" si="1"/>
        <v/>
      </c>
      <c r="AL55" s="55" t="str">
        <f t="shared" si="2"/>
        <v/>
      </c>
      <c r="AM55" s="56" t="str">
        <f t="shared" si="3"/>
        <v/>
      </c>
      <c r="AN55" s="168"/>
      <c r="AO55" s="168"/>
      <c r="AP55" s="168"/>
      <c r="AQ55" s="168"/>
      <c r="AR55" s="168"/>
      <c r="AS55" s="168"/>
      <c r="AT55" s="168"/>
      <c r="AU55" s="168"/>
      <c r="AV55" s="168"/>
      <c r="AW55" s="168"/>
      <c r="AX55" s="337">
        <f t="shared" si="4"/>
        <v>197</v>
      </c>
      <c r="AY55" s="232"/>
      <c r="AZ55" s="235"/>
      <c r="BA55" s="232"/>
      <c r="BB55" s="232"/>
      <c r="BC55" s="233"/>
      <c r="BD55" s="168"/>
      <c r="BE55" s="168"/>
      <c r="BF55" s="168"/>
      <c r="BG55" s="168"/>
      <c r="BH55" s="168"/>
      <c r="BI55" s="168"/>
      <c r="BJ55" s="168"/>
      <c r="BK55" s="326"/>
      <c r="BL55" s="213"/>
      <c r="BM55" s="336" t="s">
        <v>59</v>
      </c>
      <c r="BN55" s="326"/>
      <c r="BO55" s="213"/>
      <c r="BP55" s="336" t="s">
        <v>59</v>
      </c>
    </row>
    <row r="56" spans="1:68">
      <c r="A56" s="16" t="s">
        <v>31</v>
      </c>
      <c r="B56" s="123"/>
      <c r="C56" s="107"/>
      <c r="D56" s="106"/>
      <c r="E56" s="107"/>
      <c r="F56" s="107"/>
      <c r="G56" s="107"/>
      <c r="H56" s="107"/>
      <c r="I56" s="107"/>
      <c r="J56" s="107"/>
      <c r="K56" s="108"/>
      <c r="L56" s="108"/>
      <c r="M56" s="109"/>
      <c r="N56" s="106"/>
      <c r="O56" s="107"/>
      <c r="P56" s="107"/>
      <c r="Q56" s="107"/>
      <c r="R56" s="107"/>
      <c r="S56" s="107"/>
      <c r="T56" s="107"/>
      <c r="U56" s="108"/>
      <c r="V56" s="108"/>
      <c r="W56" s="109"/>
      <c r="X56" s="106"/>
      <c r="Y56" s="107"/>
      <c r="Z56" s="107"/>
      <c r="AA56" s="107"/>
      <c r="AB56" s="110"/>
      <c r="AC56" s="111"/>
      <c r="AD56" s="106"/>
      <c r="AE56" s="107"/>
      <c r="AF56" s="107"/>
      <c r="AG56" s="107"/>
      <c r="AH56" s="110"/>
      <c r="AI56" s="111"/>
      <c r="AJ56" s="119" t="str">
        <f t="shared" si="8"/>
        <v/>
      </c>
      <c r="AK56" s="55" t="str">
        <f t="shared" si="1"/>
        <v/>
      </c>
      <c r="AL56" s="55" t="str">
        <f t="shared" si="2"/>
        <v/>
      </c>
      <c r="AM56" s="56" t="str">
        <f t="shared" si="3"/>
        <v/>
      </c>
      <c r="AN56" s="168"/>
      <c r="AO56" s="168"/>
      <c r="AP56" s="168"/>
      <c r="AQ56" s="168"/>
      <c r="AR56" s="168"/>
      <c r="AS56" s="168"/>
      <c r="AT56" s="168"/>
      <c r="AU56" s="168"/>
      <c r="AV56" s="168"/>
      <c r="AW56" s="168"/>
      <c r="AX56" s="337">
        <f t="shared" si="4"/>
        <v>197</v>
      </c>
      <c r="AY56" s="232"/>
      <c r="AZ56" s="235"/>
      <c r="BA56" s="232"/>
      <c r="BB56" s="232"/>
      <c r="BC56" s="233"/>
      <c r="BD56" s="168"/>
      <c r="BE56" s="168"/>
      <c r="BF56" s="168"/>
      <c r="BG56" s="168"/>
      <c r="BH56" s="168"/>
      <c r="BI56" s="168"/>
      <c r="BJ56" s="168"/>
      <c r="BK56" s="326"/>
      <c r="BL56" s="213"/>
      <c r="BM56" s="336" t="s">
        <v>59</v>
      </c>
      <c r="BN56" s="326"/>
      <c r="BO56" s="213"/>
      <c r="BP56" s="336" t="s">
        <v>59</v>
      </c>
    </row>
    <row r="57" spans="1:68">
      <c r="A57" s="16" t="s">
        <v>31</v>
      </c>
      <c r="B57" s="123"/>
      <c r="C57" s="107"/>
      <c r="D57" s="106"/>
      <c r="E57" s="107"/>
      <c r="F57" s="107"/>
      <c r="G57" s="107"/>
      <c r="H57" s="107"/>
      <c r="I57" s="107"/>
      <c r="J57" s="107"/>
      <c r="K57" s="108"/>
      <c r="L57" s="108"/>
      <c r="M57" s="109"/>
      <c r="N57" s="106"/>
      <c r="O57" s="107"/>
      <c r="P57" s="107"/>
      <c r="Q57" s="107"/>
      <c r="R57" s="107"/>
      <c r="S57" s="107"/>
      <c r="T57" s="107"/>
      <c r="U57" s="108"/>
      <c r="V57" s="108"/>
      <c r="W57" s="109"/>
      <c r="X57" s="106"/>
      <c r="Y57" s="107"/>
      <c r="Z57" s="107"/>
      <c r="AA57" s="107"/>
      <c r="AB57" s="110"/>
      <c r="AC57" s="111"/>
      <c r="AD57" s="106"/>
      <c r="AE57" s="107"/>
      <c r="AF57" s="107"/>
      <c r="AG57" s="107"/>
      <c r="AH57" s="110"/>
      <c r="AI57" s="111"/>
      <c r="AJ57" s="119" t="str">
        <f t="shared" si="8"/>
        <v/>
      </c>
      <c r="AK57" s="55" t="str">
        <f t="shared" si="1"/>
        <v/>
      </c>
      <c r="AL57" s="55" t="str">
        <f t="shared" si="2"/>
        <v/>
      </c>
      <c r="AM57" s="56" t="str">
        <f t="shared" si="3"/>
        <v/>
      </c>
      <c r="AN57" s="168"/>
      <c r="AO57" s="168"/>
      <c r="AP57" s="168"/>
      <c r="AQ57" s="168"/>
      <c r="AR57" s="168"/>
      <c r="AS57" s="168"/>
      <c r="AT57" s="168"/>
      <c r="AU57" s="168"/>
      <c r="AV57" s="168"/>
      <c r="AW57" s="168"/>
      <c r="AX57" s="337">
        <f t="shared" si="4"/>
        <v>197</v>
      </c>
      <c r="AY57" s="232"/>
      <c r="AZ57" s="235"/>
      <c r="BA57" s="232"/>
      <c r="BB57" s="232"/>
      <c r="BC57" s="233"/>
      <c r="BD57" s="168"/>
      <c r="BE57" s="168"/>
      <c r="BF57" s="168"/>
      <c r="BG57" s="168"/>
      <c r="BH57" s="168"/>
      <c r="BI57" s="168"/>
      <c r="BJ57" s="168"/>
      <c r="BK57" s="326"/>
      <c r="BL57" s="213"/>
      <c r="BM57" s="336" t="s">
        <v>59</v>
      </c>
      <c r="BN57" s="326"/>
      <c r="BO57" s="213"/>
      <c r="BP57" s="336" t="s">
        <v>59</v>
      </c>
    </row>
    <row r="58" spans="1:68">
      <c r="A58" s="16" t="s">
        <v>31</v>
      </c>
      <c r="B58" s="123"/>
      <c r="C58" s="107"/>
      <c r="D58" s="106"/>
      <c r="E58" s="107"/>
      <c r="F58" s="107"/>
      <c r="G58" s="107"/>
      <c r="H58" s="107"/>
      <c r="I58" s="107"/>
      <c r="J58" s="107"/>
      <c r="K58" s="108"/>
      <c r="L58" s="108"/>
      <c r="M58" s="109"/>
      <c r="N58" s="106"/>
      <c r="O58" s="107"/>
      <c r="P58" s="107"/>
      <c r="Q58" s="107"/>
      <c r="R58" s="107"/>
      <c r="S58" s="107"/>
      <c r="T58" s="107"/>
      <c r="U58" s="108"/>
      <c r="V58" s="108"/>
      <c r="W58" s="109"/>
      <c r="X58" s="106"/>
      <c r="Y58" s="107"/>
      <c r="Z58" s="107"/>
      <c r="AA58" s="107"/>
      <c r="AB58" s="110"/>
      <c r="AC58" s="111"/>
      <c r="AD58" s="106"/>
      <c r="AE58" s="107"/>
      <c r="AF58" s="107"/>
      <c r="AG58" s="107"/>
      <c r="AH58" s="110"/>
      <c r="AI58" s="111"/>
      <c r="AJ58" s="119" t="str">
        <f t="shared" si="8"/>
        <v/>
      </c>
      <c r="AK58" s="55" t="str">
        <f t="shared" si="1"/>
        <v/>
      </c>
      <c r="AL58" s="55" t="str">
        <f t="shared" si="2"/>
        <v/>
      </c>
      <c r="AM58" s="56" t="str">
        <f t="shared" si="3"/>
        <v/>
      </c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337">
        <f t="shared" si="4"/>
        <v>197</v>
      </c>
      <c r="AY58" s="232"/>
      <c r="AZ58" s="235"/>
      <c r="BA58" s="232"/>
      <c r="BB58" s="232"/>
      <c r="BC58" s="233"/>
      <c r="BD58" s="168"/>
      <c r="BE58" s="168"/>
      <c r="BF58" s="168"/>
      <c r="BG58" s="168"/>
      <c r="BH58" s="168"/>
      <c r="BI58" s="168"/>
      <c r="BJ58" s="168"/>
      <c r="BK58" s="326"/>
      <c r="BL58" s="213"/>
      <c r="BM58" s="336" t="s">
        <v>59</v>
      </c>
      <c r="BN58" s="326"/>
      <c r="BO58" s="213"/>
      <c r="BP58" s="336" t="s">
        <v>59</v>
      </c>
    </row>
    <row r="59" spans="1:68">
      <c r="A59" s="16" t="s">
        <v>31</v>
      </c>
      <c r="B59" s="123"/>
      <c r="C59" s="107"/>
      <c r="D59" s="106"/>
      <c r="E59" s="107"/>
      <c r="F59" s="107"/>
      <c r="G59" s="107"/>
      <c r="H59" s="107"/>
      <c r="I59" s="107"/>
      <c r="J59" s="107"/>
      <c r="K59" s="108"/>
      <c r="L59" s="108"/>
      <c r="M59" s="109"/>
      <c r="N59" s="106"/>
      <c r="O59" s="107"/>
      <c r="P59" s="107"/>
      <c r="Q59" s="107"/>
      <c r="R59" s="107"/>
      <c r="S59" s="107"/>
      <c r="T59" s="107"/>
      <c r="U59" s="108"/>
      <c r="V59" s="108"/>
      <c r="W59" s="109"/>
      <c r="X59" s="106"/>
      <c r="Y59" s="107"/>
      <c r="Z59" s="107"/>
      <c r="AA59" s="107"/>
      <c r="AB59" s="110"/>
      <c r="AC59" s="111"/>
      <c r="AD59" s="106"/>
      <c r="AE59" s="107"/>
      <c r="AF59" s="107"/>
      <c r="AG59" s="107"/>
      <c r="AH59" s="110"/>
      <c r="AI59" s="111"/>
      <c r="AJ59" s="119" t="str">
        <f t="shared" si="8"/>
        <v/>
      </c>
      <c r="AK59" s="55" t="str">
        <f t="shared" si="1"/>
        <v/>
      </c>
      <c r="AL59" s="55" t="str">
        <f t="shared" si="2"/>
        <v/>
      </c>
      <c r="AM59" s="56" t="str">
        <f t="shared" si="3"/>
        <v/>
      </c>
      <c r="AN59" s="168"/>
      <c r="AO59" s="168"/>
      <c r="AP59" s="168"/>
      <c r="AQ59" s="168"/>
      <c r="AR59" s="168"/>
      <c r="AS59" s="168"/>
      <c r="AT59" s="168"/>
      <c r="AU59" s="168"/>
      <c r="AV59" s="168"/>
      <c r="AW59" s="168"/>
      <c r="AX59" s="337">
        <f t="shared" si="4"/>
        <v>197</v>
      </c>
      <c r="AY59" s="232"/>
      <c r="AZ59" s="235"/>
      <c r="BA59" s="232"/>
      <c r="BB59" s="232"/>
      <c r="BC59" s="233"/>
      <c r="BD59" s="168"/>
      <c r="BE59" s="168"/>
      <c r="BF59" s="168"/>
      <c r="BG59" s="168"/>
      <c r="BH59" s="168"/>
      <c r="BI59" s="168"/>
      <c r="BJ59" s="168"/>
      <c r="BK59" s="326"/>
      <c r="BL59" s="213"/>
      <c r="BM59" s="336" t="s">
        <v>59</v>
      </c>
      <c r="BN59" s="326"/>
      <c r="BO59" s="213"/>
      <c r="BP59" s="336" t="s">
        <v>59</v>
      </c>
    </row>
    <row r="60" spans="1:68">
      <c r="A60" s="16" t="s">
        <v>31</v>
      </c>
      <c r="B60" s="123"/>
      <c r="C60" s="107"/>
      <c r="D60" s="106"/>
      <c r="E60" s="107"/>
      <c r="F60" s="107"/>
      <c r="G60" s="107"/>
      <c r="H60" s="107"/>
      <c r="I60" s="107"/>
      <c r="J60" s="107"/>
      <c r="K60" s="108"/>
      <c r="L60" s="108"/>
      <c r="M60" s="109"/>
      <c r="N60" s="106"/>
      <c r="O60" s="107"/>
      <c r="P60" s="107"/>
      <c r="Q60" s="107"/>
      <c r="R60" s="107"/>
      <c r="S60" s="107"/>
      <c r="T60" s="107"/>
      <c r="U60" s="108"/>
      <c r="V60" s="108"/>
      <c r="W60" s="109"/>
      <c r="X60" s="106"/>
      <c r="Y60" s="107"/>
      <c r="Z60" s="107"/>
      <c r="AA60" s="107"/>
      <c r="AB60" s="110"/>
      <c r="AC60" s="111"/>
      <c r="AD60" s="106"/>
      <c r="AE60" s="107"/>
      <c r="AF60" s="107"/>
      <c r="AG60" s="107"/>
      <c r="AH60" s="110"/>
      <c r="AI60" s="111"/>
      <c r="AJ60" s="119" t="str">
        <f t="shared" si="8"/>
        <v/>
      </c>
      <c r="AK60" s="55" t="str">
        <f t="shared" si="1"/>
        <v/>
      </c>
      <c r="AL60" s="55" t="str">
        <f t="shared" si="2"/>
        <v/>
      </c>
      <c r="AM60" s="56" t="str">
        <f t="shared" si="3"/>
        <v/>
      </c>
      <c r="AN60" s="168"/>
      <c r="AO60" s="168"/>
      <c r="AP60" s="168"/>
      <c r="AQ60" s="168"/>
      <c r="AR60" s="168"/>
      <c r="AS60" s="168"/>
      <c r="AT60" s="168"/>
      <c r="AU60" s="168"/>
      <c r="AV60" s="168"/>
      <c r="AW60" s="168"/>
      <c r="AX60" s="337">
        <f t="shared" si="4"/>
        <v>197</v>
      </c>
      <c r="AY60" s="232"/>
      <c r="AZ60" s="235"/>
      <c r="BA60" s="232"/>
      <c r="BB60" s="232"/>
      <c r="BC60" s="233"/>
      <c r="BD60" s="168"/>
      <c r="BE60" s="168"/>
      <c r="BF60" s="168"/>
      <c r="BG60" s="168"/>
      <c r="BH60" s="168"/>
      <c r="BI60" s="168"/>
      <c r="BJ60" s="168"/>
      <c r="BK60" s="326"/>
      <c r="BL60" s="213"/>
      <c r="BM60" s="336" t="s">
        <v>59</v>
      </c>
      <c r="BN60" s="326"/>
      <c r="BO60" s="213"/>
      <c r="BP60" s="336" t="s">
        <v>59</v>
      </c>
    </row>
    <row r="61" spans="1:68">
      <c r="A61" s="16" t="s">
        <v>31</v>
      </c>
      <c r="B61" s="123"/>
      <c r="C61" s="107"/>
      <c r="D61" s="106"/>
      <c r="E61" s="107"/>
      <c r="F61" s="107"/>
      <c r="G61" s="107"/>
      <c r="H61" s="107"/>
      <c r="I61" s="107"/>
      <c r="J61" s="107"/>
      <c r="K61" s="108"/>
      <c r="L61" s="108"/>
      <c r="M61" s="109"/>
      <c r="N61" s="106"/>
      <c r="O61" s="107"/>
      <c r="P61" s="107"/>
      <c r="Q61" s="107"/>
      <c r="R61" s="107"/>
      <c r="S61" s="107"/>
      <c r="T61" s="107"/>
      <c r="U61" s="108"/>
      <c r="V61" s="108"/>
      <c r="W61" s="109"/>
      <c r="X61" s="106"/>
      <c r="Y61" s="107"/>
      <c r="Z61" s="107"/>
      <c r="AA61" s="107"/>
      <c r="AB61" s="110"/>
      <c r="AC61" s="111"/>
      <c r="AD61" s="106"/>
      <c r="AE61" s="107"/>
      <c r="AF61" s="107"/>
      <c r="AG61" s="107"/>
      <c r="AH61" s="110"/>
      <c r="AI61" s="111"/>
      <c r="AJ61" s="119" t="str">
        <f t="shared" si="8"/>
        <v/>
      </c>
      <c r="AK61" s="55" t="str">
        <f t="shared" si="1"/>
        <v/>
      </c>
      <c r="AL61" s="55" t="str">
        <f t="shared" si="2"/>
        <v/>
      </c>
      <c r="AM61" s="56" t="str">
        <f t="shared" si="3"/>
        <v/>
      </c>
      <c r="AN61" s="168"/>
      <c r="AO61" s="168"/>
      <c r="AP61" s="168"/>
      <c r="AQ61" s="168"/>
      <c r="AR61" s="168"/>
      <c r="AS61" s="168"/>
      <c r="AT61" s="168"/>
      <c r="AU61" s="168"/>
      <c r="AV61" s="168"/>
      <c r="AW61" s="168"/>
      <c r="AX61" s="337">
        <f t="shared" si="4"/>
        <v>197</v>
      </c>
      <c r="AY61" s="232"/>
      <c r="AZ61" s="235"/>
      <c r="BA61" s="232"/>
      <c r="BB61" s="232"/>
      <c r="BC61" s="233"/>
      <c r="BD61" s="168"/>
      <c r="BE61" s="168"/>
      <c r="BF61" s="168"/>
      <c r="BG61" s="168"/>
      <c r="BH61" s="168"/>
      <c r="BI61" s="168"/>
      <c r="BJ61" s="168"/>
      <c r="BK61" s="326"/>
      <c r="BL61" s="213"/>
      <c r="BM61" s="336" t="s">
        <v>59</v>
      </c>
      <c r="BN61" s="326"/>
      <c r="BO61" s="213"/>
      <c r="BP61" s="336" t="s">
        <v>59</v>
      </c>
    </row>
    <row r="62" spans="1:68">
      <c r="A62" s="16" t="s">
        <v>31</v>
      </c>
      <c r="B62" s="123"/>
      <c r="C62" s="107"/>
      <c r="D62" s="106"/>
      <c r="E62" s="107"/>
      <c r="F62" s="107"/>
      <c r="G62" s="107"/>
      <c r="H62" s="107"/>
      <c r="I62" s="107"/>
      <c r="J62" s="107"/>
      <c r="K62" s="108"/>
      <c r="L62" s="108"/>
      <c r="M62" s="109"/>
      <c r="N62" s="106"/>
      <c r="O62" s="107"/>
      <c r="P62" s="107"/>
      <c r="Q62" s="107"/>
      <c r="R62" s="107"/>
      <c r="S62" s="107"/>
      <c r="T62" s="107"/>
      <c r="U62" s="108"/>
      <c r="V62" s="108"/>
      <c r="W62" s="109"/>
      <c r="X62" s="106"/>
      <c r="Y62" s="107"/>
      <c r="Z62" s="107"/>
      <c r="AA62" s="107"/>
      <c r="AB62" s="110"/>
      <c r="AC62" s="111"/>
      <c r="AD62" s="106"/>
      <c r="AE62" s="107"/>
      <c r="AF62" s="107"/>
      <c r="AG62" s="107"/>
      <c r="AH62" s="110"/>
      <c r="AI62" s="111"/>
      <c r="AJ62" s="119" t="str">
        <f t="shared" si="8"/>
        <v/>
      </c>
      <c r="AK62" s="55" t="str">
        <f t="shared" si="1"/>
        <v/>
      </c>
      <c r="AL62" s="55" t="str">
        <f t="shared" si="2"/>
        <v/>
      </c>
      <c r="AM62" s="56" t="str">
        <f t="shared" si="3"/>
        <v/>
      </c>
      <c r="AN62" s="168"/>
      <c r="AO62" s="168"/>
      <c r="AP62" s="168"/>
      <c r="AQ62" s="168"/>
      <c r="AR62" s="168"/>
      <c r="AS62" s="168"/>
      <c r="AT62" s="168"/>
      <c r="AU62" s="168"/>
      <c r="AV62" s="168"/>
      <c r="AW62" s="168"/>
      <c r="AX62" s="337">
        <f t="shared" si="4"/>
        <v>197</v>
      </c>
      <c r="AY62" s="232"/>
      <c r="AZ62" s="235"/>
      <c r="BA62" s="232"/>
      <c r="BB62" s="232"/>
      <c r="BC62" s="233"/>
      <c r="BD62" s="168"/>
      <c r="BE62" s="168"/>
      <c r="BF62" s="168"/>
      <c r="BG62" s="168"/>
      <c r="BH62" s="168"/>
      <c r="BI62" s="168"/>
      <c r="BJ62" s="168"/>
      <c r="BK62" s="326"/>
      <c r="BL62" s="213"/>
      <c r="BM62" s="336" t="s">
        <v>59</v>
      </c>
      <c r="BN62" s="326"/>
      <c r="BO62" s="213"/>
      <c r="BP62" s="336" t="s">
        <v>59</v>
      </c>
    </row>
    <row r="63" spans="1:68">
      <c r="A63" s="16" t="s">
        <v>31</v>
      </c>
      <c r="B63" s="123"/>
      <c r="C63" s="107"/>
      <c r="D63" s="106"/>
      <c r="E63" s="107"/>
      <c r="F63" s="107"/>
      <c r="G63" s="107"/>
      <c r="H63" s="107"/>
      <c r="I63" s="107"/>
      <c r="J63" s="107"/>
      <c r="K63" s="108"/>
      <c r="L63" s="108"/>
      <c r="M63" s="109"/>
      <c r="N63" s="106"/>
      <c r="O63" s="107"/>
      <c r="P63" s="107"/>
      <c r="Q63" s="107"/>
      <c r="R63" s="107"/>
      <c r="S63" s="107"/>
      <c r="T63" s="107"/>
      <c r="U63" s="108"/>
      <c r="V63" s="108"/>
      <c r="W63" s="109"/>
      <c r="X63" s="106"/>
      <c r="Y63" s="107"/>
      <c r="Z63" s="107"/>
      <c r="AA63" s="107"/>
      <c r="AB63" s="110"/>
      <c r="AC63" s="111"/>
      <c r="AD63" s="106"/>
      <c r="AE63" s="107"/>
      <c r="AF63" s="107"/>
      <c r="AG63" s="107"/>
      <c r="AH63" s="110"/>
      <c r="AI63" s="111"/>
      <c r="AJ63" s="119" t="str">
        <f t="shared" si="8"/>
        <v/>
      </c>
      <c r="AK63" s="55" t="str">
        <f t="shared" si="1"/>
        <v/>
      </c>
      <c r="AL63" s="55" t="str">
        <f t="shared" si="2"/>
        <v/>
      </c>
      <c r="AM63" s="56" t="str">
        <f t="shared" si="3"/>
        <v/>
      </c>
      <c r="AN63" s="168"/>
      <c r="AO63" s="168"/>
      <c r="AP63" s="168"/>
      <c r="AQ63" s="168"/>
      <c r="AR63" s="168"/>
      <c r="AS63" s="168"/>
      <c r="AT63" s="168"/>
      <c r="AU63" s="168"/>
      <c r="AV63" s="168"/>
      <c r="AW63" s="168"/>
      <c r="AX63" s="337">
        <f t="shared" si="4"/>
        <v>197</v>
      </c>
      <c r="AY63" s="232"/>
      <c r="AZ63" s="235"/>
      <c r="BA63" s="232"/>
      <c r="BB63" s="232"/>
      <c r="BC63" s="233"/>
      <c r="BD63" s="168"/>
      <c r="BE63" s="168"/>
      <c r="BF63" s="168"/>
      <c r="BG63" s="168"/>
      <c r="BH63" s="168"/>
      <c r="BI63" s="168"/>
      <c r="BJ63" s="168"/>
      <c r="BK63" s="326"/>
      <c r="BL63" s="213"/>
      <c r="BM63" s="336" t="s">
        <v>59</v>
      </c>
      <c r="BN63" s="326"/>
      <c r="BO63" s="213"/>
      <c r="BP63" s="336" t="s">
        <v>59</v>
      </c>
    </row>
    <row r="64" spans="1:68" ht="13" thickBot="1">
      <c r="A64" s="17" t="s">
        <v>31</v>
      </c>
      <c r="B64" s="124"/>
      <c r="C64" s="113"/>
      <c r="D64" s="112"/>
      <c r="E64" s="113"/>
      <c r="F64" s="113"/>
      <c r="G64" s="113"/>
      <c r="H64" s="113"/>
      <c r="I64" s="113"/>
      <c r="J64" s="113"/>
      <c r="K64" s="114"/>
      <c r="L64" s="114"/>
      <c r="M64" s="115"/>
      <c r="N64" s="112"/>
      <c r="O64" s="113"/>
      <c r="P64" s="113"/>
      <c r="Q64" s="113"/>
      <c r="R64" s="113"/>
      <c r="S64" s="113"/>
      <c r="T64" s="113"/>
      <c r="U64" s="114"/>
      <c r="V64" s="114"/>
      <c r="W64" s="115"/>
      <c r="X64" s="112"/>
      <c r="Y64" s="113"/>
      <c r="Z64" s="113"/>
      <c r="AA64" s="113"/>
      <c r="AB64" s="116"/>
      <c r="AC64" s="117"/>
      <c r="AD64" s="112"/>
      <c r="AE64" s="113"/>
      <c r="AF64" s="113"/>
      <c r="AG64" s="113"/>
      <c r="AH64" s="116"/>
      <c r="AI64" s="117"/>
      <c r="AJ64" s="120" t="str">
        <f t="shared" si="8"/>
        <v/>
      </c>
      <c r="AK64" s="58" t="str">
        <f t="shared" si="1"/>
        <v/>
      </c>
      <c r="AL64" s="58" t="str">
        <f t="shared" si="2"/>
        <v/>
      </c>
      <c r="AM64" s="59" t="str">
        <f t="shared" si="3"/>
        <v/>
      </c>
      <c r="AN64" s="168"/>
      <c r="AO64" s="168"/>
      <c r="AP64" s="168"/>
      <c r="AQ64" s="168"/>
      <c r="AR64" s="168"/>
      <c r="AS64" s="168"/>
      <c r="AT64" s="168"/>
      <c r="AU64" s="168"/>
      <c r="AV64" s="168"/>
      <c r="AW64" s="168"/>
      <c r="AX64" s="338">
        <f t="shared" si="4"/>
        <v>197</v>
      </c>
      <c r="AY64" s="232"/>
      <c r="AZ64" s="235"/>
      <c r="BA64" s="232"/>
      <c r="BB64" s="232"/>
      <c r="BC64" s="233"/>
      <c r="BD64" s="168"/>
      <c r="BE64" s="168"/>
      <c r="BF64" s="168"/>
      <c r="BG64" s="168"/>
      <c r="BH64" s="168"/>
      <c r="BI64" s="168"/>
      <c r="BJ64" s="168"/>
      <c r="BK64" s="326"/>
      <c r="BL64" s="213"/>
      <c r="BM64" s="336" t="s">
        <v>59</v>
      </c>
      <c r="BN64" s="326"/>
      <c r="BO64" s="213"/>
      <c r="BP64" s="336" t="s">
        <v>59</v>
      </c>
    </row>
    <row r="65" spans="1:68">
      <c r="A65" s="15" t="s">
        <v>32</v>
      </c>
      <c r="B65" s="130">
        <v>41022</v>
      </c>
      <c r="C65" s="83" t="s">
        <v>83</v>
      </c>
      <c r="D65" s="106">
        <v>0</v>
      </c>
      <c r="E65" s="107">
        <v>0</v>
      </c>
      <c r="F65" s="107">
        <v>0</v>
      </c>
      <c r="G65" s="107">
        <v>0</v>
      </c>
      <c r="H65" s="107">
        <v>0</v>
      </c>
      <c r="I65" s="107">
        <v>0</v>
      </c>
      <c r="J65" s="107">
        <v>0</v>
      </c>
      <c r="K65" s="108"/>
      <c r="L65" s="108"/>
      <c r="M65" s="109"/>
      <c r="N65" s="106">
        <v>0</v>
      </c>
      <c r="O65" s="107">
        <v>0</v>
      </c>
      <c r="P65" s="107">
        <v>0</v>
      </c>
      <c r="Q65" s="107">
        <v>0</v>
      </c>
      <c r="R65" s="107">
        <v>0</v>
      </c>
      <c r="S65" s="107">
        <v>0</v>
      </c>
      <c r="T65" s="107">
        <v>0</v>
      </c>
      <c r="U65" s="108"/>
      <c r="V65" s="108"/>
      <c r="W65" s="109"/>
      <c r="X65" s="106">
        <v>0</v>
      </c>
      <c r="Y65" s="107">
        <v>0</v>
      </c>
      <c r="Z65" s="107">
        <v>0</v>
      </c>
      <c r="AA65" s="107">
        <v>0</v>
      </c>
      <c r="AB65" s="110">
        <v>0</v>
      </c>
      <c r="AC65" s="111"/>
      <c r="AD65" s="106">
        <v>0</v>
      </c>
      <c r="AE65" s="107">
        <v>0</v>
      </c>
      <c r="AF65" s="107">
        <v>0</v>
      </c>
      <c r="AG65" s="107">
        <v>0</v>
      </c>
      <c r="AH65" s="110">
        <v>0</v>
      </c>
      <c r="AI65" s="105"/>
      <c r="AJ65" s="121">
        <f t="shared" si="8"/>
        <v>0</v>
      </c>
      <c r="AK65" s="62">
        <f t="shared" si="1"/>
        <v>0</v>
      </c>
      <c r="AL65" s="62">
        <f t="shared" si="2"/>
        <v>0</v>
      </c>
      <c r="AM65" s="63">
        <f t="shared" si="3"/>
        <v>0</v>
      </c>
      <c r="AN65" s="168"/>
      <c r="AO65" s="168"/>
      <c r="AP65" s="168"/>
      <c r="AQ65" s="168"/>
      <c r="AR65" s="168"/>
      <c r="AS65" s="168"/>
      <c r="AT65" s="168"/>
      <c r="AU65" s="168"/>
      <c r="AV65" s="168"/>
      <c r="AW65" s="168"/>
      <c r="AX65" s="337">
        <f>IF(B65=0,AX64,B65-DATE(YEAR(B65)-1,12,31))</f>
        <v>114</v>
      </c>
      <c r="AY65" s="232"/>
      <c r="AZ65" s="235"/>
      <c r="BA65" s="232"/>
      <c r="BB65" s="232"/>
      <c r="BC65" s="233"/>
      <c r="BD65" s="168"/>
      <c r="BE65" s="168"/>
      <c r="BF65" s="168"/>
      <c r="BG65" s="168"/>
      <c r="BH65" s="168"/>
      <c r="BI65" s="168"/>
      <c r="BJ65" s="168"/>
      <c r="BK65" s="326">
        <v>136</v>
      </c>
      <c r="BL65" s="213">
        <v>40314</v>
      </c>
      <c r="BM65" s="336">
        <v>0.14285714285714285</v>
      </c>
      <c r="BN65" s="326">
        <v>119</v>
      </c>
      <c r="BO65" s="213">
        <v>40662</v>
      </c>
      <c r="BP65" s="336">
        <v>0.14285714285714285</v>
      </c>
    </row>
    <row r="66" spans="1:68">
      <c r="A66" s="16" t="s">
        <v>32</v>
      </c>
      <c r="B66" s="131">
        <v>41026</v>
      </c>
      <c r="C66" s="83" t="s">
        <v>82</v>
      </c>
      <c r="D66" s="106">
        <v>0</v>
      </c>
      <c r="E66" s="107">
        <v>0</v>
      </c>
      <c r="F66" s="107">
        <v>0</v>
      </c>
      <c r="G66" s="107">
        <v>0</v>
      </c>
      <c r="H66" s="107">
        <v>0</v>
      </c>
      <c r="I66" s="107">
        <v>0</v>
      </c>
      <c r="J66" s="107">
        <v>0</v>
      </c>
      <c r="K66" s="108"/>
      <c r="L66" s="108"/>
      <c r="M66" s="109"/>
      <c r="N66" s="106">
        <v>0</v>
      </c>
      <c r="O66" s="107">
        <v>0</v>
      </c>
      <c r="P66" s="107">
        <v>0</v>
      </c>
      <c r="Q66" s="107">
        <v>0</v>
      </c>
      <c r="R66" s="107">
        <v>0</v>
      </c>
      <c r="S66" s="107">
        <v>0</v>
      </c>
      <c r="T66" s="107">
        <v>0</v>
      </c>
      <c r="U66" s="108"/>
      <c r="V66" s="108"/>
      <c r="W66" s="109"/>
      <c r="X66" s="106">
        <v>0</v>
      </c>
      <c r="Y66" s="107">
        <v>0</v>
      </c>
      <c r="Z66" s="107">
        <v>0</v>
      </c>
      <c r="AA66" s="107">
        <v>0</v>
      </c>
      <c r="AB66" s="110">
        <v>0</v>
      </c>
      <c r="AC66" s="111"/>
      <c r="AD66" s="106">
        <v>0</v>
      </c>
      <c r="AE66" s="107">
        <v>0</v>
      </c>
      <c r="AF66" s="107">
        <v>0</v>
      </c>
      <c r="AG66" s="107">
        <v>0</v>
      </c>
      <c r="AH66" s="110">
        <v>0</v>
      </c>
      <c r="AI66" s="105"/>
      <c r="AJ66" s="119">
        <f t="shared" si="8"/>
        <v>0</v>
      </c>
      <c r="AK66" s="55">
        <f t="shared" si="1"/>
        <v>0</v>
      </c>
      <c r="AL66" s="55">
        <f t="shared" si="2"/>
        <v>0</v>
      </c>
      <c r="AM66" s="56">
        <f t="shared" si="3"/>
        <v>0</v>
      </c>
      <c r="AN66" s="168"/>
      <c r="AO66" s="168"/>
      <c r="AP66" s="168"/>
      <c r="AQ66" s="168"/>
      <c r="AR66" s="168"/>
      <c r="AS66" s="168"/>
      <c r="AT66" s="168"/>
      <c r="AU66" s="168"/>
      <c r="AV66" s="168"/>
      <c r="AW66" s="168"/>
      <c r="AX66" s="337">
        <f t="shared" si="4"/>
        <v>118</v>
      </c>
      <c r="AY66" s="232"/>
      <c r="AZ66" s="235"/>
      <c r="BA66" s="232"/>
      <c r="BB66" s="232"/>
      <c r="BC66" s="233"/>
      <c r="BD66" s="168"/>
      <c r="BE66" s="168"/>
      <c r="BF66" s="168"/>
      <c r="BG66" s="168"/>
      <c r="BH66" s="168"/>
      <c r="BI66" s="168"/>
      <c r="BJ66" s="168"/>
      <c r="BK66" s="326">
        <v>142</v>
      </c>
      <c r="BL66" s="213">
        <v>40320</v>
      </c>
      <c r="BM66" s="336">
        <v>0.5714285714285714</v>
      </c>
      <c r="BN66" s="326">
        <v>122</v>
      </c>
      <c r="BO66" s="213">
        <v>40665</v>
      </c>
      <c r="BP66" s="336">
        <v>0.8571428571428571</v>
      </c>
    </row>
    <row r="67" spans="1:68">
      <c r="A67" s="16" t="s">
        <v>32</v>
      </c>
      <c r="B67" s="131">
        <v>41031</v>
      </c>
      <c r="C67" s="83" t="s">
        <v>82</v>
      </c>
      <c r="D67" s="106">
        <v>0</v>
      </c>
      <c r="E67" s="107">
        <v>0</v>
      </c>
      <c r="F67" s="107">
        <v>0</v>
      </c>
      <c r="G67" s="107">
        <v>0</v>
      </c>
      <c r="H67" s="107">
        <v>0</v>
      </c>
      <c r="I67" s="107">
        <v>0</v>
      </c>
      <c r="J67" s="107">
        <v>0</v>
      </c>
      <c r="K67" s="108"/>
      <c r="L67" s="108"/>
      <c r="M67" s="109"/>
      <c r="N67" s="106">
        <v>0</v>
      </c>
      <c r="O67" s="107">
        <v>0</v>
      </c>
      <c r="P67" s="107">
        <v>0</v>
      </c>
      <c r="Q67" s="107">
        <v>0</v>
      </c>
      <c r="R67" s="107">
        <v>0</v>
      </c>
      <c r="S67" s="107">
        <v>0</v>
      </c>
      <c r="T67" s="107">
        <v>0</v>
      </c>
      <c r="U67" s="108"/>
      <c r="V67" s="108"/>
      <c r="W67" s="109"/>
      <c r="X67" s="106">
        <v>0</v>
      </c>
      <c r="Y67" s="107">
        <v>0</v>
      </c>
      <c r="Z67" s="107">
        <v>0</v>
      </c>
      <c r="AA67" s="107">
        <v>0</v>
      </c>
      <c r="AB67" s="110">
        <v>0</v>
      </c>
      <c r="AC67" s="111"/>
      <c r="AD67" s="106">
        <v>0</v>
      </c>
      <c r="AE67" s="107">
        <v>0</v>
      </c>
      <c r="AF67" s="107">
        <v>0</v>
      </c>
      <c r="AG67" s="107">
        <v>0</v>
      </c>
      <c r="AH67" s="110">
        <v>0</v>
      </c>
      <c r="AI67" s="105"/>
      <c r="AJ67" s="119">
        <f t="shared" si="8"/>
        <v>0</v>
      </c>
      <c r="AK67" s="55">
        <f t="shared" si="1"/>
        <v>0</v>
      </c>
      <c r="AL67" s="55">
        <f t="shared" si="2"/>
        <v>0</v>
      </c>
      <c r="AM67" s="56">
        <f t="shared" si="3"/>
        <v>0</v>
      </c>
      <c r="AN67" s="168"/>
      <c r="AO67" s="168"/>
      <c r="AP67" s="168"/>
      <c r="AQ67" s="168"/>
      <c r="AR67" s="168"/>
      <c r="AS67" s="168"/>
      <c r="AT67" s="168"/>
      <c r="AU67" s="168"/>
      <c r="AV67" s="168"/>
      <c r="AW67" s="168"/>
      <c r="AX67" s="337">
        <f t="shared" si="4"/>
        <v>123</v>
      </c>
      <c r="AY67" s="232"/>
      <c r="AZ67" s="235"/>
      <c r="BA67" s="232"/>
      <c r="BB67" s="232"/>
      <c r="BC67" s="233"/>
      <c r="BD67" s="168"/>
      <c r="BE67" s="168"/>
      <c r="BF67" s="168"/>
      <c r="BG67" s="168"/>
      <c r="BH67" s="168"/>
      <c r="BI67" s="168"/>
      <c r="BJ67" s="168"/>
      <c r="BK67" s="326">
        <v>149</v>
      </c>
      <c r="BL67" s="213">
        <v>40327</v>
      </c>
      <c r="BM67" s="336">
        <v>1.7142857142857142</v>
      </c>
      <c r="BN67" s="326">
        <v>127</v>
      </c>
      <c r="BO67" s="213">
        <v>40670</v>
      </c>
      <c r="BP67" s="336">
        <v>1.4285714285714286</v>
      </c>
    </row>
    <row r="68" spans="1:68">
      <c r="A68" s="16" t="s">
        <v>32</v>
      </c>
      <c r="B68" s="131">
        <v>41036</v>
      </c>
      <c r="C68" s="83" t="s">
        <v>83</v>
      </c>
      <c r="D68" s="106">
        <v>0</v>
      </c>
      <c r="E68" s="107">
        <v>0</v>
      </c>
      <c r="F68" s="107">
        <v>0</v>
      </c>
      <c r="G68" s="107">
        <v>0</v>
      </c>
      <c r="H68" s="107">
        <v>1</v>
      </c>
      <c r="I68" s="107">
        <v>0</v>
      </c>
      <c r="J68" s="107">
        <v>1</v>
      </c>
      <c r="K68" s="108"/>
      <c r="L68" s="108"/>
      <c r="M68" s="109"/>
      <c r="N68" s="106">
        <v>0</v>
      </c>
      <c r="O68" s="107">
        <v>0</v>
      </c>
      <c r="P68" s="107">
        <v>0</v>
      </c>
      <c r="Q68" s="107">
        <v>0</v>
      </c>
      <c r="R68" s="107">
        <v>0</v>
      </c>
      <c r="S68" s="107">
        <v>0</v>
      </c>
      <c r="T68" s="107">
        <v>0</v>
      </c>
      <c r="U68" s="108"/>
      <c r="V68" s="108"/>
      <c r="W68" s="109"/>
      <c r="X68" s="106">
        <v>0</v>
      </c>
      <c r="Y68" s="107">
        <v>0</v>
      </c>
      <c r="Z68" s="107">
        <v>0</v>
      </c>
      <c r="AA68" s="107">
        <v>0</v>
      </c>
      <c r="AB68" s="110">
        <v>0</v>
      </c>
      <c r="AC68" s="111"/>
      <c r="AD68" s="106">
        <v>0</v>
      </c>
      <c r="AE68" s="107">
        <v>0</v>
      </c>
      <c r="AF68" s="107">
        <v>0</v>
      </c>
      <c r="AG68" s="107">
        <v>0</v>
      </c>
      <c r="AH68" s="110">
        <v>0</v>
      </c>
      <c r="AI68" s="105"/>
      <c r="AJ68" s="119">
        <f t="shared" si="8"/>
        <v>0.2857142857142857</v>
      </c>
      <c r="AK68" s="55">
        <f t="shared" si="1"/>
        <v>0</v>
      </c>
      <c r="AL68" s="55">
        <f t="shared" si="2"/>
        <v>0</v>
      </c>
      <c r="AM68" s="56">
        <f t="shared" si="3"/>
        <v>0</v>
      </c>
      <c r="AN68" s="168"/>
      <c r="AO68" s="168"/>
      <c r="AP68" s="168"/>
      <c r="AQ68" s="168"/>
      <c r="AR68" s="168"/>
      <c r="AS68" s="168"/>
      <c r="AT68" s="168"/>
      <c r="AU68" s="168"/>
      <c r="AV68" s="168"/>
      <c r="AW68" s="168"/>
      <c r="AX68" s="337">
        <f t="shared" si="4"/>
        <v>128</v>
      </c>
      <c r="AY68" s="232"/>
      <c r="AZ68" s="235"/>
      <c r="BA68" s="232"/>
      <c r="BB68" s="232"/>
      <c r="BC68" s="233"/>
      <c r="BD68" s="168"/>
      <c r="BE68" s="168"/>
      <c r="BF68" s="168"/>
      <c r="BG68" s="168"/>
      <c r="BH68" s="168"/>
      <c r="BI68" s="168"/>
      <c r="BJ68" s="168"/>
      <c r="BK68" s="326">
        <v>156</v>
      </c>
      <c r="BL68" s="213">
        <v>40334</v>
      </c>
      <c r="BM68" s="336">
        <v>3.2857142857142856</v>
      </c>
      <c r="BN68" s="326">
        <v>133</v>
      </c>
      <c r="BO68" s="213">
        <v>40676</v>
      </c>
      <c r="BP68" s="336">
        <v>2.2857142857142856</v>
      </c>
    </row>
    <row r="69" spans="1:68">
      <c r="A69" s="16" t="s">
        <v>32</v>
      </c>
      <c r="B69" s="131">
        <v>41039</v>
      </c>
      <c r="C69" s="83" t="s">
        <v>83</v>
      </c>
      <c r="D69" s="106">
        <v>0</v>
      </c>
      <c r="E69" s="107">
        <v>1</v>
      </c>
      <c r="F69" s="107">
        <v>0</v>
      </c>
      <c r="G69" s="107">
        <v>0</v>
      </c>
      <c r="H69" s="107">
        <v>1</v>
      </c>
      <c r="I69" s="107">
        <v>1</v>
      </c>
      <c r="J69" s="107">
        <v>1</v>
      </c>
      <c r="K69" s="108"/>
      <c r="L69" s="108"/>
      <c r="M69" s="109"/>
      <c r="N69" s="106">
        <v>0</v>
      </c>
      <c r="O69" s="107">
        <v>0</v>
      </c>
      <c r="P69" s="107">
        <v>0</v>
      </c>
      <c r="Q69" s="107">
        <v>0</v>
      </c>
      <c r="R69" s="107">
        <v>0</v>
      </c>
      <c r="S69" s="107">
        <v>0</v>
      </c>
      <c r="T69" s="107">
        <v>0</v>
      </c>
      <c r="U69" s="108"/>
      <c r="V69" s="108"/>
      <c r="W69" s="109"/>
      <c r="X69" s="106">
        <v>0</v>
      </c>
      <c r="Y69" s="107">
        <v>0</v>
      </c>
      <c r="Z69" s="107">
        <v>0</v>
      </c>
      <c r="AA69" s="107">
        <v>0</v>
      </c>
      <c r="AB69" s="110">
        <v>0</v>
      </c>
      <c r="AC69" s="111"/>
      <c r="AD69" s="106">
        <v>0</v>
      </c>
      <c r="AE69" s="107">
        <v>0</v>
      </c>
      <c r="AF69" s="107">
        <v>0</v>
      </c>
      <c r="AG69" s="107">
        <v>0</v>
      </c>
      <c r="AH69" s="110">
        <v>0</v>
      </c>
      <c r="AI69" s="105"/>
      <c r="AJ69" s="119">
        <f t="shared" si="8"/>
        <v>0.5714285714285714</v>
      </c>
      <c r="AK69" s="55">
        <f t="shared" si="1"/>
        <v>0</v>
      </c>
      <c r="AL69" s="55">
        <f t="shared" si="2"/>
        <v>0</v>
      </c>
      <c r="AM69" s="56">
        <f t="shared" si="3"/>
        <v>0</v>
      </c>
      <c r="AN69" s="168"/>
      <c r="AO69" s="168"/>
      <c r="AP69" s="168"/>
      <c r="AQ69" s="168"/>
      <c r="AR69" s="168"/>
      <c r="AS69" s="168"/>
      <c r="AT69" s="168"/>
      <c r="AU69" s="168"/>
      <c r="AV69" s="168"/>
      <c r="AW69" s="168"/>
      <c r="AX69" s="337">
        <f t="shared" si="4"/>
        <v>131</v>
      </c>
      <c r="AY69" s="232"/>
      <c r="AZ69" s="235"/>
      <c r="BA69" s="232"/>
      <c r="BB69" s="232"/>
      <c r="BC69" s="233"/>
      <c r="BD69" s="168"/>
      <c r="BE69" s="168"/>
      <c r="BF69" s="168"/>
      <c r="BG69" s="168"/>
      <c r="BH69" s="168"/>
      <c r="BI69" s="168"/>
      <c r="BJ69" s="168"/>
      <c r="BK69" s="326">
        <v>164</v>
      </c>
      <c r="BL69" s="213">
        <v>40342</v>
      </c>
      <c r="BM69" s="336">
        <v>4.8571428571428568</v>
      </c>
      <c r="BN69" s="326">
        <v>140</v>
      </c>
      <c r="BO69" s="213">
        <v>40683</v>
      </c>
      <c r="BP69" s="336">
        <v>2.8571428571428572</v>
      </c>
    </row>
    <row r="70" spans="1:68">
      <c r="A70" s="16" t="s">
        <v>32</v>
      </c>
      <c r="B70" s="131">
        <v>41044</v>
      </c>
      <c r="C70" s="83" t="s">
        <v>83</v>
      </c>
      <c r="D70" s="106">
        <v>0</v>
      </c>
      <c r="E70" s="107">
        <v>2</v>
      </c>
      <c r="F70" s="107">
        <v>1</v>
      </c>
      <c r="G70" s="107">
        <v>0</v>
      </c>
      <c r="H70" s="107">
        <v>2</v>
      </c>
      <c r="I70" s="107">
        <v>1</v>
      </c>
      <c r="J70" s="107">
        <v>1</v>
      </c>
      <c r="K70" s="108"/>
      <c r="L70" s="108"/>
      <c r="M70" s="109"/>
      <c r="N70" s="106">
        <v>0</v>
      </c>
      <c r="O70" s="107">
        <v>0</v>
      </c>
      <c r="P70" s="107">
        <v>0</v>
      </c>
      <c r="Q70" s="107">
        <v>0</v>
      </c>
      <c r="R70" s="107">
        <v>0</v>
      </c>
      <c r="S70" s="107">
        <v>0</v>
      </c>
      <c r="T70" s="107">
        <v>0</v>
      </c>
      <c r="U70" s="108"/>
      <c r="V70" s="108"/>
      <c r="W70" s="109"/>
      <c r="X70" s="106">
        <v>0</v>
      </c>
      <c r="Y70" s="107">
        <v>0</v>
      </c>
      <c r="Z70" s="107">
        <v>0</v>
      </c>
      <c r="AA70" s="107">
        <v>0</v>
      </c>
      <c r="AB70" s="110">
        <v>0</v>
      </c>
      <c r="AC70" s="111"/>
      <c r="AD70" s="106">
        <v>0</v>
      </c>
      <c r="AE70" s="107">
        <v>0</v>
      </c>
      <c r="AF70" s="107">
        <v>0</v>
      </c>
      <c r="AG70" s="107">
        <v>0</v>
      </c>
      <c r="AH70" s="110">
        <v>0</v>
      </c>
      <c r="AI70" s="105"/>
      <c r="AJ70" s="119">
        <f t="shared" ref="AJ70:AJ133" si="9">IF(COUNT(D70:M70)=0,"",AVERAGE(D70:M70))</f>
        <v>1</v>
      </c>
      <c r="AK70" s="55">
        <f t="shared" ref="AK70:AK133" si="10">IF(COUNT(N70:W70)=0,"",AVERAGE(N70:W70))</f>
        <v>0</v>
      </c>
      <c r="AL70" s="55">
        <f>IF(COUNT(X70:AB70)=0,"",AVERAGE(X70:AB70))</f>
        <v>0</v>
      </c>
      <c r="AM70" s="56">
        <f>IF(COUNT(AD70:AH70)=0,"",AVERAGE(AD70:AH70))</f>
        <v>0</v>
      </c>
      <c r="AN70" s="168"/>
      <c r="AO70" s="168"/>
      <c r="AP70" s="168"/>
      <c r="AQ70" s="168"/>
      <c r="AR70" s="168"/>
      <c r="AS70" s="168"/>
      <c r="AT70" s="168"/>
      <c r="AU70" s="168"/>
      <c r="AV70" s="168"/>
      <c r="AW70" s="168"/>
      <c r="AX70" s="337">
        <f t="shared" ref="AX70:AX94" si="11">IF(B70=0,AX69,B70-DATE(YEAR(B70)-1,12,31))</f>
        <v>136</v>
      </c>
      <c r="AY70" s="232"/>
      <c r="AZ70" s="235"/>
      <c r="BA70" s="232"/>
      <c r="BB70" s="232"/>
      <c r="BC70" s="233"/>
      <c r="BD70" s="168"/>
      <c r="BE70" s="168"/>
      <c r="BF70" s="168"/>
      <c r="BG70" s="168"/>
      <c r="BH70" s="168"/>
      <c r="BI70" s="168"/>
      <c r="BJ70" s="168"/>
      <c r="BK70" s="326">
        <v>172</v>
      </c>
      <c r="BL70" s="213">
        <v>40350</v>
      </c>
      <c r="BM70" s="336">
        <v>5.5714285714285712</v>
      </c>
      <c r="BN70" s="326">
        <v>158</v>
      </c>
      <c r="BO70" s="213">
        <v>40701</v>
      </c>
      <c r="BP70" s="336">
        <v>6.7142857142857144</v>
      </c>
    </row>
    <row r="71" spans="1:68">
      <c r="A71" s="16" t="s">
        <v>32</v>
      </c>
      <c r="B71" s="131">
        <v>41053</v>
      </c>
      <c r="C71" s="83" t="s">
        <v>83</v>
      </c>
      <c r="D71" s="106">
        <v>1</v>
      </c>
      <c r="E71" s="107">
        <v>3</v>
      </c>
      <c r="F71" s="107">
        <v>2</v>
      </c>
      <c r="G71" s="107">
        <v>1</v>
      </c>
      <c r="H71" s="107">
        <v>2</v>
      </c>
      <c r="I71" s="107">
        <v>2</v>
      </c>
      <c r="J71" s="107">
        <v>3</v>
      </c>
      <c r="K71" s="108"/>
      <c r="L71" s="108"/>
      <c r="M71" s="109"/>
      <c r="N71" s="106">
        <v>0</v>
      </c>
      <c r="O71" s="107">
        <v>1</v>
      </c>
      <c r="P71" s="107">
        <v>0</v>
      </c>
      <c r="Q71" s="107">
        <v>0</v>
      </c>
      <c r="R71" s="107">
        <v>0</v>
      </c>
      <c r="S71" s="107">
        <v>0</v>
      </c>
      <c r="T71" s="107">
        <v>1</v>
      </c>
      <c r="U71" s="108"/>
      <c r="V71" s="108"/>
      <c r="W71" s="109"/>
      <c r="X71" s="100">
        <v>0</v>
      </c>
      <c r="Y71" s="101">
        <v>0</v>
      </c>
      <c r="Z71" s="101">
        <v>0</v>
      </c>
      <c r="AA71" s="101">
        <v>0</v>
      </c>
      <c r="AB71" s="104">
        <v>0</v>
      </c>
      <c r="AC71" s="105"/>
      <c r="AD71" s="106">
        <v>0</v>
      </c>
      <c r="AE71" s="107">
        <v>0</v>
      </c>
      <c r="AF71" s="107">
        <v>0</v>
      </c>
      <c r="AG71" s="107">
        <v>0</v>
      </c>
      <c r="AH71" s="110">
        <v>0</v>
      </c>
      <c r="AI71" s="105"/>
      <c r="AJ71" s="119">
        <f t="shared" si="9"/>
        <v>2</v>
      </c>
      <c r="AK71" s="55">
        <f t="shared" si="10"/>
        <v>0.2857142857142857</v>
      </c>
      <c r="AL71" s="55">
        <f>IF(COUNT(X71:AB71)=0,"",AVERAGE(X71:AB71))</f>
        <v>0</v>
      </c>
      <c r="AM71" s="56">
        <f>IF(COUNT(AD71:AH71)=0,"",AVERAGE(AD71:AH71))</f>
        <v>0</v>
      </c>
      <c r="AN71" s="168"/>
      <c r="AO71" s="168"/>
      <c r="AP71" s="168"/>
      <c r="AQ71" s="168"/>
      <c r="AR71" s="168"/>
      <c r="AS71" s="168"/>
      <c r="AT71" s="168"/>
      <c r="AU71" s="168"/>
      <c r="AV71" s="168"/>
      <c r="AW71" s="168"/>
      <c r="AX71" s="337">
        <f t="shared" si="11"/>
        <v>145</v>
      </c>
      <c r="AY71" s="232"/>
      <c r="AZ71" s="235"/>
      <c r="BA71" s="232"/>
      <c r="BB71" s="232"/>
      <c r="BC71" s="233"/>
      <c r="BD71" s="168"/>
      <c r="BE71" s="168"/>
      <c r="BF71" s="168"/>
      <c r="BG71" s="168"/>
      <c r="BH71" s="168"/>
      <c r="BI71" s="168"/>
      <c r="BJ71" s="168"/>
      <c r="BK71" s="326">
        <v>178</v>
      </c>
      <c r="BL71" s="213">
        <v>40356</v>
      </c>
      <c r="BM71" s="336">
        <v>5.8571428571428568</v>
      </c>
      <c r="BN71" s="326">
        <v>164</v>
      </c>
      <c r="BO71" s="213">
        <v>40707</v>
      </c>
      <c r="BP71" s="336">
        <v>8</v>
      </c>
    </row>
    <row r="72" spans="1:68">
      <c r="A72" s="16" t="s">
        <v>32</v>
      </c>
      <c r="B72" s="131">
        <v>41059</v>
      </c>
      <c r="C72" s="83" t="s">
        <v>83</v>
      </c>
      <c r="D72" s="106">
        <v>4</v>
      </c>
      <c r="E72" s="107">
        <v>5</v>
      </c>
      <c r="F72" s="107">
        <v>4</v>
      </c>
      <c r="G72" s="107">
        <v>2</v>
      </c>
      <c r="H72" s="107">
        <v>3</v>
      </c>
      <c r="I72" s="107">
        <v>3</v>
      </c>
      <c r="J72" s="107">
        <v>5</v>
      </c>
      <c r="K72" s="108"/>
      <c r="L72" s="108"/>
      <c r="M72" s="109"/>
      <c r="N72" s="106">
        <v>2</v>
      </c>
      <c r="O72" s="107">
        <v>2</v>
      </c>
      <c r="P72" s="107">
        <v>2</v>
      </c>
      <c r="Q72" s="107">
        <v>0</v>
      </c>
      <c r="R72" s="107">
        <v>1</v>
      </c>
      <c r="S72" s="107">
        <v>1</v>
      </c>
      <c r="T72" s="107">
        <v>2</v>
      </c>
      <c r="U72" s="108"/>
      <c r="V72" s="108"/>
      <c r="W72" s="109"/>
      <c r="X72" s="106"/>
      <c r="Y72" s="107"/>
      <c r="Z72" s="107"/>
      <c r="AA72" s="107"/>
      <c r="AB72" s="110"/>
      <c r="AC72" s="111"/>
      <c r="AD72" s="106"/>
      <c r="AE72" s="107"/>
      <c r="AF72" s="107"/>
      <c r="AG72" s="107"/>
      <c r="AH72" s="110"/>
      <c r="AI72" s="105"/>
      <c r="AJ72" s="119">
        <f t="shared" si="9"/>
        <v>3.7142857142857144</v>
      </c>
      <c r="AK72" s="55">
        <f t="shared" si="10"/>
        <v>1.4285714285714286</v>
      </c>
      <c r="AL72" s="55"/>
      <c r="AM72" s="56"/>
      <c r="AN72" s="168"/>
      <c r="AO72" s="168"/>
      <c r="AP72" s="168"/>
      <c r="AQ72" s="168"/>
      <c r="AR72" s="168"/>
      <c r="AS72" s="168"/>
      <c r="AT72" s="168"/>
      <c r="AU72" s="168"/>
      <c r="AV72" s="168"/>
      <c r="AW72" s="168"/>
      <c r="AX72" s="337">
        <f t="shared" si="11"/>
        <v>151</v>
      </c>
      <c r="AY72" s="232"/>
      <c r="AZ72" s="235"/>
      <c r="BA72" s="232"/>
      <c r="BB72" s="232"/>
      <c r="BC72" s="233"/>
      <c r="BD72" s="168"/>
      <c r="BE72" s="168"/>
      <c r="BF72" s="168"/>
      <c r="BG72" s="168"/>
      <c r="BH72" s="168"/>
      <c r="BI72" s="168"/>
      <c r="BJ72" s="168"/>
      <c r="BK72" s="326">
        <v>186</v>
      </c>
      <c r="BL72" s="213">
        <v>40364</v>
      </c>
      <c r="BM72" s="336">
        <v>7</v>
      </c>
      <c r="BN72" s="326"/>
      <c r="BO72" s="213"/>
      <c r="BP72" s="336" t="s">
        <v>59</v>
      </c>
    </row>
    <row r="73" spans="1:68">
      <c r="A73" s="16" t="s">
        <v>32</v>
      </c>
      <c r="B73" s="131">
        <v>41073</v>
      </c>
      <c r="C73" s="83" t="s">
        <v>83</v>
      </c>
      <c r="D73" s="106">
        <v>5</v>
      </c>
      <c r="E73" s="107">
        <v>5</v>
      </c>
      <c r="F73" s="107">
        <v>5</v>
      </c>
      <c r="G73" s="107">
        <v>5</v>
      </c>
      <c r="H73" s="107">
        <v>5</v>
      </c>
      <c r="I73" s="107">
        <v>5</v>
      </c>
      <c r="J73" s="107">
        <v>7</v>
      </c>
      <c r="K73" s="108"/>
      <c r="L73" s="108"/>
      <c r="M73" s="109"/>
      <c r="N73" s="106">
        <v>2</v>
      </c>
      <c r="O73" s="107">
        <v>2</v>
      </c>
      <c r="P73" s="107">
        <v>2</v>
      </c>
      <c r="Q73" s="107">
        <v>2</v>
      </c>
      <c r="R73" s="107">
        <v>2</v>
      </c>
      <c r="S73" s="107">
        <v>2</v>
      </c>
      <c r="T73" s="107">
        <v>2</v>
      </c>
      <c r="U73" s="108"/>
      <c r="V73" s="108"/>
      <c r="W73" s="109"/>
      <c r="X73" s="106"/>
      <c r="Y73" s="107"/>
      <c r="Z73" s="107"/>
      <c r="AA73" s="107"/>
      <c r="AB73" s="110"/>
      <c r="AC73" s="111"/>
      <c r="AD73" s="100"/>
      <c r="AE73" s="101"/>
      <c r="AF73" s="101"/>
      <c r="AG73" s="101"/>
      <c r="AH73" s="104"/>
      <c r="AI73" s="105"/>
      <c r="AJ73" s="119">
        <f t="shared" si="9"/>
        <v>5.2857142857142856</v>
      </c>
      <c r="AK73" s="55">
        <f t="shared" si="10"/>
        <v>2</v>
      </c>
      <c r="AL73" s="55"/>
      <c r="AM73" s="56"/>
      <c r="AN73" s="168"/>
      <c r="AO73" s="168"/>
      <c r="AP73" s="168"/>
      <c r="AQ73" s="168"/>
      <c r="AR73" s="168"/>
      <c r="AS73" s="168"/>
      <c r="AT73" s="168"/>
      <c r="AU73" s="168"/>
      <c r="AV73" s="168"/>
      <c r="AW73" s="168"/>
      <c r="AX73" s="337">
        <f t="shared" si="11"/>
        <v>165</v>
      </c>
      <c r="AY73" s="232"/>
      <c r="AZ73" s="235"/>
      <c r="BA73" s="232"/>
      <c r="BB73" s="232"/>
      <c r="BC73" s="233"/>
      <c r="BD73" s="168"/>
      <c r="BE73" s="168"/>
      <c r="BF73" s="168"/>
      <c r="BG73" s="168"/>
      <c r="BH73" s="168"/>
      <c r="BI73" s="168"/>
      <c r="BJ73" s="168"/>
      <c r="BK73" s="326">
        <v>194</v>
      </c>
      <c r="BL73" s="213">
        <v>40372</v>
      </c>
      <c r="BM73" s="336">
        <v>7.8571428571428568</v>
      </c>
      <c r="BN73" s="326"/>
      <c r="BO73" s="213"/>
      <c r="BP73" s="336" t="s">
        <v>59</v>
      </c>
    </row>
    <row r="74" spans="1:68">
      <c r="A74" s="16" t="s">
        <v>32</v>
      </c>
      <c r="B74" s="123">
        <v>41092</v>
      </c>
      <c r="C74" s="101" t="s">
        <v>82</v>
      </c>
      <c r="D74" s="106">
        <v>7</v>
      </c>
      <c r="E74" s="107">
        <v>8</v>
      </c>
      <c r="F74" s="107">
        <v>7</v>
      </c>
      <c r="G74" s="107">
        <v>7</v>
      </c>
      <c r="H74" s="107">
        <v>7</v>
      </c>
      <c r="I74" s="107">
        <v>7</v>
      </c>
      <c r="J74" s="107">
        <v>8</v>
      </c>
      <c r="K74" s="108"/>
      <c r="L74" s="108"/>
      <c r="M74" s="109"/>
      <c r="N74" s="106">
        <v>2</v>
      </c>
      <c r="O74" s="107">
        <v>3</v>
      </c>
      <c r="P74" s="107">
        <v>2</v>
      </c>
      <c r="Q74" s="107">
        <v>2</v>
      </c>
      <c r="R74" s="107">
        <v>2</v>
      </c>
      <c r="S74" s="107">
        <v>2</v>
      </c>
      <c r="T74" s="107">
        <v>3</v>
      </c>
      <c r="U74" s="108"/>
      <c r="V74" s="108"/>
      <c r="W74" s="109"/>
      <c r="X74" s="106"/>
      <c r="Y74" s="107"/>
      <c r="Z74" s="107"/>
      <c r="AA74" s="107"/>
      <c r="AB74" s="110"/>
      <c r="AC74" s="111"/>
      <c r="AD74" s="100"/>
      <c r="AE74" s="101"/>
      <c r="AF74" s="101"/>
      <c r="AG74" s="101"/>
      <c r="AH74" s="104"/>
      <c r="AI74" s="105"/>
      <c r="AJ74" s="119">
        <f t="shared" si="9"/>
        <v>7.2857142857142856</v>
      </c>
      <c r="AK74" s="55">
        <f t="shared" si="10"/>
        <v>2.2857142857142856</v>
      </c>
      <c r="AL74" s="55"/>
      <c r="AM74" s="56"/>
      <c r="AN74" s="168"/>
      <c r="AO74" s="168"/>
      <c r="AP74" s="168"/>
      <c r="AQ74" s="168"/>
      <c r="AR74" s="168"/>
      <c r="AS74" s="168"/>
      <c r="AT74" s="168"/>
      <c r="AU74" s="168"/>
      <c r="AV74" s="168"/>
      <c r="AW74" s="168"/>
      <c r="AX74" s="337">
        <f t="shared" si="11"/>
        <v>184</v>
      </c>
      <c r="AY74" s="232"/>
      <c r="AZ74" s="235"/>
      <c r="BA74" s="232"/>
      <c r="BB74" s="232"/>
      <c r="BC74" s="233"/>
      <c r="BD74" s="168"/>
      <c r="BE74" s="168"/>
      <c r="BF74" s="168"/>
      <c r="BG74" s="168"/>
      <c r="BH74" s="168"/>
      <c r="BI74" s="168"/>
      <c r="BJ74" s="168"/>
      <c r="BK74" s="326"/>
      <c r="BL74" s="213"/>
      <c r="BM74" s="336" t="s">
        <v>59</v>
      </c>
      <c r="BN74" s="326"/>
      <c r="BO74" s="213"/>
      <c r="BP74" s="336" t="s">
        <v>59</v>
      </c>
    </row>
    <row r="75" spans="1:68">
      <c r="A75" s="16" t="s">
        <v>32</v>
      </c>
      <c r="B75" s="123"/>
      <c r="C75" s="101"/>
      <c r="D75" s="106"/>
      <c r="E75" s="107"/>
      <c r="F75" s="107"/>
      <c r="G75" s="107"/>
      <c r="H75" s="107"/>
      <c r="I75" s="107"/>
      <c r="J75" s="107"/>
      <c r="K75" s="108"/>
      <c r="L75" s="108"/>
      <c r="M75" s="109"/>
      <c r="N75" s="106"/>
      <c r="O75" s="107"/>
      <c r="P75" s="107"/>
      <c r="Q75" s="107"/>
      <c r="R75" s="107"/>
      <c r="S75" s="107"/>
      <c r="T75" s="107"/>
      <c r="U75" s="108"/>
      <c r="V75" s="108"/>
      <c r="W75" s="109"/>
      <c r="X75" s="106"/>
      <c r="Y75" s="107"/>
      <c r="Z75" s="107"/>
      <c r="AA75" s="107"/>
      <c r="AB75" s="110"/>
      <c r="AC75" s="111"/>
      <c r="AD75" s="100"/>
      <c r="AE75" s="101"/>
      <c r="AF75" s="101"/>
      <c r="AG75" s="101"/>
      <c r="AH75" s="104"/>
      <c r="AI75" s="105"/>
      <c r="AJ75" s="119" t="str">
        <f t="shared" si="9"/>
        <v/>
      </c>
      <c r="AK75" s="55" t="str">
        <f t="shared" si="10"/>
        <v/>
      </c>
      <c r="AL75" s="55"/>
      <c r="AM75" s="56"/>
      <c r="AN75" s="168"/>
      <c r="AO75" s="168"/>
      <c r="AP75" s="168"/>
      <c r="AQ75" s="168"/>
      <c r="AR75" s="168"/>
      <c r="AS75" s="168"/>
      <c r="AT75" s="168"/>
      <c r="AU75" s="168"/>
      <c r="AV75" s="168"/>
      <c r="AW75" s="168"/>
      <c r="AX75" s="337">
        <f t="shared" si="11"/>
        <v>184</v>
      </c>
      <c r="AY75" s="232"/>
      <c r="AZ75" s="235"/>
      <c r="BA75" s="232"/>
      <c r="BB75" s="232"/>
      <c r="BC75" s="233"/>
      <c r="BD75" s="168"/>
      <c r="BE75" s="168"/>
      <c r="BF75" s="168"/>
      <c r="BG75" s="168"/>
      <c r="BH75" s="168"/>
      <c r="BI75" s="168"/>
      <c r="BJ75" s="168"/>
      <c r="BK75" s="326"/>
      <c r="BL75" s="213"/>
      <c r="BM75" s="336" t="s">
        <v>59</v>
      </c>
      <c r="BN75" s="326"/>
      <c r="BO75" s="213"/>
      <c r="BP75" s="336" t="s">
        <v>59</v>
      </c>
    </row>
    <row r="76" spans="1:68">
      <c r="A76" s="16" t="s">
        <v>32</v>
      </c>
      <c r="B76" s="123"/>
      <c r="C76" s="101"/>
      <c r="D76" s="106"/>
      <c r="E76" s="107"/>
      <c r="F76" s="107"/>
      <c r="G76" s="107"/>
      <c r="H76" s="107"/>
      <c r="I76" s="107"/>
      <c r="J76" s="107"/>
      <c r="K76" s="108"/>
      <c r="L76" s="108"/>
      <c r="M76" s="109"/>
      <c r="N76" s="106"/>
      <c r="O76" s="107"/>
      <c r="P76" s="107"/>
      <c r="Q76" s="107"/>
      <c r="R76" s="107"/>
      <c r="S76" s="107"/>
      <c r="T76" s="107"/>
      <c r="U76" s="108"/>
      <c r="V76" s="108"/>
      <c r="W76" s="109"/>
      <c r="X76" s="106"/>
      <c r="Y76" s="107"/>
      <c r="Z76" s="107"/>
      <c r="AA76" s="107"/>
      <c r="AB76" s="110"/>
      <c r="AC76" s="111"/>
      <c r="AD76" s="106"/>
      <c r="AE76" s="107"/>
      <c r="AF76" s="107"/>
      <c r="AG76" s="107"/>
      <c r="AH76" s="110"/>
      <c r="AI76" s="111"/>
      <c r="AJ76" s="119" t="str">
        <f t="shared" si="9"/>
        <v/>
      </c>
      <c r="AK76" s="55" t="str">
        <f t="shared" si="10"/>
        <v/>
      </c>
      <c r="AL76" s="55"/>
      <c r="AM76" s="56"/>
      <c r="AN76" s="168"/>
      <c r="AO76" s="168"/>
      <c r="AP76" s="168"/>
      <c r="AQ76" s="168"/>
      <c r="AR76" s="168"/>
      <c r="AS76" s="168"/>
      <c r="AT76" s="168"/>
      <c r="AU76" s="168"/>
      <c r="AV76" s="168"/>
      <c r="AW76" s="168"/>
      <c r="AX76" s="337">
        <f t="shared" si="11"/>
        <v>184</v>
      </c>
      <c r="AY76" s="232"/>
      <c r="AZ76" s="235"/>
      <c r="BA76" s="232"/>
      <c r="BB76" s="232"/>
      <c r="BC76" s="233"/>
      <c r="BD76" s="168"/>
      <c r="BE76" s="168"/>
      <c r="BF76" s="168"/>
      <c r="BG76" s="168"/>
      <c r="BH76" s="168"/>
      <c r="BI76" s="168"/>
      <c r="BJ76" s="168"/>
      <c r="BK76" s="326"/>
      <c r="BL76" s="213"/>
      <c r="BM76" s="336" t="s">
        <v>59</v>
      </c>
      <c r="BN76" s="326"/>
      <c r="BO76" s="213"/>
      <c r="BP76" s="336" t="s">
        <v>59</v>
      </c>
    </row>
    <row r="77" spans="1:68">
      <c r="A77" s="16" t="s">
        <v>32</v>
      </c>
      <c r="B77" s="123"/>
      <c r="C77" s="101"/>
      <c r="D77" s="106"/>
      <c r="E77" s="107"/>
      <c r="F77" s="107"/>
      <c r="G77" s="107"/>
      <c r="H77" s="107"/>
      <c r="I77" s="107"/>
      <c r="J77" s="107"/>
      <c r="K77" s="108"/>
      <c r="L77" s="108"/>
      <c r="M77" s="109"/>
      <c r="N77" s="106"/>
      <c r="O77" s="107"/>
      <c r="P77" s="107"/>
      <c r="Q77" s="107"/>
      <c r="R77" s="107"/>
      <c r="S77" s="107"/>
      <c r="T77" s="107"/>
      <c r="U77" s="108"/>
      <c r="V77" s="108"/>
      <c r="W77" s="109"/>
      <c r="X77" s="106"/>
      <c r="Y77" s="107"/>
      <c r="Z77" s="107"/>
      <c r="AA77" s="107"/>
      <c r="AB77" s="110"/>
      <c r="AC77" s="111"/>
      <c r="AD77" s="106"/>
      <c r="AE77" s="107"/>
      <c r="AF77" s="107"/>
      <c r="AG77" s="107"/>
      <c r="AH77" s="110"/>
      <c r="AI77" s="111"/>
      <c r="AJ77" s="119" t="str">
        <f t="shared" si="9"/>
        <v/>
      </c>
      <c r="AK77" s="55" t="str">
        <f t="shared" si="10"/>
        <v/>
      </c>
      <c r="AL77" s="55"/>
      <c r="AM77" s="56"/>
      <c r="AN77" s="168"/>
      <c r="AO77" s="168"/>
      <c r="AP77" s="168"/>
      <c r="AQ77" s="168"/>
      <c r="AR77" s="168"/>
      <c r="AS77" s="168"/>
      <c r="AT77" s="168"/>
      <c r="AU77" s="168"/>
      <c r="AV77" s="168"/>
      <c r="AW77" s="168"/>
      <c r="AX77" s="337">
        <f t="shared" si="11"/>
        <v>184</v>
      </c>
      <c r="AY77" s="232"/>
      <c r="AZ77" s="235"/>
      <c r="BA77" s="232"/>
      <c r="BB77" s="232"/>
      <c r="BC77" s="233"/>
      <c r="BD77" s="168"/>
      <c r="BE77" s="168"/>
      <c r="BF77" s="168"/>
      <c r="BG77" s="168"/>
      <c r="BH77" s="168"/>
      <c r="BI77" s="168"/>
      <c r="BJ77" s="168"/>
      <c r="BK77" s="326"/>
      <c r="BL77" s="213"/>
      <c r="BM77" s="336" t="s">
        <v>59</v>
      </c>
      <c r="BN77" s="326"/>
      <c r="BO77" s="213"/>
      <c r="BP77" s="336" t="s">
        <v>59</v>
      </c>
    </row>
    <row r="78" spans="1:68">
      <c r="A78" s="16" t="s">
        <v>32</v>
      </c>
      <c r="B78" s="123"/>
      <c r="C78" s="101"/>
      <c r="D78" s="106"/>
      <c r="E78" s="107"/>
      <c r="F78" s="107"/>
      <c r="G78" s="107"/>
      <c r="H78" s="107"/>
      <c r="I78" s="107"/>
      <c r="J78" s="107"/>
      <c r="K78" s="108"/>
      <c r="L78" s="108"/>
      <c r="M78" s="109"/>
      <c r="N78" s="106"/>
      <c r="O78" s="107"/>
      <c r="P78" s="107"/>
      <c r="Q78" s="107"/>
      <c r="R78" s="107"/>
      <c r="S78" s="107"/>
      <c r="T78" s="107"/>
      <c r="U78" s="108"/>
      <c r="V78" s="108"/>
      <c r="W78" s="109"/>
      <c r="X78" s="106"/>
      <c r="Y78" s="107"/>
      <c r="Z78" s="107"/>
      <c r="AA78" s="107"/>
      <c r="AB78" s="110"/>
      <c r="AC78" s="111"/>
      <c r="AD78" s="106"/>
      <c r="AE78" s="107"/>
      <c r="AF78" s="107"/>
      <c r="AG78" s="107"/>
      <c r="AH78" s="110"/>
      <c r="AI78" s="111"/>
      <c r="AJ78" s="119" t="str">
        <f t="shared" si="9"/>
        <v/>
      </c>
      <c r="AK78" s="55" t="str">
        <f t="shared" si="10"/>
        <v/>
      </c>
      <c r="AL78" s="55"/>
      <c r="AM78" s="56"/>
      <c r="AN78" s="168"/>
      <c r="AO78" s="168"/>
      <c r="AP78" s="168"/>
      <c r="AQ78" s="168"/>
      <c r="AR78" s="168"/>
      <c r="AS78" s="168"/>
      <c r="AT78" s="168"/>
      <c r="AU78" s="168"/>
      <c r="AV78" s="168"/>
      <c r="AW78" s="168"/>
      <c r="AX78" s="337">
        <f t="shared" si="11"/>
        <v>184</v>
      </c>
      <c r="AY78" s="232"/>
      <c r="AZ78" s="235"/>
      <c r="BA78" s="232"/>
      <c r="BB78" s="232"/>
      <c r="BC78" s="233"/>
      <c r="BD78" s="168"/>
      <c r="BE78" s="168"/>
      <c r="BF78" s="168"/>
      <c r="BG78" s="168"/>
      <c r="BH78" s="168"/>
      <c r="BI78" s="168"/>
      <c r="BJ78" s="168"/>
      <c r="BK78" s="326"/>
      <c r="BL78" s="213"/>
      <c r="BM78" s="336" t="s">
        <v>59</v>
      </c>
      <c r="BN78" s="326"/>
      <c r="BO78" s="213"/>
      <c r="BP78" s="336" t="s">
        <v>59</v>
      </c>
    </row>
    <row r="79" spans="1:68">
      <c r="A79" s="16" t="s">
        <v>32</v>
      </c>
      <c r="B79" s="123"/>
      <c r="C79" s="107"/>
      <c r="D79" s="106"/>
      <c r="E79" s="107"/>
      <c r="F79" s="107"/>
      <c r="G79" s="107"/>
      <c r="H79" s="107"/>
      <c r="I79" s="107"/>
      <c r="J79" s="107"/>
      <c r="K79" s="108"/>
      <c r="L79" s="108"/>
      <c r="M79" s="109"/>
      <c r="N79" s="106"/>
      <c r="O79" s="107"/>
      <c r="P79" s="107"/>
      <c r="Q79" s="107"/>
      <c r="R79" s="107"/>
      <c r="S79" s="107"/>
      <c r="T79" s="107"/>
      <c r="U79" s="108"/>
      <c r="V79" s="108"/>
      <c r="W79" s="109"/>
      <c r="X79" s="106"/>
      <c r="Y79" s="107"/>
      <c r="Z79" s="107"/>
      <c r="AA79" s="107"/>
      <c r="AB79" s="110"/>
      <c r="AC79" s="111"/>
      <c r="AD79" s="106"/>
      <c r="AE79" s="107"/>
      <c r="AF79" s="107"/>
      <c r="AG79" s="107"/>
      <c r="AH79" s="110"/>
      <c r="AI79" s="111"/>
      <c r="AJ79" s="119" t="str">
        <f t="shared" si="9"/>
        <v/>
      </c>
      <c r="AK79" s="55" t="str">
        <f t="shared" si="10"/>
        <v/>
      </c>
      <c r="AL79" s="55"/>
      <c r="AM79" s="56"/>
      <c r="AN79" s="168"/>
      <c r="AO79" s="168"/>
      <c r="AP79" s="168"/>
      <c r="AQ79" s="168"/>
      <c r="AR79" s="168"/>
      <c r="AS79" s="168"/>
      <c r="AT79" s="168"/>
      <c r="AU79" s="168"/>
      <c r="AV79" s="168"/>
      <c r="AW79" s="168"/>
      <c r="AX79" s="337">
        <f t="shared" si="11"/>
        <v>184</v>
      </c>
      <c r="AY79" s="232"/>
      <c r="AZ79" s="235"/>
      <c r="BA79" s="232"/>
      <c r="BB79" s="232"/>
      <c r="BC79" s="233"/>
      <c r="BD79" s="168"/>
      <c r="BE79" s="168"/>
      <c r="BF79" s="168"/>
      <c r="BG79" s="168"/>
      <c r="BH79" s="168"/>
      <c r="BI79" s="168"/>
      <c r="BJ79" s="168"/>
      <c r="BK79" s="326"/>
      <c r="BL79" s="213"/>
      <c r="BM79" s="336" t="s">
        <v>59</v>
      </c>
      <c r="BN79" s="326"/>
      <c r="BO79" s="213"/>
      <c r="BP79" s="336" t="s">
        <v>59</v>
      </c>
    </row>
    <row r="80" spans="1:68">
      <c r="A80" s="16" t="s">
        <v>32</v>
      </c>
      <c r="B80" s="123"/>
      <c r="C80" s="107"/>
      <c r="D80" s="106"/>
      <c r="E80" s="107"/>
      <c r="F80" s="107"/>
      <c r="G80" s="107"/>
      <c r="H80" s="107"/>
      <c r="I80" s="107"/>
      <c r="J80" s="107"/>
      <c r="K80" s="108"/>
      <c r="L80" s="108"/>
      <c r="M80" s="109"/>
      <c r="N80" s="106"/>
      <c r="O80" s="107"/>
      <c r="P80" s="107"/>
      <c r="Q80" s="107"/>
      <c r="R80" s="107"/>
      <c r="S80" s="107"/>
      <c r="T80" s="107"/>
      <c r="U80" s="108"/>
      <c r="V80" s="108"/>
      <c r="W80" s="109"/>
      <c r="X80" s="106"/>
      <c r="Y80" s="107"/>
      <c r="Z80" s="107"/>
      <c r="AA80" s="107"/>
      <c r="AB80" s="110"/>
      <c r="AC80" s="111"/>
      <c r="AD80" s="106"/>
      <c r="AE80" s="107"/>
      <c r="AF80" s="107"/>
      <c r="AG80" s="107"/>
      <c r="AH80" s="110"/>
      <c r="AI80" s="111"/>
      <c r="AJ80" s="119" t="str">
        <f t="shared" si="9"/>
        <v/>
      </c>
      <c r="AK80" s="55" t="str">
        <f t="shared" si="10"/>
        <v/>
      </c>
      <c r="AL80" s="55"/>
      <c r="AM80" s="56"/>
      <c r="AN80" s="168"/>
      <c r="AO80" s="168"/>
      <c r="AP80" s="168"/>
      <c r="AQ80" s="168"/>
      <c r="AR80" s="168"/>
      <c r="AS80" s="168"/>
      <c r="AT80" s="168"/>
      <c r="AU80" s="168"/>
      <c r="AV80" s="168"/>
      <c r="AW80" s="168"/>
      <c r="AX80" s="337">
        <f t="shared" si="11"/>
        <v>184</v>
      </c>
      <c r="AY80" s="232"/>
      <c r="AZ80" s="235"/>
      <c r="BA80" s="232"/>
      <c r="BB80" s="232"/>
      <c r="BC80" s="233"/>
      <c r="BD80" s="168"/>
      <c r="BE80" s="168"/>
      <c r="BF80" s="168"/>
      <c r="BG80" s="168"/>
      <c r="BH80" s="168"/>
      <c r="BI80" s="168"/>
      <c r="BJ80" s="168"/>
      <c r="BK80" s="326"/>
      <c r="BL80" s="213"/>
      <c r="BM80" s="336" t="s">
        <v>59</v>
      </c>
      <c r="BN80" s="326"/>
      <c r="BO80" s="213"/>
      <c r="BP80" s="336" t="s">
        <v>59</v>
      </c>
    </row>
    <row r="81" spans="1:68">
      <c r="A81" s="16" t="s">
        <v>32</v>
      </c>
      <c r="B81" s="123"/>
      <c r="C81" s="107"/>
      <c r="D81" s="106"/>
      <c r="E81" s="107"/>
      <c r="F81" s="107"/>
      <c r="G81" s="107"/>
      <c r="H81" s="107"/>
      <c r="I81" s="107"/>
      <c r="J81" s="107"/>
      <c r="K81" s="108"/>
      <c r="L81" s="108"/>
      <c r="M81" s="109"/>
      <c r="N81" s="106"/>
      <c r="O81" s="107"/>
      <c r="P81" s="107"/>
      <c r="Q81" s="107"/>
      <c r="R81" s="107"/>
      <c r="S81" s="107"/>
      <c r="T81" s="107"/>
      <c r="U81" s="108"/>
      <c r="V81" s="108"/>
      <c r="W81" s="109"/>
      <c r="X81" s="106"/>
      <c r="Y81" s="107"/>
      <c r="Z81" s="107"/>
      <c r="AA81" s="107"/>
      <c r="AB81" s="110"/>
      <c r="AC81" s="111"/>
      <c r="AD81" s="106"/>
      <c r="AE81" s="107"/>
      <c r="AF81" s="107"/>
      <c r="AG81" s="107"/>
      <c r="AH81" s="110"/>
      <c r="AI81" s="111"/>
      <c r="AJ81" s="119" t="str">
        <f t="shared" si="9"/>
        <v/>
      </c>
      <c r="AK81" s="55" t="str">
        <f t="shared" si="10"/>
        <v/>
      </c>
      <c r="AL81" s="55"/>
      <c r="AM81" s="56"/>
      <c r="AN81" s="168"/>
      <c r="AO81" s="168"/>
      <c r="AP81" s="168"/>
      <c r="AQ81" s="168"/>
      <c r="AR81" s="168"/>
      <c r="AS81" s="168"/>
      <c r="AT81" s="168"/>
      <c r="AU81" s="168"/>
      <c r="AV81" s="168"/>
      <c r="AW81" s="168"/>
      <c r="AX81" s="337">
        <f t="shared" si="11"/>
        <v>184</v>
      </c>
      <c r="AY81" s="232"/>
      <c r="AZ81" s="235"/>
      <c r="BA81" s="232"/>
      <c r="BB81" s="232"/>
      <c r="BC81" s="233"/>
      <c r="BD81" s="168"/>
      <c r="BE81" s="168"/>
      <c r="BF81" s="168"/>
      <c r="BG81" s="168"/>
      <c r="BH81" s="168"/>
      <c r="BI81" s="168"/>
      <c r="BJ81" s="168"/>
      <c r="BK81" s="326"/>
      <c r="BL81" s="213"/>
      <c r="BM81" s="336" t="s">
        <v>59</v>
      </c>
      <c r="BN81" s="326"/>
      <c r="BO81" s="213"/>
      <c r="BP81" s="336" t="s">
        <v>59</v>
      </c>
    </row>
    <row r="82" spans="1:68">
      <c r="A82" s="16" t="s">
        <v>32</v>
      </c>
      <c r="B82" s="123"/>
      <c r="C82" s="107"/>
      <c r="D82" s="106"/>
      <c r="E82" s="107"/>
      <c r="F82" s="107"/>
      <c r="G82" s="107"/>
      <c r="H82" s="107"/>
      <c r="I82" s="107"/>
      <c r="J82" s="107"/>
      <c r="K82" s="108"/>
      <c r="L82" s="108"/>
      <c r="M82" s="109"/>
      <c r="N82" s="106"/>
      <c r="O82" s="107"/>
      <c r="P82" s="107"/>
      <c r="Q82" s="107"/>
      <c r="R82" s="107"/>
      <c r="S82" s="107"/>
      <c r="T82" s="107"/>
      <c r="U82" s="108"/>
      <c r="V82" s="108"/>
      <c r="W82" s="109"/>
      <c r="X82" s="106"/>
      <c r="Y82" s="107"/>
      <c r="Z82" s="107"/>
      <c r="AA82" s="107"/>
      <c r="AB82" s="110"/>
      <c r="AC82" s="111"/>
      <c r="AD82" s="106"/>
      <c r="AE82" s="107"/>
      <c r="AF82" s="107"/>
      <c r="AG82" s="107"/>
      <c r="AH82" s="110"/>
      <c r="AI82" s="111"/>
      <c r="AJ82" s="119" t="str">
        <f t="shared" si="9"/>
        <v/>
      </c>
      <c r="AK82" s="55" t="str">
        <f t="shared" si="10"/>
        <v/>
      </c>
      <c r="AL82" s="55"/>
      <c r="AM82" s="56"/>
      <c r="AN82" s="168"/>
      <c r="AO82" s="168"/>
      <c r="AP82" s="168"/>
      <c r="AQ82" s="168"/>
      <c r="AR82" s="168"/>
      <c r="AS82" s="168"/>
      <c r="AT82" s="168"/>
      <c r="AU82" s="168"/>
      <c r="AV82" s="168"/>
      <c r="AW82" s="168"/>
      <c r="AX82" s="337">
        <f t="shared" si="11"/>
        <v>184</v>
      </c>
      <c r="AY82" s="232"/>
      <c r="AZ82" s="235"/>
      <c r="BA82" s="232"/>
      <c r="BB82" s="232"/>
      <c r="BC82" s="233"/>
      <c r="BD82" s="168"/>
      <c r="BE82" s="168"/>
      <c r="BF82" s="168"/>
      <c r="BG82" s="168"/>
      <c r="BH82" s="168"/>
      <c r="BI82" s="168"/>
      <c r="BJ82" s="168"/>
      <c r="BK82" s="326"/>
      <c r="BL82" s="213"/>
      <c r="BM82" s="336" t="s">
        <v>59</v>
      </c>
      <c r="BN82" s="326"/>
      <c r="BO82" s="213"/>
      <c r="BP82" s="336" t="s">
        <v>59</v>
      </c>
    </row>
    <row r="83" spans="1:68">
      <c r="A83" s="16" t="s">
        <v>32</v>
      </c>
      <c r="B83" s="123"/>
      <c r="C83" s="107"/>
      <c r="D83" s="106"/>
      <c r="E83" s="107"/>
      <c r="F83" s="107"/>
      <c r="G83" s="107"/>
      <c r="H83" s="107"/>
      <c r="I83" s="107"/>
      <c r="J83" s="107"/>
      <c r="K83" s="108"/>
      <c r="L83" s="108"/>
      <c r="M83" s="109"/>
      <c r="N83" s="106"/>
      <c r="O83" s="107"/>
      <c r="P83" s="107"/>
      <c r="Q83" s="107"/>
      <c r="R83" s="107"/>
      <c r="S83" s="107"/>
      <c r="T83" s="107"/>
      <c r="U83" s="108"/>
      <c r="V83" s="108"/>
      <c r="W83" s="109"/>
      <c r="X83" s="106"/>
      <c r="Y83" s="107"/>
      <c r="Z83" s="107"/>
      <c r="AA83" s="107"/>
      <c r="AB83" s="110"/>
      <c r="AC83" s="111"/>
      <c r="AD83" s="106"/>
      <c r="AE83" s="107"/>
      <c r="AF83" s="107"/>
      <c r="AG83" s="107"/>
      <c r="AH83" s="110"/>
      <c r="AI83" s="111"/>
      <c r="AJ83" s="119" t="str">
        <f t="shared" si="9"/>
        <v/>
      </c>
      <c r="AK83" s="55" t="str">
        <f t="shared" si="10"/>
        <v/>
      </c>
      <c r="AL83" s="55"/>
      <c r="AM83" s="56"/>
      <c r="AN83" s="168"/>
      <c r="AO83" s="168"/>
      <c r="AP83" s="168"/>
      <c r="AQ83" s="168"/>
      <c r="AR83" s="168"/>
      <c r="AS83" s="168"/>
      <c r="AT83" s="168"/>
      <c r="AU83" s="168"/>
      <c r="AV83" s="168"/>
      <c r="AW83" s="168"/>
      <c r="AX83" s="337">
        <f t="shared" si="11"/>
        <v>184</v>
      </c>
      <c r="AY83" s="232"/>
      <c r="AZ83" s="235"/>
      <c r="BA83" s="232"/>
      <c r="BB83" s="232"/>
      <c r="BC83" s="233"/>
      <c r="BD83" s="168"/>
      <c r="BE83" s="168"/>
      <c r="BF83" s="168"/>
      <c r="BG83" s="168"/>
      <c r="BH83" s="168"/>
      <c r="BI83" s="168"/>
      <c r="BJ83" s="168"/>
      <c r="BK83" s="326"/>
      <c r="BL83" s="213"/>
      <c r="BM83" s="336" t="s">
        <v>59</v>
      </c>
      <c r="BN83" s="326"/>
      <c r="BO83" s="213"/>
      <c r="BP83" s="336" t="s">
        <v>59</v>
      </c>
    </row>
    <row r="84" spans="1:68">
      <c r="A84" s="16" t="s">
        <v>32</v>
      </c>
      <c r="B84" s="123"/>
      <c r="C84" s="107"/>
      <c r="D84" s="106"/>
      <c r="E84" s="107"/>
      <c r="F84" s="107"/>
      <c r="G84" s="107"/>
      <c r="H84" s="107"/>
      <c r="I84" s="107"/>
      <c r="J84" s="107"/>
      <c r="K84" s="108"/>
      <c r="L84" s="108"/>
      <c r="M84" s="109"/>
      <c r="N84" s="106"/>
      <c r="O84" s="107"/>
      <c r="P84" s="107"/>
      <c r="Q84" s="107"/>
      <c r="R84" s="107"/>
      <c r="S84" s="107"/>
      <c r="T84" s="107"/>
      <c r="U84" s="108"/>
      <c r="V84" s="108"/>
      <c r="W84" s="109"/>
      <c r="X84" s="106"/>
      <c r="Y84" s="107"/>
      <c r="Z84" s="107"/>
      <c r="AA84" s="107"/>
      <c r="AB84" s="110"/>
      <c r="AC84" s="111"/>
      <c r="AD84" s="106"/>
      <c r="AE84" s="107"/>
      <c r="AF84" s="107"/>
      <c r="AG84" s="107"/>
      <c r="AH84" s="110"/>
      <c r="AI84" s="111"/>
      <c r="AJ84" s="119" t="str">
        <f t="shared" si="9"/>
        <v/>
      </c>
      <c r="AK84" s="55" t="str">
        <f t="shared" si="10"/>
        <v/>
      </c>
      <c r="AL84" s="55"/>
      <c r="AM84" s="56"/>
      <c r="AN84" s="168"/>
      <c r="AO84" s="168"/>
      <c r="AP84" s="168"/>
      <c r="AQ84" s="168"/>
      <c r="AR84" s="168"/>
      <c r="AS84" s="168"/>
      <c r="AT84" s="168"/>
      <c r="AU84" s="168"/>
      <c r="AV84" s="168"/>
      <c r="AW84" s="168"/>
      <c r="AX84" s="337">
        <f t="shared" si="11"/>
        <v>184</v>
      </c>
      <c r="AY84" s="232"/>
      <c r="AZ84" s="235"/>
      <c r="BA84" s="232"/>
      <c r="BB84" s="232"/>
      <c r="BC84" s="233"/>
      <c r="BD84" s="168"/>
      <c r="BE84" s="168"/>
      <c r="BF84" s="168"/>
      <c r="BG84" s="168"/>
      <c r="BH84" s="168"/>
      <c r="BI84" s="168"/>
      <c r="BJ84" s="168"/>
      <c r="BK84" s="326"/>
      <c r="BL84" s="213"/>
      <c r="BM84" s="336" t="s">
        <v>59</v>
      </c>
      <c r="BN84" s="326"/>
      <c r="BO84" s="213"/>
      <c r="BP84" s="336" t="s">
        <v>59</v>
      </c>
    </row>
    <row r="85" spans="1:68">
      <c r="A85" s="16" t="s">
        <v>32</v>
      </c>
      <c r="B85" s="123"/>
      <c r="C85" s="107"/>
      <c r="D85" s="106"/>
      <c r="E85" s="107"/>
      <c r="F85" s="107"/>
      <c r="G85" s="107"/>
      <c r="H85" s="107"/>
      <c r="I85" s="107"/>
      <c r="J85" s="107"/>
      <c r="K85" s="108"/>
      <c r="L85" s="108"/>
      <c r="M85" s="109"/>
      <c r="N85" s="106"/>
      <c r="O85" s="107"/>
      <c r="P85" s="107"/>
      <c r="Q85" s="107"/>
      <c r="R85" s="107"/>
      <c r="S85" s="107"/>
      <c r="T85" s="107"/>
      <c r="U85" s="108"/>
      <c r="V85" s="108"/>
      <c r="W85" s="109"/>
      <c r="X85" s="106"/>
      <c r="Y85" s="107"/>
      <c r="Z85" s="107"/>
      <c r="AA85" s="107"/>
      <c r="AB85" s="110"/>
      <c r="AC85" s="111"/>
      <c r="AD85" s="106"/>
      <c r="AE85" s="107"/>
      <c r="AF85" s="107"/>
      <c r="AG85" s="107"/>
      <c r="AH85" s="110"/>
      <c r="AI85" s="111"/>
      <c r="AJ85" s="119" t="str">
        <f t="shared" si="9"/>
        <v/>
      </c>
      <c r="AK85" s="55" t="str">
        <f t="shared" si="10"/>
        <v/>
      </c>
      <c r="AL85" s="55"/>
      <c r="AM85" s="56"/>
      <c r="AN85" s="168"/>
      <c r="AO85" s="168"/>
      <c r="AP85" s="168"/>
      <c r="AQ85" s="168"/>
      <c r="AR85" s="168"/>
      <c r="AS85" s="168"/>
      <c r="AT85" s="168"/>
      <c r="AU85" s="168"/>
      <c r="AV85" s="168"/>
      <c r="AW85" s="168"/>
      <c r="AX85" s="337">
        <f t="shared" si="11"/>
        <v>184</v>
      </c>
      <c r="AY85" s="232"/>
      <c r="AZ85" s="235"/>
      <c r="BA85" s="232"/>
      <c r="BB85" s="232"/>
      <c r="BC85" s="233"/>
      <c r="BD85" s="168"/>
      <c r="BE85" s="168"/>
      <c r="BF85" s="168"/>
      <c r="BG85" s="168"/>
      <c r="BH85" s="168"/>
      <c r="BI85" s="168"/>
      <c r="BJ85" s="168"/>
      <c r="BK85" s="326"/>
      <c r="BL85" s="213"/>
      <c r="BM85" s="336" t="s">
        <v>59</v>
      </c>
      <c r="BN85" s="326"/>
      <c r="BO85" s="213"/>
      <c r="BP85" s="336" t="s">
        <v>59</v>
      </c>
    </row>
    <row r="86" spans="1:68">
      <c r="A86" s="16" t="s">
        <v>32</v>
      </c>
      <c r="B86" s="123"/>
      <c r="C86" s="107"/>
      <c r="D86" s="106"/>
      <c r="E86" s="107"/>
      <c r="F86" s="107"/>
      <c r="G86" s="107"/>
      <c r="H86" s="107"/>
      <c r="I86" s="107"/>
      <c r="J86" s="107"/>
      <c r="K86" s="108"/>
      <c r="L86" s="108"/>
      <c r="M86" s="109"/>
      <c r="N86" s="106"/>
      <c r="O86" s="107"/>
      <c r="P86" s="107"/>
      <c r="Q86" s="107"/>
      <c r="R86" s="107"/>
      <c r="S86" s="107"/>
      <c r="T86" s="107"/>
      <c r="U86" s="108"/>
      <c r="V86" s="108"/>
      <c r="W86" s="109"/>
      <c r="X86" s="106"/>
      <c r="Y86" s="107"/>
      <c r="Z86" s="107"/>
      <c r="AA86" s="107"/>
      <c r="AB86" s="110"/>
      <c r="AC86" s="111"/>
      <c r="AD86" s="106"/>
      <c r="AE86" s="107"/>
      <c r="AF86" s="107"/>
      <c r="AG86" s="107"/>
      <c r="AH86" s="110"/>
      <c r="AI86" s="111"/>
      <c r="AJ86" s="119" t="str">
        <f t="shared" si="9"/>
        <v/>
      </c>
      <c r="AK86" s="55" t="str">
        <f t="shared" si="10"/>
        <v/>
      </c>
      <c r="AL86" s="55"/>
      <c r="AM86" s="56"/>
      <c r="AN86" s="168"/>
      <c r="AO86" s="168"/>
      <c r="AP86" s="168"/>
      <c r="AQ86" s="168"/>
      <c r="AR86" s="168"/>
      <c r="AS86" s="168"/>
      <c r="AT86" s="168"/>
      <c r="AU86" s="168"/>
      <c r="AV86" s="168"/>
      <c r="AW86" s="168"/>
      <c r="AX86" s="337">
        <f t="shared" si="11"/>
        <v>184</v>
      </c>
      <c r="AY86" s="232"/>
      <c r="AZ86" s="235"/>
      <c r="BA86" s="232"/>
      <c r="BB86" s="232"/>
      <c r="BC86" s="233"/>
      <c r="BD86" s="168"/>
      <c r="BE86" s="168"/>
      <c r="BF86" s="168"/>
      <c r="BG86" s="168"/>
      <c r="BH86" s="168"/>
      <c r="BI86" s="168"/>
      <c r="BJ86" s="168"/>
      <c r="BK86" s="326"/>
      <c r="BL86" s="213"/>
      <c r="BM86" s="336" t="s">
        <v>59</v>
      </c>
      <c r="BN86" s="326"/>
      <c r="BO86" s="213"/>
      <c r="BP86" s="336" t="s">
        <v>59</v>
      </c>
    </row>
    <row r="87" spans="1:68">
      <c r="A87" s="16" t="s">
        <v>32</v>
      </c>
      <c r="B87" s="123"/>
      <c r="C87" s="107"/>
      <c r="D87" s="106"/>
      <c r="E87" s="107"/>
      <c r="F87" s="107"/>
      <c r="G87" s="107"/>
      <c r="H87" s="107"/>
      <c r="I87" s="107"/>
      <c r="J87" s="107"/>
      <c r="K87" s="108"/>
      <c r="L87" s="108"/>
      <c r="M87" s="109"/>
      <c r="N87" s="106"/>
      <c r="O87" s="107"/>
      <c r="P87" s="107"/>
      <c r="Q87" s="107"/>
      <c r="R87" s="107"/>
      <c r="S87" s="107"/>
      <c r="T87" s="107"/>
      <c r="U87" s="108"/>
      <c r="V87" s="108"/>
      <c r="W87" s="109"/>
      <c r="X87" s="106"/>
      <c r="Y87" s="107"/>
      <c r="Z87" s="107"/>
      <c r="AA87" s="107"/>
      <c r="AB87" s="110"/>
      <c r="AC87" s="111"/>
      <c r="AD87" s="106"/>
      <c r="AE87" s="107"/>
      <c r="AF87" s="107"/>
      <c r="AG87" s="107"/>
      <c r="AH87" s="110"/>
      <c r="AI87" s="111"/>
      <c r="AJ87" s="119" t="str">
        <f t="shared" si="9"/>
        <v/>
      </c>
      <c r="AK87" s="55" t="str">
        <f t="shared" si="10"/>
        <v/>
      </c>
      <c r="AL87" s="55"/>
      <c r="AM87" s="56"/>
      <c r="AN87" s="168"/>
      <c r="AO87" s="168"/>
      <c r="AP87" s="168"/>
      <c r="AQ87" s="168"/>
      <c r="AR87" s="168"/>
      <c r="AS87" s="168"/>
      <c r="AT87" s="168"/>
      <c r="AU87" s="168"/>
      <c r="AV87" s="168"/>
      <c r="AW87" s="168"/>
      <c r="AX87" s="337">
        <f t="shared" si="11"/>
        <v>184</v>
      </c>
      <c r="AY87" s="232"/>
      <c r="AZ87" s="235"/>
      <c r="BA87" s="232"/>
      <c r="BB87" s="232"/>
      <c r="BC87" s="233"/>
      <c r="BD87" s="168"/>
      <c r="BE87" s="168"/>
      <c r="BF87" s="168"/>
      <c r="BG87" s="168"/>
      <c r="BH87" s="168"/>
      <c r="BI87" s="168"/>
      <c r="BJ87" s="168"/>
      <c r="BK87" s="326"/>
      <c r="BL87" s="213"/>
      <c r="BM87" s="336" t="s">
        <v>59</v>
      </c>
      <c r="BN87" s="326"/>
      <c r="BO87" s="213"/>
      <c r="BP87" s="336" t="s">
        <v>59</v>
      </c>
    </row>
    <row r="88" spans="1:68">
      <c r="A88" s="16" t="s">
        <v>32</v>
      </c>
      <c r="B88" s="123"/>
      <c r="C88" s="107"/>
      <c r="D88" s="106"/>
      <c r="E88" s="107"/>
      <c r="F88" s="107"/>
      <c r="G88" s="107"/>
      <c r="H88" s="107"/>
      <c r="I88" s="107"/>
      <c r="J88" s="107"/>
      <c r="K88" s="108"/>
      <c r="L88" s="108"/>
      <c r="M88" s="109"/>
      <c r="N88" s="106"/>
      <c r="O88" s="107"/>
      <c r="P88" s="107"/>
      <c r="Q88" s="107"/>
      <c r="R88" s="107"/>
      <c r="S88" s="107"/>
      <c r="T88" s="107"/>
      <c r="U88" s="108"/>
      <c r="V88" s="108"/>
      <c r="W88" s="109"/>
      <c r="X88" s="106"/>
      <c r="Y88" s="107"/>
      <c r="Z88" s="107"/>
      <c r="AA88" s="107"/>
      <c r="AB88" s="110"/>
      <c r="AC88" s="111"/>
      <c r="AD88" s="106"/>
      <c r="AE88" s="107"/>
      <c r="AF88" s="107"/>
      <c r="AG88" s="107"/>
      <c r="AH88" s="110"/>
      <c r="AI88" s="111"/>
      <c r="AJ88" s="119" t="str">
        <f t="shared" si="9"/>
        <v/>
      </c>
      <c r="AK88" s="55" t="str">
        <f t="shared" si="10"/>
        <v/>
      </c>
      <c r="AL88" s="55"/>
      <c r="AM88" s="56"/>
      <c r="AN88" s="168"/>
      <c r="AO88" s="168"/>
      <c r="AP88" s="168"/>
      <c r="AQ88" s="168"/>
      <c r="AR88" s="168"/>
      <c r="AS88" s="168"/>
      <c r="AT88" s="168"/>
      <c r="AU88" s="168"/>
      <c r="AV88" s="168"/>
      <c r="AW88" s="168"/>
      <c r="AX88" s="337">
        <f t="shared" si="11"/>
        <v>184</v>
      </c>
      <c r="AY88" s="232"/>
      <c r="AZ88" s="235"/>
      <c r="BA88" s="232"/>
      <c r="BB88" s="232"/>
      <c r="BC88" s="233"/>
      <c r="BD88" s="168"/>
      <c r="BE88" s="168"/>
      <c r="BF88" s="168"/>
      <c r="BG88" s="168"/>
      <c r="BH88" s="168"/>
      <c r="BI88" s="168"/>
      <c r="BJ88" s="168"/>
      <c r="BK88" s="326"/>
      <c r="BL88" s="213"/>
      <c r="BM88" s="336" t="s">
        <v>59</v>
      </c>
      <c r="BN88" s="326"/>
      <c r="BO88" s="213"/>
      <c r="BP88" s="336" t="s">
        <v>59</v>
      </c>
    </row>
    <row r="89" spans="1:68">
      <c r="A89" s="16" t="s">
        <v>32</v>
      </c>
      <c r="B89" s="123"/>
      <c r="C89" s="107"/>
      <c r="D89" s="106"/>
      <c r="E89" s="107"/>
      <c r="F89" s="107"/>
      <c r="G89" s="107"/>
      <c r="H89" s="107"/>
      <c r="I89" s="107"/>
      <c r="J89" s="107"/>
      <c r="K89" s="108"/>
      <c r="L89" s="108"/>
      <c r="M89" s="109"/>
      <c r="N89" s="106"/>
      <c r="O89" s="107"/>
      <c r="P89" s="107"/>
      <c r="Q89" s="107"/>
      <c r="R89" s="107"/>
      <c r="S89" s="107"/>
      <c r="T89" s="107"/>
      <c r="U89" s="108"/>
      <c r="V89" s="108"/>
      <c r="W89" s="109"/>
      <c r="X89" s="106"/>
      <c r="Y89" s="107"/>
      <c r="Z89" s="107"/>
      <c r="AA89" s="107"/>
      <c r="AB89" s="110"/>
      <c r="AC89" s="111"/>
      <c r="AD89" s="106"/>
      <c r="AE89" s="107"/>
      <c r="AF89" s="107"/>
      <c r="AG89" s="107"/>
      <c r="AH89" s="110"/>
      <c r="AI89" s="111"/>
      <c r="AJ89" s="119" t="str">
        <f t="shared" si="9"/>
        <v/>
      </c>
      <c r="AK89" s="55" t="str">
        <f t="shared" si="10"/>
        <v/>
      </c>
      <c r="AL89" s="55"/>
      <c r="AM89" s="56"/>
      <c r="AN89" s="168"/>
      <c r="AO89" s="168"/>
      <c r="AP89" s="168"/>
      <c r="AQ89" s="168"/>
      <c r="AR89" s="168"/>
      <c r="AS89" s="168"/>
      <c r="AT89" s="168"/>
      <c r="AU89" s="168"/>
      <c r="AV89" s="168"/>
      <c r="AW89" s="168"/>
      <c r="AX89" s="337">
        <f t="shared" si="11"/>
        <v>184</v>
      </c>
      <c r="AY89" s="232"/>
      <c r="AZ89" s="235"/>
      <c r="BA89" s="232"/>
      <c r="BB89" s="232"/>
      <c r="BC89" s="233"/>
      <c r="BD89" s="168"/>
      <c r="BE89" s="168"/>
      <c r="BF89" s="168"/>
      <c r="BG89" s="168"/>
      <c r="BH89" s="168"/>
      <c r="BI89" s="168"/>
      <c r="BJ89" s="168"/>
      <c r="BK89" s="326"/>
      <c r="BL89" s="213"/>
      <c r="BM89" s="336" t="s">
        <v>59</v>
      </c>
      <c r="BN89" s="326"/>
      <c r="BO89" s="213"/>
      <c r="BP89" s="336" t="s">
        <v>59</v>
      </c>
    </row>
    <row r="90" spans="1:68">
      <c r="A90" s="16" t="s">
        <v>32</v>
      </c>
      <c r="B90" s="123"/>
      <c r="C90" s="107"/>
      <c r="D90" s="106"/>
      <c r="E90" s="107"/>
      <c r="F90" s="107"/>
      <c r="G90" s="107"/>
      <c r="H90" s="107"/>
      <c r="I90" s="107"/>
      <c r="J90" s="107"/>
      <c r="K90" s="108"/>
      <c r="L90" s="108"/>
      <c r="M90" s="109"/>
      <c r="N90" s="106"/>
      <c r="O90" s="107"/>
      <c r="P90" s="107"/>
      <c r="Q90" s="107"/>
      <c r="R90" s="107"/>
      <c r="S90" s="107"/>
      <c r="T90" s="107"/>
      <c r="U90" s="108"/>
      <c r="V90" s="108"/>
      <c r="W90" s="109"/>
      <c r="X90" s="106"/>
      <c r="Y90" s="107"/>
      <c r="Z90" s="107"/>
      <c r="AA90" s="107"/>
      <c r="AB90" s="110"/>
      <c r="AC90" s="111"/>
      <c r="AD90" s="106"/>
      <c r="AE90" s="107"/>
      <c r="AF90" s="107"/>
      <c r="AG90" s="107"/>
      <c r="AH90" s="110"/>
      <c r="AI90" s="111"/>
      <c r="AJ90" s="119" t="str">
        <f t="shared" si="9"/>
        <v/>
      </c>
      <c r="AK90" s="55" t="str">
        <f t="shared" si="10"/>
        <v/>
      </c>
      <c r="AL90" s="55"/>
      <c r="AM90" s="56"/>
      <c r="AN90" s="168"/>
      <c r="AO90" s="168"/>
      <c r="AP90" s="168"/>
      <c r="AQ90" s="168"/>
      <c r="AR90" s="168"/>
      <c r="AS90" s="168"/>
      <c r="AT90" s="168"/>
      <c r="AU90" s="168"/>
      <c r="AV90" s="168"/>
      <c r="AW90" s="168"/>
      <c r="AX90" s="337">
        <f t="shared" si="11"/>
        <v>184</v>
      </c>
      <c r="AY90" s="232"/>
      <c r="AZ90" s="235"/>
      <c r="BA90" s="232"/>
      <c r="BB90" s="232"/>
      <c r="BC90" s="233"/>
      <c r="BD90" s="168"/>
      <c r="BE90" s="168"/>
      <c r="BF90" s="168"/>
      <c r="BG90" s="168"/>
      <c r="BH90" s="168"/>
      <c r="BI90" s="168"/>
      <c r="BJ90" s="168"/>
      <c r="BK90" s="326"/>
      <c r="BL90" s="213"/>
      <c r="BM90" s="336" t="s">
        <v>59</v>
      </c>
      <c r="BN90" s="326"/>
      <c r="BO90" s="213"/>
      <c r="BP90" s="336" t="s">
        <v>59</v>
      </c>
    </row>
    <row r="91" spans="1:68">
      <c r="A91" s="16" t="s">
        <v>32</v>
      </c>
      <c r="B91" s="123"/>
      <c r="C91" s="107"/>
      <c r="D91" s="106"/>
      <c r="E91" s="107"/>
      <c r="F91" s="107"/>
      <c r="G91" s="107"/>
      <c r="H91" s="107"/>
      <c r="I91" s="107"/>
      <c r="J91" s="107"/>
      <c r="K91" s="108"/>
      <c r="L91" s="108"/>
      <c r="M91" s="109"/>
      <c r="N91" s="106"/>
      <c r="O91" s="107"/>
      <c r="P91" s="107"/>
      <c r="Q91" s="107"/>
      <c r="R91" s="107"/>
      <c r="S91" s="107"/>
      <c r="T91" s="107"/>
      <c r="U91" s="108"/>
      <c r="V91" s="108"/>
      <c r="W91" s="109"/>
      <c r="X91" s="106"/>
      <c r="Y91" s="107"/>
      <c r="Z91" s="107"/>
      <c r="AA91" s="107"/>
      <c r="AB91" s="110"/>
      <c r="AC91" s="111"/>
      <c r="AD91" s="106"/>
      <c r="AE91" s="107"/>
      <c r="AF91" s="107"/>
      <c r="AG91" s="107"/>
      <c r="AH91" s="110"/>
      <c r="AI91" s="111"/>
      <c r="AJ91" s="119" t="str">
        <f t="shared" si="9"/>
        <v/>
      </c>
      <c r="AK91" s="55" t="str">
        <f t="shared" si="10"/>
        <v/>
      </c>
      <c r="AL91" s="55"/>
      <c r="AM91" s="56"/>
      <c r="AN91" s="168"/>
      <c r="AO91" s="168"/>
      <c r="AP91" s="168"/>
      <c r="AQ91" s="168"/>
      <c r="AR91" s="168"/>
      <c r="AS91" s="168"/>
      <c r="AT91" s="168"/>
      <c r="AU91" s="168"/>
      <c r="AV91" s="168"/>
      <c r="AW91" s="168"/>
      <c r="AX91" s="337">
        <f t="shared" si="11"/>
        <v>184</v>
      </c>
      <c r="AY91" s="232"/>
      <c r="AZ91" s="235"/>
      <c r="BA91" s="232"/>
      <c r="BB91" s="232"/>
      <c r="BC91" s="233"/>
      <c r="BD91" s="168"/>
      <c r="BE91" s="168"/>
      <c r="BF91" s="168"/>
      <c r="BG91" s="168"/>
      <c r="BH91" s="168"/>
      <c r="BI91" s="168"/>
      <c r="BJ91" s="168"/>
      <c r="BK91" s="326"/>
      <c r="BL91" s="213"/>
      <c r="BM91" s="336" t="s">
        <v>59</v>
      </c>
      <c r="BN91" s="326"/>
      <c r="BO91" s="213"/>
      <c r="BP91" s="336" t="s">
        <v>59</v>
      </c>
    </row>
    <row r="92" spans="1:68">
      <c r="A92" s="16" t="s">
        <v>32</v>
      </c>
      <c r="B92" s="123"/>
      <c r="C92" s="107"/>
      <c r="D92" s="106"/>
      <c r="E92" s="107"/>
      <c r="F92" s="107"/>
      <c r="G92" s="107"/>
      <c r="H92" s="107"/>
      <c r="I92" s="107"/>
      <c r="J92" s="107"/>
      <c r="K92" s="108"/>
      <c r="L92" s="108"/>
      <c r="M92" s="109"/>
      <c r="N92" s="106"/>
      <c r="O92" s="107"/>
      <c r="P92" s="107"/>
      <c r="Q92" s="107"/>
      <c r="R92" s="107"/>
      <c r="S92" s="107"/>
      <c r="T92" s="107"/>
      <c r="U92" s="108"/>
      <c r="V92" s="108"/>
      <c r="W92" s="109"/>
      <c r="X92" s="106"/>
      <c r="Y92" s="107"/>
      <c r="Z92" s="107"/>
      <c r="AA92" s="107"/>
      <c r="AB92" s="110"/>
      <c r="AC92" s="111"/>
      <c r="AD92" s="106"/>
      <c r="AE92" s="107"/>
      <c r="AF92" s="107"/>
      <c r="AG92" s="107"/>
      <c r="AH92" s="110"/>
      <c r="AI92" s="111"/>
      <c r="AJ92" s="119" t="str">
        <f t="shared" si="9"/>
        <v/>
      </c>
      <c r="AK92" s="55" t="str">
        <f t="shared" si="10"/>
        <v/>
      </c>
      <c r="AL92" s="55"/>
      <c r="AM92" s="56"/>
      <c r="AN92" s="168"/>
      <c r="AO92" s="168"/>
      <c r="AP92" s="168"/>
      <c r="AQ92" s="168"/>
      <c r="AR92" s="168"/>
      <c r="AS92" s="168"/>
      <c r="AT92" s="168"/>
      <c r="AU92" s="168"/>
      <c r="AV92" s="168"/>
      <c r="AW92" s="168"/>
      <c r="AX92" s="337">
        <f t="shared" si="11"/>
        <v>184</v>
      </c>
      <c r="AY92" s="232"/>
      <c r="AZ92" s="235"/>
      <c r="BA92" s="232"/>
      <c r="BB92" s="232"/>
      <c r="BC92" s="233"/>
      <c r="BD92" s="168"/>
      <c r="BE92" s="168"/>
      <c r="BF92" s="168"/>
      <c r="BG92" s="168"/>
      <c r="BH92" s="168"/>
      <c r="BI92" s="168"/>
      <c r="BJ92" s="168"/>
      <c r="BK92" s="326"/>
      <c r="BL92" s="213"/>
      <c r="BM92" s="336" t="s">
        <v>59</v>
      </c>
      <c r="BN92" s="326"/>
      <c r="BO92" s="213"/>
      <c r="BP92" s="336" t="s">
        <v>59</v>
      </c>
    </row>
    <row r="93" spans="1:68">
      <c r="A93" s="16" t="s">
        <v>32</v>
      </c>
      <c r="B93" s="123"/>
      <c r="C93" s="107"/>
      <c r="D93" s="106"/>
      <c r="E93" s="107"/>
      <c r="F93" s="107"/>
      <c r="G93" s="107"/>
      <c r="H93" s="107"/>
      <c r="I93" s="107"/>
      <c r="J93" s="107"/>
      <c r="K93" s="108"/>
      <c r="L93" s="108"/>
      <c r="M93" s="109"/>
      <c r="N93" s="106"/>
      <c r="O93" s="107"/>
      <c r="P93" s="107"/>
      <c r="Q93" s="107"/>
      <c r="R93" s="107"/>
      <c r="S93" s="107"/>
      <c r="T93" s="107"/>
      <c r="U93" s="108"/>
      <c r="V93" s="108"/>
      <c r="W93" s="109"/>
      <c r="X93" s="106"/>
      <c r="Y93" s="107"/>
      <c r="Z93" s="107"/>
      <c r="AA93" s="107"/>
      <c r="AB93" s="110"/>
      <c r="AC93" s="111"/>
      <c r="AD93" s="106"/>
      <c r="AE93" s="107"/>
      <c r="AF93" s="107"/>
      <c r="AG93" s="107"/>
      <c r="AH93" s="110"/>
      <c r="AI93" s="111"/>
      <c r="AJ93" s="119" t="str">
        <f t="shared" si="9"/>
        <v/>
      </c>
      <c r="AK93" s="55" t="str">
        <f t="shared" si="10"/>
        <v/>
      </c>
      <c r="AL93" s="55"/>
      <c r="AM93" s="56"/>
      <c r="AN93" s="168"/>
      <c r="AO93" s="168"/>
      <c r="AP93" s="168"/>
      <c r="AQ93" s="168"/>
      <c r="AR93" s="168"/>
      <c r="AS93" s="168"/>
      <c r="AT93" s="168"/>
      <c r="AU93" s="168"/>
      <c r="AV93" s="168"/>
      <c r="AW93" s="168"/>
      <c r="AX93" s="337">
        <f t="shared" si="11"/>
        <v>184</v>
      </c>
      <c r="AY93" s="232"/>
      <c r="AZ93" s="235"/>
      <c r="BA93" s="232"/>
      <c r="BB93" s="232"/>
      <c r="BC93" s="233"/>
      <c r="BD93" s="168"/>
      <c r="BE93" s="168"/>
      <c r="BF93" s="168"/>
      <c r="BG93" s="168"/>
      <c r="BH93" s="168"/>
      <c r="BI93" s="168"/>
      <c r="BJ93" s="168"/>
      <c r="BK93" s="326"/>
      <c r="BL93" s="213"/>
      <c r="BM93" s="336" t="s">
        <v>59</v>
      </c>
      <c r="BN93" s="326"/>
      <c r="BO93" s="213"/>
      <c r="BP93" s="336" t="s">
        <v>59</v>
      </c>
    </row>
    <row r="94" spans="1:68" ht="13" thickBot="1">
      <c r="A94" s="17" t="s">
        <v>32</v>
      </c>
      <c r="B94" s="124"/>
      <c r="C94" s="113"/>
      <c r="D94" s="112"/>
      <c r="E94" s="113"/>
      <c r="F94" s="113"/>
      <c r="G94" s="113"/>
      <c r="H94" s="113"/>
      <c r="I94" s="113"/>
      <c r="J94" s="113"/>
      <c r="K94" s="114"/>
      <c r="L94" s="114"/>
      <c r="M94" s="115"/>
      <c r="N94" s="112"/>
      <c r="O94" s="113"/>
      <c r="P94" s="113"/>
      <c r="Q94" s="113"/>
      <c r="R94" s="113"/>
      <c r="S94" s="113"/>
      <c r="T94" s="113"/>
      <c r="U94" s="114"/>
      <c r="V94" s="114"/>
      <c r="W94" s="115"/>
      <c r="X94" s="112"/>
      <c r="Y94" s="113"/>
      <c r="Z94" s="113"/>
      <c r="AA94" s="113"/>
      <c r="AB94" s="116"/>
      <c r="AC94" s="117"/>
      <c r="AD94" s="112"/>
      <c r="AE94" s="113"/>
      <c r="AF94" s="113"/>
      <c r="AG94" s="113"/>
      <c r="AH94" s="116"/>
      <c r="AI94" s="117"/>
      <c r="AJ94" s="120" t="str">
        <f t="shared" si="9"/>
        <v/>
      </c>
      <c r="AK94" s="58" t="str">
        <f t="shared" si="10"/>
        <v/>
      </c>
      <c r="AL94" s="58"/>
      <c r="AM94" s="59"/>
      <c r="AN94" s="168"/>
      <c r="AO94" s="168"/>
      <c r="AP94" s="168"/>
      <c r="AQ94" s="168"/>
      <c r="AR94" s="168"/>
      <c r="AS94" s="168"/>
      <c r="AT94" s="168"/>
      <c r="AU94" s="168"/>
      <c r="AV94" s="168"/>
      <c r="AW94" s="168"/>
      <c r="AX94" s="338">
        <f t="shared" si="11"/>
        <v>184</v>
      </c>
      <c r="AY94" s="232"/>
      <c r="AZ94" s="235"/>
      <c r="BA94" s="232"/>
      <c r="BB94" s="232"/>
      <c r="BC94" s="233"/>
      <c r="BD94" s="168"/>
      <c r="BE94" s="168"/>
      <c r="BF94" s="168"/>
      <c r="BG94" s="168"/>
      <c r="BH94" s="168"/>
      <c r="BI94" s="168"/>
      <c r="BJ94" s="168"/>
      <c r="BK94" s="327"/>
      <c r="BL94" s="329"/>
      <c r="BM94" s="342" t="s">
        <v>59</v>
      </c>
      <c r="BN94" s="327"/>
      <c r="BO94" s="329"/>
      <c r="BP94" s="342" t="s">
        <v>59</v>
      </c>
    </row>
    <row r="95" spans="1:68">
      <c r="A95" s="15" t="s">
        <v>34</v>
      </c>
      <c r="B95" s="123">
        <v>41057</v>
      </c>
      <c r="C95" s="101" t="s">
        <v>93</v>
      </c>
      <c r="D95" s="100">
        <v>0</v>
      </c>
      <c r="E95" s="101">
        <v>1</v>
      </c>
      <c r="F95" s="101">
        <v>1</v>
      </c>
      <c r="G95" s="101">
        <v>0</v>
      </c>
      <c r="H95" s="101">
        <v>0</v>
      </c>
      <c r="I95" s="101">
        <v>0</v>
      </c>
      <c r="J95" s="101">
        <v>0</v>
      </c>
      <c r="K95" s="102"/>
      <c r="L95" s="102"/>
      <c r="M95" s="103"/>
      <c r="N95" s="100">
        <v>0</v>
      </c>
      <c r="O95" s="101">
        <v>0</v>
      </c>
      <c r="P95" s="101">
        <v>0</v>
      </c>
      <c r="Q95" s="101">
        <v>0</v>
      </c>
      <c r="R95" s="101">
        <v>0</v>
      </c>
      <c r="S95" s="101">
        <v>0</v>
      </c>
      <c r="T95" s="101">
        <v>0</v>
      </c>
      <c r="U95" s="102"/>
      <c r="V95" s="102"/>
      <c r="W95" s="103"/>
      <c r="X95" s="100"/>
      <c r="Y95" s="101"/>
      <c r="Z95" s="101"/>
      <c r="AA95" s="101"/>
      <c r="AB95" s="104"/>
      <c r="AC95" s="105"/>
      <c r="AD95" s="100"/>
      <c r="AE95" s="101"/>
      <c r="AF95" s="101"/>
      <c r="AG95" s="101"/>
      <c r="AH95" s="104"/>
      <c r="AI95" s="105"/>
      <c r="AJ95" s="121">
        <f t="shared" si="9"/>
        <v>0.2857142857142857</v>
      </c>
      <c r="AK95" s="62">
        <f t="shared" si="10"/>
        <v>0</v>
      </c>
      <c r="AL95" s="62"/>
      <c r="AM95" s="63"/>
      <c r="AN95" s="168"/>
      <c r="AO95" s="168"/>
      <c r="AP95" s="168"/>
      <c r="AQ95" s="168"/>
      <c r="AR95" s="168"/>
      <c r="AS95" s="168"/>
      <c r="AT95" s="168"/>
      <c r="AU95" s="168"/>
      <c r="AV95" s="168"/>
      <c r="AW95" s="168"/>
      <c r="AX95" s="337">
        <f>IF(B95=0,AX94,B95-DATE(YEAR(B95)-1,12,31))</f>
        <v>149</v>
      </c>
      <c r="AY95" s="232"/>
      <c r="AZ95" s="235"/>
      <c r="BA95" s="232"/>
      <c r="BB95" s="232"/>
      <c r="BC95" s="233"/>
      <c r="BD95" s="168"/>
      <c r="BE95" s="168"/>
      <c r="BF95" s="168"/>
      <c r="BG95" s="168"/>
      <c r="BH95" s="168"/>
      <c r="BI95" s="168"/>
      <c r="BJ95" s="168"/>
      <c r="BK95" s="361">
        <v>137</v>
      </c>
      <c r="BL95" s="362">
        <v>40315</v>
      </c>
      <c r="BM95" s="370">
        <v>0</v>
      </c>
      <c r="BN95" s="361">
        <v>140</v>
      </c>
      <c r="BO95" s="362">
        <v>40683</v>
      </c>
      <c r="BP95" s="370">
        <v>0</v>
      </c>
    </row>
    <row r="96" spans="1:68">
      <c r="A96" s="16" t="s">
        <v>34</v>
      </c>
      <c r="B96" s="123">
        <v>41064</v>
      </c>
      <c r="C96" s="101" t="s">
        <v>93</v>
      </c>
      <c r="D96" s="106">
        <v>0</v>
      </c>
      <c r="E96" s="107">
        <v>2</v>
      </c>
      <c r="F96" s="107">
        <v>1</v>
      </c>
      <c r="G96" s="107">
        <v>1</v>
      </c>
      <c r="H96" s="107">
        <v>1</v>
      </c>
      <c r="I96" s="107">
        <v>0</v>
      </c>
      <c r="J96" s="107">
        <v>0</v>
      </c>
      <c r="K96" s="108"/>
      <c r="L96" s="108"/>
      <c r="M96" s="109"/>
      <c r="N96" s="106">
        <v>0</v>
      </c>
      <c r="O96" s="107">
        <v>0</v>
      </c>
      <c r="P96" s="107">
        <v>0</v>
      </c>
      <c r="Q96" s="107">
        <v>0</v>
      </c>
      <c r="R96" s="107">
        <v>0</v>
      </c>
      <c r="S96" s="107">
        <v>0</v>
      </c>
      <c r="T96" s="107">
        <v>0</v>
      </c>
      <c r="U96" s="108"/>
      <c r="V96" s="108"/>
      <c r="W96" s="109"/>
      <c r="X96" s="106"/>
      <c r="Y96" s="107"/>
      <c r="Z96" s="107"/>
      <c r="AA96" s="107"/>
      <c r="AB96" s="110"/>
      <c r="AC96" s="111"/>
      <c r="AD96" s="106"/>
      <c r="AE96" s="107"/>
      <c r="AF96" s="107"/>
      <c r="AG96" s="107"/>
      <c r="AH96" s="110"/>
      <c r="AI96" s="111"/>
      <c r="AJ96" s="119">
        <f t="shared" si="9"/>
        <v>0.7142857142857143</v>
      </c>
      <c r="AK96" s="55">
        <f t="shared" si="10"/>
        <v>0</v>
      </c>
      <c r="AL96" s="55"/>
      <c r="AM96" s="56"/>
      <c r="AN96" s="168"/>
      <c r="AO96" s="168"/>
      <c r="AP96" s="168"/>
      <c r="AQ96" s="168"/>
      <c r="AR96" s="168"/>
      <c r="AS96" s="168"/>
      <c r="AT96" s="168"/>
      <c r="AU96" s="168"/>
      <c r="AV96" s="168"/>
      <c r="AW96" s="168"/>
      <c r="AX96" s="337">
        <f t="shared" ref="AX96:AX124" si="12">IF(B96=0,AX95,B96-DATE(YEAR(B96)-1,12,31))</f>
        <v>156</v>
      </c>
      <c r="AY96" s="232"/>
      <c r="AZ96" s="235"/>
      <c r="BA96" s="232"/>
      <c r="BB96" s="232"/>
      <c r="BC96" s="233"/>
      <c r="BD96" s="168"/>
      <c r="BE96" s="168"/>
      <c r="BF96" s="168"/>
      <c r="BG96" s="168"/>
      <c r="BH96" s="168"/>
      <c r="BI96" s="168"/>
      <c r="BJ96" s="168"/>
      <c r="BK96" s="326">
        <v>144</v>
      </c>
      <c r="BL96" s="213">
        <v>40322</v>
      </c>
      <c r="BM96" s="336">
        <v>0.2857142857142857</v>
      </c>
      <c r="BN96" s="326">
        <v>150</v>
      </c>
      <c r="BO96" s="213">
        <v>40693</v>
      </c>
      <c r="BP96" s="336">
        <v>1</v>
      </c>
    </row>
    <row r="97" spans="1:68">
      <c r="A97" s="16" t="s">
        <v>34</v>
      </c>
      <c r="B97" s="123">
        <v>41072</v>
      </c>
      <c r="C97" s="101" t="s">
        <v>93</v>
      </c>
      <c r="D97" s="106">
        <v>1</v>
      </c>
      <c r="E97" s="107">
        <v>4</v>
      </c>
      <c r="F97" s="107">
        <v>1</v>
      </c>
      <c r="G97" s="107">
        <v>2</v>
      </c>
      <c r="H97" s="107">
        <v>1</v>
      </c>
      <c r="I97" s="107">
        <v>1</v>
      </c>
      <c r="J97" s="107">
        <v>1</v>
      </c>
      <c r="K97" s="108"/>
      <c r="L97" s="108"/>
      <c r="M97" s="109"/>
      <c r="N97" s="106">
        <v>0</v>
      </c>
      <c r="O97" s="107">
        <v>2</v>
      </c>
      <c r="P97" s="107">
        <v>0</v>
      </c>
      <c r="Q97" s="107">
        <v>0</v>
      </c>
      <c r="R97" s="107">
        <v>0</v>
      </c>
      <c r="S97" s="107">
        <v>0</v>
      </c>
      <c r="T97" s="107">
        <v>0</v>
      </c>
      <c r="U97" s="108"/>
      <c r="V97" s="108"/>
      <c r="W97" s="109"/>
      <c r="X97" s="106"/>
      <c r="Y97" s="107"/>
      <c r="Z97" s="107"/>
      <c r="AA97" s="107"/>
      <c r="AB97" s="110"/>
      <c r="AC97" s="111"/>
      <c r="AD97" s="106"/>
      <c r="AE97" s="107"/>
      <c r="AF97" s="107"/>
      <c r="AG97" s="107"/>
      <c r="AH97" s="110"/>
      <c r="AI97" s="111"/>
      <c r="AJ97" s="119">
        <f t="shared" si="9"/>
        <v>1.5714285714285714</v>
      </c>
      <c r="AK97" s="55">
        <f t="shared" si="10"/>
        <v>0.2857142857142857</v>
      </c>
      <c r="AL97" s="55"/>
      <c r="AM97" s="56"/>
      <c r="AN97" s="168"/>
      <c r="AO97" s="168"/>
      <c r="AP97" s="168"/>
      <c r="AQ97" s="168"/>
      <c r="AR97" s="168"/>
      <c r="AS97" s="168"/>
      <c r="AT97" s="168"/>
      <c r="AU97" s="168"/>
      <c r="AV97" s="168"/>
      <c r="AW97" s="168"/>
      <c r="AX97" s="337">
        <f t="shared" si="12"/>
        <v>164</v>
      </c>
      <c r="AY97" s="232"/>
      <c r="AZ97" s="235"/>
      <c r="BA97" s="232"/>
      <c r="BB97" s="232"/>
      <c r="BC97" s="233"/>
      <c r="BD97" s="168"/>
      <c r="BE97" s="168"/>
      <c r="BF97" s="168"/>
      <c r="BG97" s="168"/>
      <c r="BH97" s="168"/>
      <c r="BI97" s="168"/>
      <c r="BJ97" s="168"/>
      <c r="BK97" s="326">
        <v>153</v>
      </c>
      <c r="BL97" s="213">
        <v>40331</v>
      </c>
      <c r="BM97" s="336">
        <v>2.5714285714285716</v>
      </c>
      <c r="BN97" s="326">
        <v>159</v>
      </c>
      <c r="BO97" s="213">
        <v>40702</v>
      </c>
      <c r="BP97" s="336">
        <v>3.7142857142857144</v>
      </c>
    </row>
    <row r="98" spans="1:68">
      <c r="A98" s="16" t="s">
        <v>34</v>
      </c>
      <c r="B98" s="123">
        <v>41078</v>
      </c>
      <c r="C98" s="101" t="s">
        <v>93</v>
      </c>
      <c r="D98" s="106">
        <v>2</v>
      </c>
      <c r="E98" s="107">
        <v>5</v>
      </c>
      <c r="F98" s="107">
        <v>5</v>
      </c>
      <c r="G98" s="107">
        <v>4</v>
      </c>
      <c r="H98" s="107">
        <v>2</v>
      </c>
      <c r="I98" s="107">
        <v>4</v>
      </c>
      <c r="J98" s="107">
        <v>3</v>
      </c>
      <c r="K98" s="108"/>
      <c r="L98" s="108"/>
      <c r="M98" s="109"/>
      <c r="N98" s="106">
        <v>0</v>
      </c>
      <c r="O98" s="107">
        <v>2</v>
      </c>
      <c r="P98" s="107">
        <v>2</v>
      </c>
      <c r="Q98" s="107">
        <v>2</v>
      </c>
      <c r="R98" s="107">
        <v>0</v>
      </c>
      <c r="S98" s="107">
        <v>1</v>
      </c>
      <c r="T98" s="107">
        <v>0</v>
      </c>
      <c r="U98" s="108"/>
      <c r="V98" s="108"/>
      <c r="W98" s="109"/>
      <c r="X98" s="106"/>
      <c r="Y98" s="107"/>
      <c r="Z98" s="107"/>
      <c r="AA98" s="107"/>
      <c r="AB98" s="110"/>
      <c r="AC98" s="111"/>
      <c r="AD98" s="106"/>
      <c r="AE98" s="107"/>
      <c r="AF98" s="107"/>
      <c r="AG98" s="107"/>
      <c r="AH98" s="110"/>
      <c r="AI98" s="111"/>
      <c r="AJ98" s="119">
        <f t="shared" si="9"/>
        <v>3.5714285714285716</v>
      </c>
      <c r="AK98" s="55">
        <f t="shared" si="10"/>
        <v>1</v>
      </c>
      <c r="AL98" s="55"/>
      <c r="AM98" s="56"/>
      <c r="AN98" s="168"/>
      <c r="AO98" s="168"/>
      <c r="AP98" s="168"/>
      <c r="AQ98" s="168"/>
      <c r="AR98" s="168"/>
      <c r="AS98" s="168"/>
      <c r="AT98" s="168"/>
      <c r="AU98" s="168"/>
      <c r="AV98" s="168"/>
      <c r="AW98" s="168"/>
      <c r="AX98" s="337">
        <f t="shared" si="12"/>
        <v>170</v>
      </c>
      <c r="AY98" s="232"/>
      <c r="AZ98" s="235"/>
      <c r="BA98" s="232"/>
      <c r="BB98" s="232"/>
      <c r="BC98" s="233"/>
      <c r="BD98" s="168"/>
      <c r="BE98" s="168"/>
      <c r="BF98" s="168"/>
      <c r="BG98" s="168"/>
      <c r="BH98" s="168"/>
      <c r="BI98" s="168"/>
      <c r="BJ98" s="168"/>
      <c r="BK98" s="326">
        <v>160</v>
      </c>
      <c r="BL98" s="213">
        <v>40338</v>
      </c>
      <c r="BM98" s="336">
        <v>3.5714285714285716</v>
      </c>
      <c r="BN98" s="326">
        <v>167</v>
      </c>
      <c r="BO98" s="213">
        <v>40710</v>
      </c>
      <c r="BP98" s="336">
        <v>5.4285714285714288</v>
      </c>
    </row>
    <row r="99" spans="1:68">
      <c r="A99" s="16" t="s">
        <v>34</v>
      </c>
      <c r="B99" s="123"/>
      <c r="C99" s="107"/>
      <c r="D99" s="106"/>
      <c r="E99" s="107"/>
      <c r="F99" s="107"/>
      <c r="G99" s="107"/>
      <c r="H99" s="107"/>
      <c r="I99" s="107"/>
      <c r="J99" s="107"/>
      <c r="K99" s="108"/>
      <c r="L99" s="108"/>
      <c r="M99" s="109"/>
      <c r="N99" s="106"/>
      <c r="O99" s="107"/>
      <c r="P99" s="107"/>
      <c r="Q99" s="107"/>
      <c r="R99" s="107"/>
      <c r="S99" s="107"/>
      <c r="T99" s="107"/>
      <c r="U99" s="108"/>
      <c r="V99" s="108"/>
      <c r="W99" s="109"/>
      <c r="X99" s="106"/>
      <c r="Y99" s="107"/>
      <c r="Z99" s="107"/>
      <c r="AA99" s="107"/>
      <c r="AB99" s="110"/>
      <c r="AC99" s="111"/>
      <c r="AD99" s="106"/>
      <c r="AE99" s="107"/>
      <c r="AF99" s="107"/>
      <c r="AG99" s="107"/>
      <c r="AH99" s="110"/>
      <c r="AI99" s="111"/>
      <c r="AJ99" s="119" t="str">
        <f t="shared" si="9"/>
        <v/>
      </c>
      <c r="AK99" s="55" t="str">
        <f t="shared" si="10"/>
        <v/>
      </c>
      <c r="AL99" s="55"/>
      <c r="AM99" s="56"/>
      <c r="AN99" s="168"/>
      <c r="AO99" s="168"/>
      <c r="AP99" s="168"/>
      <c r="AQ99" s="168"/>
      <c r="AR99" s="168"/>
      <c r="AS99" s="168"/>
      <c r="AT99" s="168"/>
      <c r="AU99" s="168"/>
      <c r="AV99" s="168"/>
      <c r="AW99" s="168"/>
      <c r="AX99" s="337">
        <f t="shared" si="12"/>
        <v>170</v>
      </c>
      <c r="AY99" s="232"/>
      <c r="AZ99" s="235"/>
      <c r="BA99" s="232"/>
      <c r="BB99" s="232"/>
      <c r="BC99" s="233"/>
      <c r="BD99" s="168"/>
      <c r="BE99" s="168"/>
      <c r="BF99" s="168"/>
      <c r="BG99" s="168"/>
      <c r="BH99" s="168"/>
      <c r="BI99" s="168"/>
      <c r="BJ99" s="168"/>
      <c r="BK99" s="326">
        <v>174</v>
      </c>
      <c r="BL99" s="213">
        <v>40352</v>
      </c>
      <c r="BM99" s="336">
        <v>6</v>
      </c>
      <c r="BN99" s="326"/>
      <c r="BO99" s="213"/>
      <c r="BP99" s="336" t="s">
        <v>59</v>
      </c>
    </row>
    <row r="100" spans="1:68">
      <c r="A100" s="16" t="s">
        <v>34</v>
      </c>
      <c r="B100" s="123"/>
      <c r="C100" s="107"/>
      <c r="D100" s="106"/>
      <c r="E100" s="107"/>
      <c r="F100" s="107"/>
      <c r="G100" s="107"/>
      <c r="H100" s="107"/>
      <c r="I100" s="107"/>
      <c r="J100" s="107"/>
      <c r="K100" s="108"/>
      <c r="L100" s="108"/>
      <c r="M100" s="109"/>
      <c r="N100" s="106"/>
      <c r="O100" s="107"/>
      <c r="P100" s="107"/>
      <c r="Q100" s="107"/>
      <c r="R100" s="107"/>
      <c r="S100" s="107"/>
      <c r="T100" s="107"/>
      <c r="U100" s="108"/>
      <c r="V100" s="108"/>
      <c r="W100" s="109"/>
      <c r="X100" s="106"/>
      <c r="Y100" s="107"/>
      <c r="Z100" s="107"/>
      <c r="AA100" s="107"/>
      <c r="AB100" s="110"/>
      <c r="AC100" s="111"/>
      <c r="AD100" s="106"/>
      <c r="AE100" s="107"/>
      <c r="AF100" s="107"/>
      <c r="AG100" s="107"/>
      <c r="AH100" s="110"/>
      <c r="AI100" s="111"/>
      <c r="AJ100" s="119" t="str">
        <f t="shared" si="9"/>
        <v/>
      </c>
      <c r="AK100" s="55" t="str">
        <f t="shared" si="10"/>
        <v/>
      </c>
      <c r="AL100" s="55"/>
      <c r="AM100" s="56"/>
      <c r="AN100" s="168"/>
      <c r="AO100" s="168"/>
      <c r="AP100" s="168"/>
      <c r="AQ100" s="168"/>
      <c r="AR100" s="168"/>
      <c r="AS100" s="168"/>
      <c r="AT100" s="168"/>
      <c r="AU100" s="168"/>
      <c r="AV100" s="168"/>
      <c r="AW100" s="168"/>
      <c r="AX100" s="337">
        <f t="shared" si="12"/>
        <v>170</v>
      </c>
      <c r="AY100" s="232"/>
      <c r="AZ100" s="235"/>
      <c r="BA100" s="232"/>
      <c r="BB100" s="232"/>
      <c r="BC100" s="233"/>
      <c r="BD100" s="168"/>
      <c r="BE100" s="168"/>
      <c r="BF100" s="168"/>
      <c r="BG100" s="168"/>
      <c r="BH100" s="168"/>
      <c r="BI100" s="168"/>
      <c r="BJ100" s="168"/>
      <c r="BK100" s="326">
        <v>181</v>
      </c>
      <c r="BL100" s="213">
        <v>40359</v>
      </c>
      <c r="BM100" s="336">
        <v>7.4285714285714288</v>
      </c>
      <c r="BN100" s="326"/>
      <c r="BO100" s="213"/>
      <c r="BP100" s="336" t="s">
        <v>59</v>
      </c>
    </row>
    <row r="101" spans="1:68">
      <c r="A101" s="16" t="s">
        <v>34</v>
      </c>
      <c r="B101" s="123"/>
      <c r="C101" s="107"/>
      <c r="D101" s="106"/>
      <c r="E101" s="107"/>
      <c r="F101" s="107"/>
      <c r="G101" s="107"/>
      <c r="H101" s="107"/>
      <c r="I101" s="107"/>
      <c r="J101" s="107"/>
      <c r="K101" s="108"/>
      <c r="L101" s="108"/>
      <c r="M101" s="109"/>
      <c r="N101" s="106"/>
      <c r="O101" s="107"/>
      <c r="P101" s="107"/>
      <c r="Q101" s="107"/>
      <c r="R101" s="107"/>
      <c r="S101" s="107"/>
      <c r="T101" s="107"/>
      <c r="U101" s="108"/>
      <c r="V101" s="108"/>
      <c r="W101" s="109"/>
      <c r="X101" s="106"/>
      <c r="Y101" s="107"/>
      <c r="Z101" s="107"/>
      <c r="AA101" s="107"/>
      <c r="AB101" s="110"/>
      <c r="AC101" s="111"/>
      <c r="AD101" s="106"/>
      <c r="AE101" s="107"/>
      <c r="AF101" s="107"/>
      <c r="AG101" s="107"/>
      <c r="AH101" s="110"/>
      <c r="AI101" s="111"/>
      <c r="AJ101" s="119" t="str">
        <f t="shared" si="9"/>
        <v/>
      </c>
      <c r="AK101" s="55" t="str">
        <f t="shared" si="10"/>
        <v/>
      </c>
      <c r="AL101" s="55" t="str">
        <f t="shared" ref="AL101:AL124" si="13">IF(COUNT(X101:AB101)=0,"",AVERAGE(X101:AB101))</f>
        <v/>
      </c>
      <c r="AM101" s="56" t="str">
        <f t="shared" ref="AM101:AM124" si="14">IF(COUNT(AD101:AH101)=0,"",AVERAGE(AD101:AH101))</f>
        <v/>
      </c>
      <c r="AN101" s="168"/>
      <c r="AO101" s="168"/>
      <c r="AP101" s="168"/>
      <c r="AQ101" s="168"/>
      <c r="AR101" s="168"/>
      <c r="AS101" s="168"/>
      <c r="AT101" s="168"/>
      <c r="AU101" s="168"/>
      <c r="AV101" s="168"/>
      <c r="AW101" s="168"/>
      <c r="AX101" s="337">
        <f t="shared" si="12"/>
        <v>170</v>
      </c>
      <c r="AY101" s="232"/>
      <c r="AZ101" s="235"/>
      <c r="BA101" s="232"/>
      <c r="BB101" s="232"/>
      <c r="BC101" s="233"/>
      <c r="BD101" s="168"/>
      <c r="BE101" s="168"/>
      <c r="BF101" s="168"/>
      <c r="BG101" s="168"/>
      <c r="BH101" s="168"/>
      <c r="BI101" s="168"/>
      <c r="BJ101" s="168"/>
      <c r="BK101" s="326">
        <v>188</v>
      </c>
      <c r="BL101" s="213">
        <v>40366</v>
      </c>
      <c r="BM101" s="336">
        <v>8</v>
      </c>
      <c r="BN101" s="326"/>
      <c r="BO101" s="213"/>
      <c r="BP101" s="336" t="s">
        <v>59</v>
      </c>
    </row>
    <row r="102" spans="1:68">
      <c r="A102" s="16" t="s">
        <v>34</v>
      </c>
      <c r="B102" s="123"/>
      <c r="C102" s="107"/>
      <c r="D102" s="106"/>
      <c r="E102" s="107"/>
      <c r="F102" s="107"/>
      <c r="G102" s="107"/>
      <c r="H102" s="107"/>
      <c r="I102" s="107"/>
      <c r="J102" s="107"/>
      <c r="K102" s="108"/>
      <c r="L102" s="108"/>
      <c r="M102" s="109"/>
      <c r="N102" s="106"/>
      <c r="O102" s="107"/>
      <c r="P102" s="107"/>
      <c r="Q102" s="107"/>
      <c r="R102" s="107"/>
      <c r="S102" s="107"/>
      <c r="T102" s="107"/>
      <c r="U102" s="108"/>
      <c r="V102" s="108"/>
      <c r="W102" s="109"/>
      <c r="X102" s="106"/>
      <c r="Y102" s="107"/>
      <c r="Z102" s="107"/>
      <c r="AA102" s="107"/>
      <c r="AB102" s="110"/>
      <c r="AC102" s="111"/>
      <c r="AD102" s="106"/>
      <c r="AE102" s="107"/>
      <c r="AF102" s="107"/>
      <c r="AG102" s="107"/>
      <c r="AH102" s="110"/>
      <c r="AI102" s="111"/>
      <c r="AJ102" s="119" t="str">
        <f t="shared" si="9"/>
        <v/>
      </c>
      <c r="AK102" s="55" t="str">
        <f t="shared" si="10"/>
        <v/>
      </c>
      <c r="AL102" s="55" t="str">
        <f t="shared" si="13"/>
        <v/>
      </c>
      <c r="AM102" s="56" t="str">
        <f t="shared" si="14"/>
        <v/>
      </c>
      <c r="AN102" s="168"/>
      <c r="AO102" s="168"/>
      <c r="AP102" s="168"/>
      <c r="AQ102" s="168"/>
      <c r="AR102" s="168"/>
      <c r="AS102" s="168"/>
      <c r="AT102" s="168"/>
      <c r="AU102" s="168"/>
      <c r="AV102" s="168"/>
      <c r="AW102" s="168"/>
      <c r="AX102" s="337">
        <f t="shared" si="12"/>
        <v>170</v>
      </c>
      <c r="AY102" s="232"/>
      <c r="AZ102" s="235"/>
      <c r="BA102" s="232"/>
      <c r="BB102" s="232"/>
      <c r="BC102" s="233"/>
      <c r="BD102" s="168"/>
      <c r="BE102" s="168"/>
      <c r="BF102" s="168"/>
      <c r="BG102" s="168"/>
      <c r="BH102" s="168"/>
      <c r="BI102" s="168"/>
      <c r="BJ102" s="168"/>
      <c r="BK102" s="326"/>
      <c r="BL102" s="213"/>
      <c r="BM102" s="336" t="s">
        <v>59</v>
      </c>
      <c r="BN102" s="326"/>
      <c r="BO102" s="213"/>
      <c r="BP102" s="336" t="s">
        <v>59</v>
      </c>
    </row>
    <row r="103" spans="1:68">
      <c r="A103" s="16" t="s">
        <v>34</v>
      </c>
      <c r="B103" s="123"/>
      <c r="C103" s="107"/>
      <c r="D103" s="106"/>
      <c r="E103" s="107"/>
      <c r="F103" s="107"/>
      <c r="G103" s="107"/>
      <c r="H103" s="107"/>
      <c r="I103" s="107"/>
      <c r="J103" s="107"/>
      <c r="K103" s="108"/>
      <c r="L103" s="108"/>
      <c r="M103" s="109"/>
      <c r="N103" s="106"/>
      <c r="O103" s="107"/>
      <c r="P103" s="107"/>
      <c r="Q103" s="107"/>
      <c r="R103" s="107"/>
      <c r="S103" s="107"/>
      <c r="T103" s="107"/>
      <c r="U103" s="108"/>
      <c r="V103" s="108"/>
      <c r="W103" s="109"/>
      <c r="X103" s="106"/>
      <c r="Y103" s="107"/>
      <c r="Z103" s="107"/>
      <c r="AA103" s="107"/>
      <c r="AB103" s="110"/>
      <c r="AC103" s="111"/>
      <c r="AD103" s="106"/>
      <c r="AE103" s="107"/>
      <c r="AF103" s="107"/>
      <c r="AG103" s="107"/>
      <c r="AH103" s="110"/>
      <c r="AI103" s="111"/>
      <c r="AJ103" s="119" t="str">
        <f t="shared" si="9"/>
        <v/>
      </c>
      <c r="AK103" s="55" t="str">
        <f t="shared" si="10"/>
        <v/>
      </c>
      <c r="AL103" s="55" t="str">
        <f t="shared" si="13"/>
        <v/>
      </c>
      <c r="AM103" s="56" t="str">
        <f t="shared" si="14"/>
        <v/>
      </c>
      <c r="AN103" s="168"/>
      <c r="AO103" s="168"/>
      <c r="AP103" s="168"/>
      <c r="AQ103" s="168"/>
      <c r="AR103" s="168"/>
      <c r="AS103" s="168"/>
      <c r="AT103" s="168"/>
      <c r="AU103" s="168"/>
      <c r="AV103" s="168"/>
      <c r="AW103" s="168"/>
      <c r="AX103" s="337">
        <f t="shared" si="12"/>
        <v>170</v>
      </c>
      <c r="AY103" s="232"/>
      <c r="AZ103" s="235"/>
      <c r="BA103" s="232"/>
      <c r="BB103" s="232"/>
      <c r="BC103" s="233"/>
      <c r="BD103" s="168"/>
      <c r="BE103" s="168"/>
      <c r="BF103" s="168"/>
      <c r="BG103" s="168"/>
      <c r="BH103" s="168"/>
      <c r="BI103" s="168"/>
      <c r="BJ103" s="168"/>
      <c r="BK103" s="326"/>
      <c r="BL103" s="213"/>
      <c r="BM103" s="336" t="s">
        <v>59</v>
      </c>
      <c r="BN103" s="326"/>
      <c r="BO103" s="213"/>
      <c r="BP103" s="336" t="s">
        <v>59</v>
      </c>
    </row>
    <row r="104" spans="1:68">
      <c r="A104" s="16" t="s">
        <v>34</v>
      </c>
      <c r="B104" s="123"/>
      <c r="C104" s="107"/>
      <c r="D104" s="106"/>
      <c r="E104" s="107"/>
      <c r="F104" s="107"/>
      <c r="G104" s="107"/>
      <c r="H104" s="107"/>
      <c r="I104" s="107"/>
      <c r="J104" s="107"/>
      <c r="K104" s="108"/>
      <c r="L104" s="108"/>
      <c r="M104" s="109"/>
      <c r="N104" s="106"/>
      <c r="O104" s="107"/>
      <c r="P104" s="107"/>
      <c r="Q104" s="107"/>
      <c r="R104" s="107"/>
      <c r="S104" s="107"/>
      <c r="T104" s="107"/>
      <c r="U104" s="108"/>
      <c r="V104" s="108"/>
      <c r="W104" s="109"/>
      <c r="X104" s="106"/>
      <c r="Y104" s="107"/>
      <c r="Z104" s="107"/>
      <c r="AA104" s="107"/>
      <c r="AB104" s="110"/>
      <c r="AC104" s="111"/>
      <c r="AD104" s="106"/>
      <c r="AE104" s="107"/>
      <c r="AF104" s="107"/>
      <c r="AG104" s="107"/>
      <c r="AH104" s="110"/>
      <c r="AI104" s="111"/>
      <c r="AJ104" s="119" t="str">
        <f t="shared" si="9"/>
        <v/>
      </c>
      <c r="AK104" s="55" t="str">
        <f t="shared" si="10"/>
        <v/>
      </c>
      <c r="AL104" s="55" t="str">
        <f t="shared" si="13"/>
        <v/>
      </c>
      <c r="AM104" s="56" t="str">
        <f t="shared" si="14"/>
        <v/>
      </c>
      <c r="AN104" s="168"/>
      <c r="AO104" s="168"/>
      <c r="AP104" s="168"/>
      <c r="AQ104" s="168"/>
      <c r="AR104" s="168"/>
      <c r="AS104" s="168"/>
      <c r="AT104" s="168"/>
      <c r="AU104" s="168"/>
      <c r="AV104" s="168"/>
      <c r="AW104" s="168"/>
      <c r="AX104" s="337">
        <f t="shared" si="12"/>
        <v>170</v>
      </c>
      <c r="AY104" s="232"/>
      <c r="AZ104" s="235"/>
      <c r="BA104" s="232"/>
      <c r="BB104" s="232"/>
      <c r="BC104" s="233"/>
      <c r="BD104" s="168"/>
      <c r="BE104" s="168"/>
      <c r="BF104" s="168"/>
      <c r="BG104" s="168"/>
      <c r="BH104" s="168"/>
      <c r="BI104" s="168"/>
      <c r="BJ104" s="168"/>
      <c r="BK104" s="326"/>
      <c r="BL104" s="213"/>
      <c r="BM104" s="336" t="s">
        <v>59</v>
      </c>
      <c r="BN104" s="326"/>
      <c r="BO104" s="213"/>
      <c r="BP104" s="336" t="s">
        <v>59</v>
      </c>
    </row>
    <row r="105" spans="1:68">
      <c r="A105" s="16" t="s">
        <v>34</v>
      </c>
      <c r="B105" s="123"/>
      <c r="C105" s="107"/>
      <c r="D105" s="106"/>
      <c r="E105" s="107"/>
      <c r="F105" s="107"/>
      <c r="G105" s="107"/>
      <c r="H105" s="107"/>
      <c r="I105" s="107"/>
      <c r="J105" s="107"/>
      <c r="K105" s="108"/>
      <c r="L105" s="108"/>
      <c r="M105" s="109"/>
      <c r="N105" s="106"/>
      <c r="O105" s="107"/>
      <c r="P105" s="107"/>
      <c r="Q105" s="107"/>
      <c r="R105" s="107"/>
      <c r="S105" s="107"/>
      <c r="T105" s="107"/>
      <c r="U105" s="108"/>
      <c r="V105" s="108"/>
      <c r="W105" s="109"/>
      <c r="X105" s="106"/>
      <c r="Y105" s="107"/>
      <c r="Z105" s="107"/>
      <c r="AA105" s="107"/>
      <c r="AB105" s="110"/>
      <c r="AC105" s="111"/>
      <c r="AD105" s="106"/>
      <c r="AE105" s="107"/>
      <c r="AF105" s="107"/>
      <c r="AG105" s="107"/>
      <c r="AH105" s="110"/>
      <c r="AI105" s="111"/>
      <c r="AJ105" s="119" t="str">
        <f t="shared" si="9"/>
        <v/>
      </c>
      <c r="AK105" s="55" t="str">
        <f t="shared" si="10"/>
        <v/>
      </c>
      <c r="AL105" s="55" t="str">
        <f t="shared" si="13"/>
        <v/>
      </c>
      <c r="AM105" s="56" t="str">
        <f t="shared" si="14"/>
        <v/>
      </c>
      <c r="AN105" s="168"/>
      <c r="AO105" s="168"/>
      <c r="AP105" s="168"/>
      <c r="AQ105" s="168"/>
      <c r="AR105" s="168"/>
      <c r="AS105" s="168"/>
      <c r="AT105" s="168"/>
      <c r="AU105" s="168"/>
      <c r="AV105" s="168"/>
      <c r="AW105" s="168"/>
      <c r="AX105" s="337">
        <f t="shared" si="12"/>
        <v>170</v>
      </c>
      <c r="AY105" s="232"/>
      <c r="AZ105" s="235"/>
      <c r="BA105" s="232"/>
      <c r="BB105" s="232"/>
      <c r="BC105" s="233"/>
      <c r="BD105" s="168"/>
      <c r="BE105" s="168"/>
      <c r="BF105" s="168"/>
      <c r="BG105" s="168"/>
      <c r="BH105" s="168"/>
      <c r="BI105" s="168"/>
      <c r="BJ105" s="168"/>
      <c r="BK105" s="326"/>
      <c r="BL105" s="213"/>
      <c r="BM105" s="336" t="s">
        <v>59</v>
      </c>
      <c r="BN105" s="326"/>
      <c r="BO105" s="213"/>
      <c r="BP105" s="336" t="s">
        <v>59</v>
      </c>
    </row>
    <row r="106" spans="1:68">
      <c r="A106" s="16" t="s">
        <v>34</v>
      </c>
      <c r="B106" s="123"/>
      <c r="C106" s="107"/>
      <c r="D106" s="106"/>
      <c r="E106" s="107"/>
      <c r="F106" s="107"/>
      <c r="G106" s="107"/>
      <c r="H106" s="107"/>
      <c r="I106" s="107"/>
      <c r="J106" s="107"/>
      <c r="K106" s="108"/>
      <c r="L106" s="108"/>
      <c r="M106" s="109"/>
      <c r="N106" s="106"/>
      <c r="O106" s="107"/>
      <c r="P106" s="107"/>
      <c r="Q106" s="107"/>
      <c r="R106" s="107"/>
      <c r="S106" s="107"/>
      <c r="T106" s="107"/>
      <c r="U106" s="108"/>
      <c r="V106" s="108"/>
      <c r="W106" s="109"/>
      <c r="X106" s="106"/>
      <c r="Y106" s="107"/>
      <c r="Z106" s="107"/>
      <c r="AA106" s="107"/>
      <c r="AB106" s="110"/>
      <c r="AC106" s="111"/>
      <c r="AD106" s="106"/>
      <c r="AE106" s="107"/>
      <c r="AF106" s="107"/>
      <c r="AG106" s="107"/>
      <c r="AH106" s="110"/>
      <c r="AI106" s="111"/>
      <c r="AJ106" s="119" t="str">
        <f t="shared" si="9"/>
        <v/>
      </c>
      <c r="AK106" s="55" t="str">
        <f t="shared" si="10"/>
        <v/>
      </c>
      <c r="AL106" s="55" t="str">
        <f t="shared" si="13"/>
        <v/>
      </c>
      <c r="AM106" s="56" t="str">
        <f t="shared" si="14"/>
        <v/>
      </c>
      <c r="AN106" s="168"/>
      <c r="AO106" s="168"/>
      <c r="AP106" s="168"/>
      <c r="AQ106" s="168"/>
      <c r="AR106" s="168"/>
      <c r="AS106" s="168"/>
      <c r="AT106" s="168"/>
      <c r="AU106" s="168"/>
      <c r="AV106" s="168"/>
      <c r="AW106" s="168"/>
      <c r="AX106" s="337">
        <f t="shared" si="12"/>
        <v>170</v>
      </c>
      <c r="AY106" s="232"/>
      <c r="AZ106" s="235"/>
      <c r="BA106" s="232"/>
      <c r="BB106" s="232"/>
      <c r="BC106" s="233"/>
      <c r="BD106" s="168"/>
      <c r="BE106" s="168"/>
      <c r="BF106" s="168"/>
      <c r="BG106" s="168"/>
      <c r="BH106" s="168"/>
      <c r="BI106" s="168"/>
      <c r="BJ106" s="168"/>
      <c r="BK106" s="326"/>
      <c r="BL106" s="213"/>
      <c r="BM106" s="336" t="s">
        <v>59</v>
      </c>
      <c r="BN106" s="326"/>
      <c r="BO106" s="213"/>
      <c r="BP106" s="336" t="s">
        <v>59</v>
      </c>
    </row>
    <row r="107" spans="1:68">
      <c r="A107" s="16" t="s">
        <v>34</v>
      </c>
      <c r="B107" s="123"/>
      <c r="C107" s="107"/>
      <c r="D107" s="106"/>
      <c r="E107" s="107"/>
      <c r="F107" s="107"/>
      <c r="G107" s="107"/>
      <c r="H107" s="107"/>
      <c r="I107" s="107"/>
      <c r="J107" s="107"/>
      <c r="K107" s="108"/>
      <c r="L107" s="108"/>
      <c r="M107" s="109"/>
      <c r="N107" s="106"/>
      <c r="O107" s="107"/>
      <c r="P107" s="107"/>
      <c r="Q107" s="107"/>
      <c r="R107" s="107"/>
      <c r="S107" s="107"/>
      <c r="T107" s="107"/>
      <c r="U107" s="108"/>
      <c r="V107" s="108"/>
      <c r="W107" s="109"/>
      <c r="X107" s="106"/>
      <c r="Y107" s="107"/>
      <c r="Z107" s="107"/>
      <c r="AA107" s="107"/>
      <c r="AB107" s="110"/>
      <c r="AC107" s="111"/>
      <c r="AD107" s="106"/>
      <c r="AE107" s="107"/>
      <c r="AF107" s="107"/>
      <c r="AG107" s="107"/>
      <c r="AH107" s="110"/>
      <c r="AI107" s="111"/>
      <c r="AJ107" s="119" t="str">
        <f t="shared" si="9"/>
        <v/>
      </c>
      <c r="AK107" s="55" t="str">
        <f t="shared" si="10"/>
        <v/>
      </c>
      <c r="AL107" s="55" t="str">
        <f t="shared" si="13"/>
        <v/>
      </c>
      <c r="AM107" s="56" t="str">
        <f t="shared" si="14"/>
        <v/>
      </c>
      <c r="AN107" s="168"/>
      <c r="AO107" s="168"/>
      <c r="AP107" s="168"/>
      <c r="AQ107" s="168"/>
      <c r="AR107" s="168"/>
      <c r="AS107" s="168"/>
      <c r="AT107" s="168"/>
      <c r="AU107" s="168"/>
      <c r="AV107" s="168"/>
      <c r="AW107" s="168"/>
      <c r="AX107" s="337">
        <f t="shared" si="12"/>
        <v>170</v>
      </c>
      <c r="AY107" s="232"/>
      <c r="AZ107" s="235"/>
      <c r="BA107" s="232"/>
      <c r="BB107" s="232"/>
      <c r="BC107" s="233"/>
      <c r="BD107" s="168"/>
      <c r="BE107" s="168"/>
      <c r="BF107" s="168"/>
      <c r="BG107" s="168"/>
      <c r="BH107" s="168"/>
      <c r="BI107" s="168"/>
      <c r="BJ107" s="168"/>
      <c r="BK107" s="326"/>
      <c r="BL107" s="213"/>
      <c r="BM107" s="336" t="s">
        <v>59</v>
      </c>
      <c r="BN107" s="326"/>
      <c r="BO107" s="213"/>
      <c r="BP107" s="336" t="s">
        <v>59</v>
      </c>
    </row>
    <row r="108" spans="1:68">
      <c r="A108" s="16" t="s">
        <v>34</v>
      </c>
      <c r="B108" s="123"/>
      <c r="C108" s="107"/>
      <c r="D108" s="106"/>
      <c r="E108" s="107"/>
      <c r="F108" s="107"/>
      <c r="G108" s="107"/>
      <c r="H108" s="107"/>
      <c r="I108" s="107"/>
      <c r="J108" s="107"/>
      <c r="K108" s="108"/>
      <c r="L108" s="108"/>
      <c r="M108" s="109"/>
      <c r="N108" s="106"/>
      <c r="O108" s="107"/>
      <c r="P108" s="107"/>
      <c r="Q108" s="107"/>
      <c r="R108" s="107"/>
      <c r="S108" s="107"/>
      <c r="T108" s="107"/>
      <c r="U108" s="108"/>
      <c r="V108" s="108"/>
      <c r="W108" s="109"/>
      <c r="X108" s="106"/>
      <c r="Y108" s="107"/>
      <c r="Z108" s="107"/>
      <c r="AA108" s="107"/>
      <c r="AB108" s="110"/>
      <c r="AC108" s="111"/>
      <c r="AD108" s="106"/>
      <c r="AE108" s="107"/>
      <c r="AF108" s="107"/>
      <c r="AG108" s="107"/>
      <c r="AH108" s="110"/>
      <c r="AI108" s="111"/>
      <c r="AJ108" s="119" t="str">
        <f t="shared" si="9"/>
        <v/>
      </c>
      <c r="AK108" s="55" t="str">
        <f t="shared" si="10"/>
        <v/>
      </c>
      <c r="AL108" s="55" t="str">
        <f t="shared" si="13"/>
        <v/>
      </c>
      <c r="AM108" s="56" t="str">
        <f t="shared" si="14"/>
        <v/>
      </c>
      <c r="AN108" s="168"/>
      <c r="AO108" s="168"/>
      <c r="AP108" s="168"/>
      <c r="AQ108" s="168"/>
      <c r="AR108" s="168"/>
      <c r="AS108" s="168"/>
      <c r="AT108" s="168"/>
      <c r="AU108" s="168"/>
      <c r="AV108" s="168"/>
      <c r="AW108" s="168"/>
      <c r="AX108" s="337">
        <f t="shared" si="12"/>
        <v>170</v>
      </c>
      <c r="AY108" s="232"/>
      <c r="AZ108" s="235"/>
      <c r="BA108" s="232"/>
      <c r="BB108" s="232"/>
      <c r="BC108" s="233"/>
      <c r="BD108" s="168"/>
      <c r="BE108" s="168"/>
      <c r="BF108" s="168"/>
      <c r="BG108" s="168"/>
      <c r="BH108" s="168"/>
      <c r="BI108" s="168"/>
      <c r="BJ108" s="168"/>
      <c r="BK108" s="326"/>
      <c r="BL108" s="213"/>
      <c r="BM108" s="336" t="s">
        <v>59</v>
      </c>
      <c r="BN108" s="326"/>
      <c r="BO108" s="213"/>
      <c r="BP108" s="336" t="s">
        <v>59</v>
      </c>
    </row>
    <row r="109" spans="1:68">
      <c r="A109" s="16" t="s">
        <v>34</v>
      </c>
      <c r="B109" s="123"/>
      <c r="C109" s="107"/>
      <c r="D109" s="106"/>
      <c r="E109" s="107"/>
      <c r="F109" s="107"/>
      <c r="G109" s="107"/>
      <c r="H109" s="107"/>
      <c r="I109" s="107"/>
      <c r="J109" s="107"/>
      <c r="K109" s="108"/>
      <c r="L109" s="108"/>
      <c r="M109" s="109"/>
      <c r="N109" s="106"/>
      <c r="O109" s="107"/>
      <c r="P109" s="107"/>
      <c r="Q109" s="107"/>
      <c r="R109" s="107"/>
      <c r="S109" s="107"/>
      <c r="T109" s="107"/>
      <c r="U109" s="108"/>
      <c r="V109" s="108"/>
      <c r="W109" s="109"/>
      <c r="X109" s="106"/>
      <c r="Y109" s="107"/>
      <c r="Z109" s="107"/>
      <c r="AA109" s="107"/>
      <c r="AB109" s="110"/>
      <c r="AC109" s="111"/>
      <c r="AD109" s="106"/>
      <c r="AE109" s="107"/>
      <c r="AF109" s="107"/>
      <c r="AG109" s="107"/>
      <c r="AH109" s="110"/>
      <c r="AI109" s="111"/>
      <c r="AJ109" s="119" t="str">
        <f t="shared" si="9"/>
        <v/>
      </c>
      <c r="AK109" s="55" t="str">
        <f t="shared" si="10"/>
        <v/>
      </c>
      <c r="AL109" s="55" t="str">
        <f t="shared" si="13"/>
        <v/>
      </c>
      <c r="AM109" s="56" t="str">
        <f t="shared" si="14"/>
        <v/>
      </c>
      <c r="AN109" s="168"/>
      <c r="AO109" s="168"/>
      <c r="AP109" s="168"/>
      <c r="AQ109" s="168"/>
      <c r="AR109" s="168"/>
      <c r="AS109" s="168"/>
      <c r="AT109" s="168"/>
      <c r="AU109" s="168"/>
      <c r="AV109" s="168"/>
      <c r="AW109" s="168"/>
      <c r="AX109" s="337">
        <f t="shared" si="12"/>
        <v>170</v>
      </c>
      <c r="AY109" s="232"/>
      <c r="AZ109" s="235"/>
      <c r="BA109" s="232"/>
      <c r="BB109" s="232"/>
      <c r="BC109" s="233"/>
      <c r="BD109" s="168"/>
      <c r="BE109" s="168"/>
      <c r="BF109" s="168"/>
      <c r="BG109" s="168"/>
      <c r="BH109" s="168"/>
      <c r="BI109" s="168"/>
      <c r="BJ109" s="168"/>
      <c r="BK109" s="326"/>
      <c r="BL109" s="213"/>
      <c r="BM109" s="336" t="s">
        <v>59</v>
      </c>
      <c r="BN109" s="326"/>
      <c r="BO109" s="213"/>
      <c r="BP109" s="336" t="s">
        <v>59</v>
      </c>
    </row>
    <row r="110" spans="1:68">
      <c r="A110" s="16" t="s">
        <v>34</v>
      </c>
      <c r="B110" s="123"/>
      <c r="C110" s="107"/>
      <c r="D110" s="106"/>
      <c r="E110" s="107"/>
      <c r="F110" s="107"/>
      <c r="G110" s="107"/>
      <c r="H110" s="107"/>
      <c r="I110" s="107"/>
      <c r="J110" s="107"/>
      <c r="K110" s="108"/>
      <c r="L110" s="108"/>
      <c r="M110" s="109"/>
      <c r="N110" s="106"/>
      <c r="O110" s="107"/>
      <c r="P110" s="107"/>
      <c r="Q110" s="107"/>
      <c r="R110" s="107"/>
      <c r="S110" s="107"/>
      <c r="T110" s="107"/>
      <c r="U110" s="108"/>
      <c r="V110" s="108"/>
      <c r="W110" s="109"/>
      <c r="X110" s="106"/>
      <c r="Y110" s="107"/>
      <c r="Z110" s="107"/>
      <c r="AA110" s="107"/>
      <c r="AB110" s="110"/>
      <c r="AC110" s="111"/>
      <c r="AD110" s="106"/>
      <c r="AE110" s="107"/>
      <c r="AF110" s="107"/>
      <c r="AG110" s="107"/>
      <c r="AH110" s="110"/>
      <c r="AI110" s="111"/>
      <c r="AJ110" s="119" t="str">
        <f t="shared" si="9"/>
        <v/>
      </c>
      <c r="AK110" s="55" t="str">
        <f t="shared" si="10"/>
        <v/>
      </c>
      <c r="AL110" s="55" t="str">
        <f t="shared" si="13"/>
        <v/>
      </c>
      <c r="AM110" s="56" t="str">
        <f t="shared" si="14"/>
        <v/>
      </c>
      <c r="AN110" s="168"/>
      <c r="AO110" s="168"/>
      <c r="AP110" s="168"/>
      <c r="AQ110" s="168"/>
      <c r="AR110" s="168"/>
      <c r="AS110" s="168"/>
      <c r="AT110" s="168"/>
      <c r="AU110" s="168"/>
      <c r="AV110" s="168"/>
      <c r="AW110" s="168"/>
      <c r="AX110" s="337">
        <f t="shared" si="12"/>
        <v>170</v>
      </c>
      <c r="AY110" s="232"/>
      <c r="AZ110" s="235"/>
      <c r="BA110" s="232"/>
      <c r="BB110" s="232"/>
      <c r="BC110" s="233"/>
      <c r="BD110" s="168"/>
      <c r="BE110" s="168"/>
      <c r="BF110" s="168"/>
      <c r="BG110" s="168"/>
      <c r="BH110" s="168"/>
      <c r="BI110" s="168"/>
      <c r="BJ110" s="168"/>
      <c r="BK110" s="326"/>
      <c r="BL110" s="213"/>
      <c r="BM110" s="336" t="s">
        <v>59</v>
      </c>
      <c r="BN110" s="326"/>
      <c r="BO110" s="213"/>
      <c r="BP110" s="336" t="s">
        <v>59</v>
      </c>
    </row>
    <row r="111" spans="1:68">
      <c r="A111" s="16" t="s">
        <v>34</v>
      </c>
      <c r="B111" s="123"/>
      <c r="C111" s="107"/>
      <c r="D111" s="106"/>
      <c r="E111" s="107"/>
      <c r="F111" s="107"/>
      <c r="G111" s="107"/>
      <c r="H111" s="107"/>
      <c r="I111" s="107"/>
      <c r="J111" s="107"/>
      <c r="K111" s="108"/>
      <c r="L111" s="108"/>
      <c r="M111" s="109"/>
      <c r="N111" s="106"/>
      <c r="O111" s="107"/>
      <c r="P111" s="107"/>
      <c r="Q111" s="107"/>
      <c r="R111" s="107"/>
      <c r="S111" s="107"/>
      <c r="T111" s="107"/>
      <c r="U111" s="108"/>
      <c r="V111" s="108"/>
      <c r="W111" s="109"/>
      <c r="X111" s="106"/>
      <c r="Y111" s="107"/>
      <c r="Z111" s="107"/>
      <c r="AA111" s="107"/>
      <c r="AB111" s="110"/>
      <c r="AC111" s="111"/>
      <c r="AD111" s="106"/>
      <c r="AE111" s="107"/>
      <c r="AF111" s="107"/>
      <c r="AG111" s="107"/>
      <c r="AH111" s="110"/>
      <c r="AI111" s="111"/>
      <c r="AJ111" s="119" t="str">
        <f t="shared" si="9"/>
        <v/>
      </c>
      <c r="AK111" s="55" t="str">
        <f t="shared" si="10"/>
        <v/>
      </c>
      <c r="AL111" s="55" t="str">
        <f t="shared" si="13"/>
        <v/>
      </c>
      <c r="AM111" s="56" t="str">
        <f t="shared" si="14"/>
        <v/>
      </c>
      <c r="AN111" s="168"/>
      <c r="AO111" s="168"/>
      <c r="AP111" s="168"/>
      <c r="AQ111" s="168"/>
      <c r="AR111" s="168"/>
      <c r="AS111" s="168"/>
      <c r="AT111" s="168"/>
      <c r="AU111" s="168"/>
      <c r="AV111" s="168"/>
      <c r="AW111" s="168"/>
      <c r="AX111" s="337">
        <f t="shared" si="12"/>
        <v>170</v>
      </c>
      <c r="AY111" s="232"/>
      <c r="AZ111" s="235"/>
      <c r="BA111" s="232"/>
      <c r="BB111" s="232"/>
      <c r="BC111" s="233"/>
      <c r="BD111" s="168"/>
      <c r="BE111" s="168"/>
      <c r="BF111" s="168"/>
      <c r="BG111" s="168"/>
      <c r="BH111" s="168"/>
      <c r="BI111" s="168"/>
      <c r="BJ111" s="168"/>
      <c r="BK111" s="326"/>
      <c r="BL111" s="213"/>
      <c r="BM111" s="336" t="s">
        <v>59</v>
      </c>
      <c r="BN111" s="326"/>
      <c r="BO111" s="213"/>
      <c r="BP111" s="336" t="s">
        <v>59</v>
      </c>
    </row>
    <row r="112" spans="1:68">
      <c r="A112" s="16" t="s">
        <v>34</v>
      </c>
      <c r="B112" s="123"/>
      <c r="C112" s="107"/>
      <c r="D112" s="106"/>
      <c r="E112" s="107"/>
      <c r="F112" s="107"/>
      <c r="G112" s="107"/>
      <c r="H112" s="107"/>
      <c r="I112" s="107"/>
      <c r="J112" s="107"/>
      <c r="K112" s="108"/>
      <c r="L112" s="108"/>
      <c r="M112" s="109"/>
      <c r="N112" s="106"/>
      <c r="O112" s="107"/>
      <c r="P112" s="107"/>
      <c r="Q112" s="107"/>
      <c r="R112" s="107"/>
      <c r="S112" s="107"/>
      <c r="T112" s="107"/>
      <c r="U112" s="108"/>
      <c r="V112" s="108"/>
      <c r="W112" s="109"/>
      <c r="X112" s="106"/>
      <c r="Y112" s="107"/>
      <c r="Z112" s="107"/>
      <c r="AA112" s="107"/>
      <c r="AB112" s="110"/>
      <c r="AC112" s="111"/>
      <c r="AD112" s="106"/>
      <c r="AE112" s="107"/>
      <c r="AF112" s="107"/>
      <c r="AG112" s="107"/>
      <c r="AH112" s="110"/>
      <c r="AI112" s="111"/>
      <c r="AJ112" s="119" t="str">
        <f t="shared" si="9"/>
        <v/>
      </c>
      <c r="AK112" s="55" t="str">
        <f t="shared" si="10"/>
        <v/>
      </c>
      <c r="AL112" s="55" t="str">
        <f t="shared" si="13"/>
        <v/>
      </c>
      <c r="AM112" s="56" t="str">
        <f t="shared" si="14"/>
        <v/>
      </c>
      <c r="AN112" s="168"/>
      <c r="AO112" s="168"/>
      <c r="AP112" s="168"/>
      <c r="AQ112" s="168"/>
      <c r="AR112" s="168"/>
      <c r="AS112" s="168"/>
      <c r="AT112" s="168"/>
      <c r="AU112" s="168"/>
      <c r="AV112" s="168"/>
      <c r="AW112" s="168"/>
      <c r="AX112" s="337">
        <f t="shared" si="12"/>
        <v>170</v>
      </c>
      <c r="AY112" s="232"/>
      <c r="AZ112" s="235"/>
      <c r="BA112" s="232"/>
      <c r="BB112" s="232"/>
      <c r="BC112" s="233"/>
      <c r="BD112" s="168"/>
      <c r="BE112" s="168"/>
      <c r="BF112" s="168"/>
      <c r="BG112" s="168"/>
      <c r="BH112" s="168"/>
      <c r="BI112" s="168"/>
      <c r="BJ112" s="168"/>
      <c r="BK112" s="326"/>
      <c r="BL112" s="213"/>
      <c r="BM112" s="336" t="s">
        <v>59</v>
      </c>
      <c r="BN112" s="326"/>
      <c r="BO112" s="213"/>
      <c r="BP112" s="336" t="s">
        <v>59</v>
      </c>
    </row>
    <row r="113" spans="1:68">
      <c r="A113" s="16" t="s">
        <v>34</v>
      </c>
      <c r="B113" s="123"/>
      <c r="C113" s="107"/>
      <c r="D113" s="106"/>
      <c r="E113" s="107"/>
      <c r="F113" s="107"/>
      <c r="G113" s="107"/>
      <c r="H113" s="107"/>
      <c r="I113" s="107"/>
      <c r="J113" s="107"/>
      <c r="K113" s="108"/>
      <c r="L113" s="108"/>
      <c r="M113" s="109"/>
      <c r="N113" s="106"/>
      <c r="O113" s="107"/>
      <c r="P113" s="107"/>
      <c r="Q113" s="107"/>
      <c r="R113" s="107"/>
      <c r="S113" s="107"/>
      <c r="T113" s="107"/>
      <c r="U113" s="108"/>
      <c r="V113" s="108"/>
      <c r="W113" s="109"/>
      <c r="X113" s="106"/>
      <c r="Y113" s="107"/>
      <c r="Z113" s="107"/>
      <c r="AA113" s="107"/>
      <c r="AB113" s="110"/>
      <c r="AC113" s="111"/>
      <c r="AD113" s="106"/>
      <c r="AE113" s="107"/>
      <c r="AF113" s="107"/>
      <c r="AG113" s="107"/>
      <c r="AH113" s="110"/>
      <c r="AI113" s="111"/>
      <c r="AJ113" s="119" t="str">
        <f t="shared" si="9"/>
        <v/>
      </c>
      <c r="AK113" s="55" t="str">
        <f t="shared" si="10"/>
        <v/>
      </c>
      <c r="AL113" s="55" t="str">
        <f t="shared" si="13"/>
        <v/>
      </c>
      <c r="AM113" s="56" t="str">
        <f t="shared" si="14"/>
        <v/>
      </c>
      <c r="AN113" s="168"/>
      <c r="AO113" s="168"/>
      <c r="AP113" s="168"/>
      <c r="AQ113" s="168"/>
      <c r="AR113" s="168"/>
      <c r="AS113" s="168"/>
      <c r="AT113" s="168"/>
      <c r="AU113" s="168"/>
      <c r="AV113" s="168"/>
      <c r="AW113" s="168"/>
      <c r="AX113" s="337">
        <f t="shared" si="12"/>
        <v>170</v>
      </c>
      <c r="AY113" s="232"/>
      <c r="AZ113" s="235"/>
      <c r="BA113" s="232"/>
      <c r="BB113" s="232"/>
      <c r="BC113" s="233"/>
      <c r="BD113" s="168"/>
      <c r="BE113" s="168"/>
      <c r="BF113" s="168"/>
      <c r="BG113" s="168"/>
      <c r="BH113" s="168"/>
      <c r="BI113" s="168"/>
      <c r="BJ113" s="168"/>
      <c r="BK113" s="326"/>
      <c r="BL113" s="213"/>
      <c r="BM113" s="336" t="s">
        <v>59</v>
      </c>
      <c r="BN113" s="326"/>
      <c r="BO113" s="213"/>
      <c r="BP113" s="336" t="s">
        <v>59</v>
      </c>
    </row>
    <row r="114" spans="1:68">
      <c r="A114" s="16" t="s">
        <v>34</v>
      </c>
      <c r="B114" s="123"/>
      <c r="C114" s="107"/>
      <c r="D114" s="106"/>
      <c r="E114" s="107"/>
      <c r="F114" s="107"/>
      <c r="G114" s="107"/>
      <c r="H114" s="107"/>
      <c r="I114" s="107"/>
      <c r="J114" s="107"/>
      <c r="K114" s="108"/>
      <c r="L114" s="108"/>
      <c r="M114" s="109"/>
      <c r="N114" s="106"/>
      <c r="O114" s="107"/>
      <c r="P114" s="107"/>
      <c r="Q114" s="107"/>
      <c r="R114" s="107"/>
      <c r="S114" s="107"/>
      <c r="T114" s="107"/>
      <c r="U114" s="108"/>
      <c r="V114" s="108"/>
      <c r="W114" s="109"/>
      <c r="X114" s="106"/>
      <c r="Y114" s="107"/>
      <c r="Z114" s="107"/>
      <c r="AA114" s="107"/>
      <c r="AB114" s="110"/>
      <c r="AC114" s="111"/>
      <c r="AD114" s="106"/>
      <c r="AE114" s="107"/>
      <c r="AF114" s="107"/>
      <c r="AG114" s="107"/>
      <c r="AH114" s="110"/>
      <c r="AI114" s="111"/>
      <c r="AJ114" s="119" t="str">
        <f t="shared" si="9"/>
        <v/>
      </c>
      <c r="AK114" s="55" t="str">
        <f t="shared" si="10"/>
        <v/>
      </c>
      <c r="AL114" s="55" t="str">
        <f t="shared" si="13"/>
        <v/>
      </c>
      <c r="AM114" s="56" t="str">
        <f t="shared" si="14"/>
        <v/>
      </c>
      <c r="AN114" s="168"/>
      <c r="AO114" s="168"/>
      <c r="AP114" s="168"/>
      <c r="AQ114" s="168"/>
      <c r="AR114" s="168"/>
      <c r="AS114" s="168"/>
      <c r="AT114" s="168"/>
      <c r="AU114" s="168"/>
      <c r="AV114" s="168"/>
      <c r="AW114" s="168"/>
      <c r="AX114" s="337">
        <f t="shared" si="12"/>
        <v>170</v>
      </c>
      <c r="AY114" s="232"/>
      <c r="AZ114" s="235"/>
      <c r="BA114" s="232"/>
      <c r="BB114" s="232"/>
      <c r="BC114" s="233"/>
      <c r="BD114" s="168"/>
      <c r="BE114" s="168"/>
      <c r="BF114" s="168"/>
      <c r="BG114" s="168"/>
      <c r="BH114" s="168"/>
      <c r="BI114" s="168"/>
      <c r="BJ114" s="168"/>
      <c r="BK114" s="326"/>
      <c r="BL114" s="213"/>
      <c r="BM114" s="336" t="s">
        <v>59</v>
      </c>
      <c r="BN114" s="326"/>
      <c r="BO114" s="213"/>
      <c r="BP114" s="336" t="s">
        <v>59</v>
      </c>
    </row>
    <row r="115" spans="1:68">
      <c r="A115" s="16" t="s">
        <v>34</v>
      </c>
      <c r="B115" s="123"/>
      <c r="C115" s="107"/>
      <c r="D115" s="106"/>
      <c r="E115" s="107"/>
      <c r="F115" s="107"/>
      <c r="G115" s="107"/>
      <c r="H115" s="107"/>
      <c r="I115" s="107"/>
      <c r="J115" s="107"/>
      <c r="K115" s="108"/>
      <c r="L115" s="108"/>
      <c r="M115" s="109"/>
      <c r="N115" s="106"/>
      <c r="O115" s="107"/>
      <c r="P115" s="107"/>
      <c r="Q115" s="107"/>
      <c r="R115" s="107"/>
      <c r="S115" s="107"/>
      <c r="T115" s="107"/>
      <c r="U115" s="108"/>
      <c r="V115" s="108"/>
      <c r="W115" s="109"/>
      <c r="X115" s="106"/>
      <c r="Y115" s="107"/>
      <c r="Z115" s="107"/>
      <c r="AA115" s="107"/>
      <c r="AB115" s="110"/>
      <c r="AC115" s="111"/>
      <c r="AD115" s="106"/>
      <c r="AE115" s="107"/>
      <c r="AF115" s="107"/>
      <c r="AG115" s="107"/>
      <c r="AH115" s="110"/>
      <c r="AI115" s="111"/>
      <c r="AJ115" s="119" t="str">
        <f t="shared" si="9"/>
        <v/>
      </c>
      <c r="AK115" s="55" t="str">
        <f t="shared" si="10"/>
        <v/>
      </c>
      <c r="AL115" s="55" t="str">
        <f t="shared" si="13"/>
        <v/>
      </c>
      <c r="AM115" s="56" t="str">
        <f t="shared" si="14"/>
        <v/>
      </c>
      <c r="AN115" s="168"/>
      <c r="AO115" s="168"/>
      <c r="AP115" s="168"/>
      <c r="AQ115" s="168"/>
      <c r="AR115" s="168"/>
      <c r="AS115" s="168"/>
      <c r="AT115" s="168"/>
      <c r="AU115" s="168"/>
      <c r="AV115" s="168"/>
      <c r="AW115" s="168"/>
      <c r="AX115" s="337">
        <f t="shared" si="12"/>
        <v>170</v>
      </c>
      <c r="AY115" s="232"/>
      <c r="AZ115" s="235"/>
      <c r="BA115" s="232"/>
      <c r="BB115" s="232"/>
      <c r="BC115" s="233"/>
      <c r="BD115" s="168"/>
      <c r="BE115" s="168"/>
      <c r="BF115" s="168"/>
      <c r="BG115" s="168"/>
      <c r="BH115" s="168"/>
      <c r="BI115" s="168"/>
      <c r="BJ115" s="168"/>
      <c r="BK115" s="326"/>
      <c r="BL115" s="213"/>
      <c r="BM115" s="336" t="s">
        <v>59</v>
      </c>
      <c r="BN115" s="326"/>
      <c r="BO115" s="213"/>
      <c r="BP115" s="336" t="s">
        <v>59</v>
      </c>
    </row>
    <row r="116" spans="1:68">
      <c r="A116" s="16" t="s">
        <v>34</v>
      </c>
      <c r="B116" s="123"/>
      <c r="C116" s="107"/>
      <c r="D116" s="106"/>
      <c r="E116" s="107"/>
      <c r="F116" s="107"/>
      <c r="G116" s="107"/>
      <c r="H116" s="107"/>
      <c r="I116" s="107"/>
      <c r="J116" s="107"/>
      <c r="K116" s="108"/>
      <c r="L116" s="108"/>
      <c r="M116" s="109"/>
      <c r="N116" s="106"/>
      <c r="O116" s="107"/>
      <c r="P116" s="107"/>
      <c r="Q116" s="107"/>
      <c r="R116" s="107"/>
      <c r="S116" s="107"/>
      <c r="T116" s="107"/>
      <c r="U116" s="108"/>
      <c r="V116" s="108"/>
      <c r="W116" s="109"/>
      <c r="X116" s="106"/>
      <c r="Y116" s="107"/>
      <c r="Z116" s="107"/>
      <c r="AA116" s="107"/>
      <c r="AB116" s="110"/>
      <c r="AC116" s="111"/>
      <c r="AD116" s="106"/>
      <c r="AE116" s="107"/>
      <c r="AF116" s="107"/>
      <c r="AG116" s="107"/>
      <c r="AH116" s="110"/>
      <c r="AI116" s="111"/>
      <c r="AJ116" s="119" t="str">
        <f t="shared" si="9"/>
        <v/>
      </c>
      <c r="AK116" s="55" t="str">
        <f t="shared" si="10"/>
        <v/>
      </c>
      <c r="AL116" s="55" t="str">
        <f t="shared" si="13"/>
        <v/>
      </c>
      <c r="AM116" s="56" t="str">
        <f t="shared" si="14"/>
        <v/>
      </c>
      <c r="AN116" s="168"/>
      <c r="AO116" s="168"/>
      <c r="AP116" s="168"/>
      <c r="AQ116" s="168"/>
      <c r="AR116" s="168"/>
      <c r="AS116" s="168"/>
      <c r="AT116" s="168"/>
      <c r="AU116" s="168"/>
      <c r="AV116" s="168"/>
      <c r="AW116" s="168"/>
      <c r="AX116" s="337">
        <f t="shared" si="12"/>
        <v>170</v>
      </c>
      <c r="AY116" s="232"/>
      <c r="AZ116" s="235"/>
      <c r="BA116" s="232"/>
      <c r="BB116" s="232"/>
      <c r="BC116" s="233"/>
      <c r="BD116" s="168"/>
      <c r="BE116" s="168"/>
      <c r="BF116" s="168"/>
      <c r="BG116" s="168"/>
      <c r="BH116" s="168"/>
      <c r="BI116" s="168"/>
      <c r="BJ116" s="168"/>
      <c r="BK116" s="326"/>
      <c r="BL116" s="213"/>
      <c r="BM116" s="336" t="s">
        <v>59</v>
      </c>
      <c r="BN116" s="326"/>
      <c r="BO116" s="213"/>
      <c r="BP116" s="336" t="s">
        <v>59</v>
      </c>
    </row>
    <row r="117" spans="1:68">
      <c r="A117" s="16" t="s">
        <v>34</v>
      </c>
      <c r="B117" s="123"/>
      <c r="C117" s="107"/>
      <c r="D117" s="106"/>
      <c r="E117" s="107"/>
      <c r="F117" s="107"/>
      <c r="G117" s="107"/>
      <c r="H117" s="107"/>
      <c r="I117" s="107"/>
      <c r="J117" s="107"/>
      <c r="K117" s="108"/>
      <c r="L117" s="108"/>
      <c r="M117" s="109"/>
      <c r="N117" s="106"/>
      <c r="O117" s="107"/>
      <c r="P117" s="107"/>
      <c r="Q117" s="107"/>
      <c r="R117" s="107"/>
      <c r="S117" s="107"/>
      <c r="T117" s="107"/>
      <c r="U117" s="108"/>
      <c r="V117" s="108"/>
      <c r="W117" s="109"/>
      <c r="X117" s="106"/>
      <c r="Y117" s="107"/>
      <c r="Z117" s="107"/>
      <c r="AA117" s="107"/>
      <c r="AB117" s="110"/>
      <c r="AC117" s="111"/>
      <c r="AD117" s="106"/>
      <c r="AE117" s="107"/>
      <c r="AF117" s="107"/>
      <c r="AG117" s="107"/>
      <c r="AH117" s="110"/>
      <c r="AI117" s="111"/>
      <c r="AJ117" s="119" t="str">
        <f t="shared" si="9"/>
        <v/>
      </c>
      <c r="AK117" s="55" t="str">
        <f t="shared" si="10"/>
        <v/>
      </c>
      <c r="AL117" s="55" t="str">
        <f t="shared" si="13"/>
        <v/>
      </c>
      <c r="AM117" s="56" t="str">
        <f t="shared" si="14"/>
        <v/>
      </c>
      <c r="AN117" s="168"/>
      <c r="AO117" s="168"/>
      <c r="AP117" s="168"/>
      <c r="AQ117" s="168"/>
      <c r="AR117" s="168"/>
      <c r="AS117" s="168"/>
      <c r="AT117" s="168"/>
      <c r="AU117" s="168"/>
      <c r="AV117" s="168"/>
      <c r="AW117" s="168"/>
      <c r="AX117" s="337">
        <f t="shared" si="12"/>
        <v>170</v>
      </c>
      <c r="AY117" s="232"/>
      <c r="AZ117" s="235"/>
      <c r="BA117" s="232"/>
      <c r="BB117" s="232"/>
      <c r="BC117" s="233"/>
      <c r="BD117" s="168"/>
      <c r="BE117" s="168"/>
      <c r="BF117" s="168"/>
      <c r="BG117" s="168"/>
      <c r="BH117" s="168"/>
      <c r="BI117" s="168"/>
      <c r="BJ117" s="168"/>
      <c r="BK117" s="326"/>
      <c r="BL117" s="213"/>
      <c r="BM117" s="336" t="s">
        <v>59</v>
      </c>
      <c r="BN117" s="326"/>
      <c r="BO117" s="213"/>
      <c r="BP117" s="336" t="s">
        <v>59</v>
      </c>
    </row>
    <row r="118" spans="1:68">
      <c r="A118" s="16" t="s">
        <v>34</v>
      </c>
      <c r="B118" s="123"/>
      <c r="C118" s="107"/>
      <c r="D118" s="106"/>
      <c r="E118" s="107"/>
      <c r="F118" s="107"/>
      <c r="G118" s="107"/>
      <c r="H118" s="107"/>
      <c r="I118" s="107"/>
      <c r="J118" s="107"/>
      <c r="K118" s="108"/>
      <c r="L118" s="108"/>
      <c r="M118" s="109"/>
      <c r="N118" s="106"/>
      <c r="O118" s="107"/>
      <c r="P118" s="107"/>
      <c r="Q118" s="107"/>
      <c r="R118" s="107"/>
      <c r="S118" s="107"/>
      <c r="T118" s="107"/>
      <c r="U118" s="108"/>
      <c r="V118" s="108"/>
      <c r="W118" s="109"/>
      <c r="X118" s="106"/>
      <c r="Y118" s="107"/>
      <c r="Z118" s="107"/>
      <c r="AA118" s="107"/>
      <c r="AB118" s="110"/>
      <c r="AC118" s="111"/>
      <c r="AD118" s="106"/>
      <c r="AE118" s="107"/>
      <c r="AF118" s="107"/>
      <c r="AG118" s="107"/>
      <c r="AH118" s="110"/>
      <c r="AI118" s="111"/>
      <c r="AJ118" s="119" t="str">
        <f t="shared" si="9"/>
        <v/>
      </c>
      <c r="AK118" s="55" t="str">
        <f t="shared" si="10"/>
        <v/>
      </c>
      <c r="AL118" s="55" t="str">
        <f t="shared" si="13"/>
        <v/>
      </c>
      <c r="AM118" s="56" t="str">
        <f t="shared" si="14"/>
        <v/>
      </c>
      <c r="AN118" s="168"/>
      <c r="AO118" s="168"/>
      <c r="AP118" s="168"/>
      <c r="AQ118" s="168"/>
      <c r="AR118" s="168"/>
      <c r="AS118" s="168"/>
      <c r="AT118" s="168"/>
      <c r="AU118" s="168"/>
      <c r="AV118" s="168"/>
      <c r="AW118" s="168"/>
      <c r="AX118" s="337">
        <f t="shared" si="12"/>
        <v>170</v>
      </c>
      <c r="AY118" s="232"/>
      <c r="AZ118" s="235"/>
      <c r="BA118" s="232"/>
      <c r="BB118" s="232"/>
      <c r="BC118" s="233"/>
      <c r="BD118" s="168"/>
      <c r="BE118" s="168"/>
      <c r="BF118" s="168"/>
      <c r="BG118" s="168"/>
      <c r="BH118" s="168"/>
      <c r="BI118" s="168"/>
      <c r="BJ118" s="168"/>
      <c r="BK118" s="326"/>
      <c r="BL118" s="213"/>
      <c r="BM118" s="336" t="s">
        <v>59</v>
      </c>
      <c r="BN118" s="326"/>
      <c r="BO118" s="213"/>
      <c r="BP118" s="336" t="s">
        <v>59</v>
      </c>
    </row>
    <row r="119" spans="1:68">
      <c r="A119" s="16" t="s">
        <v>34</v>
      </c>
      <c r="B119" s="123"/>
      <c r="C119" s="107"/>
      <c r="D119" s="106"/>
      <c r="E119" s="107"/>
      <c r="F119" s="107"/>
      <c r="G119" s="107"/>
      <c r="H119" s="107"/>
      <c r="I119" s="107"/>
      <c r="J119" s="107"/>
      <c r="K119" s="108"/>
      <c r="L119" s="108"/>
      <c r="M119" s="109"/>
      <c r="N119" s="106"/>
      <c r="O119" s="107"/>
      <c r="P119" s="107"/>
      <c r="Q119" s="107"/>
      <c r="R119" s="107"/>
      <c r="S119" s="107"/>
      <c r="T119" s="107"/>
      <c r="U119" s="108"/>
      <c r="V119" s="108"/>
      <c r="W119" s="109"/>
      <c r="X119" s="106"/>
      <c r="Y119" s="107"/>
      <c r="Z119" s="107"/>
      <c r="AA119" s="107"/>
      <c r="AB119" s="110"/>
      <c r="AC119" s="111"/>
      <c r="AD119" s="106"/>
      <c r="AE119" s="107"/>
      <c r="AF119" s="107"/>
      <c r="AG119" s="107"/>
      <c r="AH119" s="110"/>
      <c r="AI119" s="111"/>
      <c r="AJ119" s="119" t="str">
        <f t="shared" si="9"/>
        <v/>
      </c>
      <c r="AK119" s="55" t="str">
        <f t="shared" si="10"/>
        <v/>
      </c>
      <c r="AL119" s="55" t="str">
        <f t="shared" si="13"/>
        <v/>
      </c>
      <c r="AM119" s="56" t="str">
        <f t="shared" si="14"/>
        <v/>
      </c>
      <c r="AN119" s="168"/>
      <c r="AO119" s="168"/>
      <c r="AP119" s="168"/>
      <c r="AQ119" s="168"/>
      <c r="AR119" s="168"/>
      <c r="AS119" s="168"/>
      <c r="AT119" s="168"/>
      <c r="AU119" s="168"/>
      <c r="AV119" s="168"/>
      <c r="AW119" s="168"/>
      <c r="AX119" s="337">
        <f t="shared" si="12"/>
        <v>170</v>
      </c>
      <c r="AY119" s="232"/>
      <c r="AZ119" s="235"/>
      <c r="BA119" s="232"/>
      <c r="BB119" s="232"/>
      <c r="BC119" s="233"/>
      <c r="BD119" s="168"/>
      <c r="BE119" s="168"/>
      <c r="BF119" s="168"/>
      <c r="BG119" s="168"/>
      <c r="BH119" s="168"/>
      <c r="BI119" s="168"/>
      <c r="BJ119" s="168"/>
      <c r="BK119" s="326"/>
      <c r="BL119" s="213"/>
      <c r="BM119" s="336" t="s">
        <v>59</v>
      </c>
      <c r="BN119" s="326"/>
      <c r="BO119" s="213"/>
      <c r="BP119" s="336" t="s">
        <v>59</v>
      </c>
    </row>
    <row r="120" spans="1:68">
      <c r="A120" s="16" t="s">
        <v>34</v>
      </c>
      <c r="B120" s="123"/>
      <c r="C120" s="107"/>
      <c r="D120" s="106"/>
      <c r="E120" s="107"/>
      <c r="F120" s="107"/>
      <c r="G120" s="107"/>
      <c r="H120" s="107"/>
      <c r="I120" s="107"/>
      <c r="J120" s="107"/>
      <c r="K120" s="108"/>
      <c r="L120" s="108"/>
      <c r="M120" s="109"/>
      <c r="N120" s="106"/>
      <c r="O120" s="107"/>
      <c r="P120" s="107"/>
      <c r="Q120" s="107"/>
      <c r="R120" s="107"/>
      <c r="S120" s="107"/>
      <c r="T120" s="107"/>
      <c r="U120" s="108"/>
      <c r="V120" s="108"/>
      <c r="W120" s="109"/>
      <c r="X120" s="106"/>
      <c r="Y120" s="107"/>
      <c r="Z120" s="107"/>
      <c r="AA120" s="107"/>
      <c r="AB120" s="110"/>
      <c r="AC120" s="111"/>
      <c r="AD120" s="106"/>
      <c r="AE120" s="107"/>
      <c r="AF120" s="107"/>
      <c r="AG120" s="107"/>
      <c r="AH120" s="110"/>
      <c r="AI120" s="111"/>
      <c r="AJ120" s="119" t="str">
        <f t="shared" si="9"/>
        <v/>
      </c>
      <c r="AK120" s="55" t="str">
        <f t="shared" si="10"/>
        <v/>
      </c>
      <c r="AL120" s="55" t="str">
        <f t="shared" si="13"/>
        <v/>
      </c>
      <c r="AM120" s="56" t="str">
        <f t="shared" si="14"/>
        <v/>
      </c>
      <c r="AN120" s="168"/>
      <c r="AO120" s="168"/>
      <c r="AP120" s="168"/>
      <c r="AQ120" s="168"/>
      <c r="AR120" s="168"/>
      <c r="AS120" s="168"/>
      <c r="AT120" s="168"/>
      <c r="AU120" s="168"/>
      <c r="AV120" s="168"/>
      <c r="AW120" s="168"/>
      <c r="AX120" s="337">
        <f t="shared" si="12"/>
        <v>170</v>
      </c>
      <c r="AY120" s="232"/>
      <c r="AZ120" s="235"/>
      <c r="BA120" s="232"/>
      <c r="BB120" s="232"/>
      <c r="BC120" s="233"/>
      <c r="BD120" s="168"/>
      <c r="BE120" s="168"/>
      <c r="BF120" s="168"/>
      <c r="BG120" s="168"/>
      <c r="BH120" s="168"/>
      <c r="BI120" s="168"/>
      <c r="BJ120" s="168"/>
      <c r="BK120" s="326"/>
      <c r="BL120" s="213"/>
      <c r="BM120" s="336" t="s">
        <v>59</v>
      </c>
      <c r="BN120" s="326"/>
      <c r="BO120" s="213"/>
      <c r="BP120" s="336" t="s">
        <v>59</v>
      </c>
    </row>
    <row r="121" spans="1:68">
      <c r="A121" s="16" t="s">
        <v>34</v>
      </c>
      <c r="B121" s="123"/>
      <c r="C121" s="107"/>
      <c r="D121" s="106"/>
      <c r="E121" s="107"/>
      <c r="F121" s="107"/>
      <c r="G121" s="107"/>
      <c r="H121" s="107"/>
      <c r="I121" s="107"/>
      <c r="J121" s="107"/>
      <c r="K121" s="108"/>
      <c r="L121" s="108"/>
      <c r="M121" s="109"/>
      <c r="N121" s="106"/>
      <c r="O121" s="107"/>
      <c r="P121" s="107"/>
      <c r="Q121" s="107"/>
      <c r="R121" s="107"/>
      <c r="S121" s="107"/>
      <c r="T121" s="107"/>
      <c r="U121" s="108"/>
      <c r="V121" s="108"/>
      <c r="W121" s="109"/>
      <c r="X121" s="106"/>
      <c r="Y121" s="107"/>
      <c r="Z121" s="107"/>
      <c r="AA121" s="107"/>
      <c r="AB121" s="110"/>
      <c r="AC121" s="111"/>
      <c r="AD121" s="106"/>
      <c r="AE121" s="107"/>
      <c r="AF121" s="107"/>
      <c r="AG121" s="107"/>
      <c r="AH121" s="110"/>
      <c r="AI121" s="111"/>
      <c r="AJ121" s="119" t="str">
        <f t="shared" si="9"/>
        <v/>
      </c>
      <c r="AK121" s="55" t="str">
        <f t="shared" si="10"/>
        <v/>
      </c>
      <c r="AL121" s="55" t="str">
        <f t="shared" si="13"/>
        <v/>
      </c>
      <c r="AM121" s="56" t="str">
        <f t="shared" si="14"/>
        <v/>
      </c>
      <c r="AN121" s="168"/>
      <c r="AO121" s="168"/>
      <c r="AP121" s="168"/>
      <c r="AQ121" s="168"/>
      <c r="AR121" s="168"/>
      <c r="AS121" s="168"/>
      <c r="AT121" s="168"/>
      <c r="AU121" s="168"/>
      <c r="AV121" s="168"/>
      <c r="AW121" s="168"/>
      <c r="AX121" s="337">
        <f t="shared" si="12"/>
        <v>170</v>
      </c>
      <c r="AY121" s="232"/>
      <c r="AZ121" s="235"/>
      <c r="BA121" s="232"/>
      <c r="BB121" s="232"/>
      <c r="BC121" s="233"/>
      <c r="BD121" s="168"/>
      <c r="BE121" s="168"/>
      <c r="BF121" s="168"/>
      <c r="BG121" s="168"/>
      <c r="BH121" s="168"/>
      <c r="BI121" s="168"/>
      <c r="BJ121" s="168"/>
      <c r="BK121" s="326"/>
      <c r="BL121" s="213"/>
      <c r="BM121" s="336" t="s">
        <v>59</v>
      </c>
      <c r="BN121" s="326"/>
      <c r="BO121" s="213"/>
      <c r="BP121" s="336" t="s">
        <v>59</v>
      </c>
    </row>
    <row r="122" spans="1:68">
      <c r="A122" s="16" t="s">
        <v>34</v>
      </c>
      <c r="B122" s="123"/>
      <c r="C122" s="107"/>
      <c r="D122" s="106"/>
      <c r="E122" s="107"/>
      <c r="F122" s="107"/>
      <c r="G122" s="107"/>
      <c r="H122" s="107"/>
      <c r="I122" s="107"/>
      <c r="J122" s="107"/>
      <c r="K122" s="108"/>
      <c r="L122" s="108"/>
      <c r="M122" s="109"/>
      <c r="N122" s="106"/>
      <c r="O122" s="107"/>
      <c r="P122" s="107"/>
      <c r="Q122" s="107"/>
      <c r="R122" s="107"/>
      <c r="S122" s="107"/>
      <c r="T122" s="107"/>
      <c r="U122" s="108"/>
      <c r="V122" s="108"/>
      <c r="W122" s="109"/>
      <c r="X122" s="106"/>
      <c r="Y122" s="107"/>
      <c r="Z122" s="107"/>
      <c r="AA122" s="107"/>
      <c r="AB122" s="110"/>
      <c r="AC122" s="111"/>
      <c r="AD122" s="106"/>
      <c r="AE122" s="107"/>
      <c r="AF122" s="107"/>
      <c r="AG122" s="107"/>
      <c r="AH122" s="110"/>
      <c r="AI122" s="111"/>
      <c r="AJ122" s="119" t="str">
        <f t="shared" si="9"/>
        <v/>
      </c>
      <c r="AK122" s="55" t="str">
        <f t="shared" si="10"/>
        <v/>
      </c>
      <c r="AL122" s="55" t="str">
        <f t="shared" si="13"/>
        <v/>
      </c>
      <c r="AM122" s="56" t="str">
        <f t="shared" si="14"/>
        <v/>
      </c>
      <c r="AN122" s="168"/>
      <c r="AO122" s="168"/>
      <c r="AP122" s="168"/>
      <c r="AQ122" s="168"/>
      <c r="AR122" s="168"/>
      <c r="AS122" s="168"/>
      <c r="AT122" s="168"/>
      <c r="AU122" s="168"/>
      <c r="AV122" s="168"/>
      <c r="AW122" s="168"/>
      <c r="AX122" s="337">
        <f t="shared" si="12"/>
        <v>170</v>
      </c>
      <c r="AY122" s="232"/>
      <c r="AZ122" s="235"/>
      <c r="BA122" s="232"/>
      <c r="BB122" s="232"/>
      <c r="BC122" s="233"/>
      <c r="BD122" s="168"/>
      <c r="BE122" s="168"/>
      <c r="BF122" s="168"/>
      <c r="BG122" s="168"/>
      <c r="BH122" s="168"/>
      <c r="BI122" s="168"/>
      <c r="BJ122" s="168"/>
      <c r="BK122" s="326"/>
      <c r="BL122" s="213"/>
      <c r="BM122" s="336" t="s">
        <v>59</v>
      </c>
      <c r="BN122" s="326"/>
      <c r="BO122" s="213"/>
      <c r="BP122" s="336" t="s">
        <v>59</v>
      </c>
    </row>
    <row r="123" spans="1:68">
      <c r="A123" s="16" t="s">
        <v>34</v>
      </c>
      <c r="B123" s="123"/>
      <c r="C123" s="107"/>
      <c r="D123" s="106"/>
      <c r="E123" s="107"/>
      <c r="F123" s="107"/>
      <c r="G123" s="107"/>
      <c r="H123" s="107"/>
      <c r="I123" s="107"/>
      <c r="J123" s="107"/>
      <c r="K123" s="108"/>
      <c r="L123" s="108"/>
      <c r="M123" s="109"/>
      <c r="N123" s="106"/>
      <c r="O123" s="107"/>
      <c r="P123" s="107"/>
      <c r="Q123" s="107"/>
      <c r="R123" s="107"/>
      <c r="S123" s="107"/>
      <c r="T123" s="107"/>
      <c r="U123" s="108"/>
      <c r="V123" s="108"/>
      <c r="W123" s="109"/>
      <c r="X123" s="106"/>
      <c r="Y123" s="107"/>
      <c r="Z123" s="107"/>
      <c r="AA123" s="107"/>
      <c r="AB123" s="110"/>
      <c r="AC123" s="111"/>
      <c r="AD123" s="106"/>
      <c r="AE123" s="107"/>
      <c r="AF123" s="107"/>
      <c r="AG123" s="107"/>
      <c r="AH123" s="110"/>
      <c r="AI123" s="111"/>
      <c r="AJ123" s="119" t="str">
        <f t="shared" si="9"/>
        <v/>
      </c>
      <c r="AK123" s="55" t="str">
        <f t="shared" si="10"/>
        <v/>
      </c>
      <c r="AL123" s="55" t="str">
        <f t="shared" si="13"/>
        <v/>
      </c>
      <c r="AM123" s="56" t="str">
        <f t="shared" si="14"/>
        <v/>
      </c>
      <c r="AN123" s="168"/>
      <c r="AO123" s="168"/>
      <c r="AP123" s="168"/>
      <c r="AQ123" s="168"/>
      <c r="AR123" s="168"/>
      <c r="AS123" s="168"/>
      <c r="AT123" s="168"/>
      <c r="AU123" s="168"/>
      <c r="AV123" s="168"/>
      <c r="AW123" s="168"/>
      <c r="AX123" s="337">
        <f t="shared" si="12"/>
        <v>170</v>
      </c>
      <c r="AY123" s="232"/>
      <c r="AZ123" s="235"/>
      <c r="BA123" s="232"/>
      <c r="BB123" s="232"/>
      <c r="BC123" s="233"/>
      <c r="BD123" s="168"/>
      <c r="BE123" s="168"/>
      <c r="BF123" s="168"/>
      <c r="BG123" s="168"/>
      <c r="BH123" s="168"/>
      <c r="BI123" s="168"/>
      <c r="BJ123" s="168"/>
      <c r="BK123" s="326"/>
      <c r="BL123" s="213"/>
      <c r="BM123" s="336" t="s">
        <v>59</v>
      </c>
      <c r="BN123" s="326"/>
      <c r="BO123" s="213"/>
      <c r="BP123" s="336" t="s">
        <v>59</v>
      </c>
    </row>
    <row r="124" spans="1:68" ht="13" thickBot="1">
      <c r="A124" s="17" t="s">
        <v>34</v>
      </c>
      <c r="B124" s="124"/>
      <c r="C124" s="113"/>
      <c r="D124" s="112"/>
      <c r="E124" s="113"/>
      <c r="F124" s="113"/>
      <c r="G124" s="113"/>
      <c r="H124" s="113"/>
      <c r="I124" s="113"/>
      <c r="J124" s="113"/>
      <c r="K124" s="114"/>
      <c r="L124" s="114"/>
      <c r="M124" s="115"/>
      <c r="N124" s="112"/>
      <c r="O124" s="113"/>
      <c r="P124" s="113"/>
      <c r="Q124" s="113"/>
      <c r="R124" s="113"/>
      <c r="S124" s="113"/>
      <c r="T124" s="113"/>
      <c r="U124" s="114"/>
      <c r="V124" s="114"/>
      <c r="W124" s="115"/>
      <c r="X124" s="112"/>
      <c r="Y124" s="113"/>
      <c r="Z124" s="113"/>
      <c r="AA124" s="113"/>
      <c r="AB124" s="116"/>
      <c r="AC124" s="117"/>
      <c r="AD124" s="112"/>
      <c r="AE124" s="113"/>
      <c r="AF124" s="113"/>
      <c r="AG124" s="113"/>
      <c r="AH124" s="116"/>
      <c r="AI124" s="117"/>
      <c r="AJ124" s="120" t="str">
        <f t="shared" si="9"/>
        <v/>
      </c>
      <c r="AK124" s="58" t="str">
        <f t="shared" si="10"/>
        <v/>
      </c>
      <c r="AL124" s="58" t="str">
        <f t="shared" si="13"/>
        <v/>
      </c>
      <c r="AM124" s="59" t="str">
        <f t="shared" si="14"/>
        <v/>
      </c>
      <c r="AN124" s="168"/>
      <c r="AO124" s="168"/>
      <c r="AP124" s="168"/>
      <c r="AQ124" s="168"/>
      <c r="AR124" s="168"/>
      <c r="AS124" s="168"/>
      <c r="AT124" s="168"/>
      <c r="AU124" s="168"/>
      <c r="AV124" s="168"/>
      <c r="AW124" s="168"/>
      <c r="AX124" s="338">
        <f t="shared" si="12"/>
        <v>170</v>
      </c>
      <c r="AY124" s="232"/>
      <c r="AZ124" s="235"/>
      <c r="BA124" s="232"/>
      <c r="BB124" s="232"/>
      <c r="BC124" s="233"/>
      <c r="BD124" s="168"/>
      <c r="BE124" s="168"/>
      <c r="BF124" s="168"/>
      <c r="BG124" s="168"/>
      <c r="BH124" s="168"/>
      <c r="BI124" s="168"/>
      <c r="BJ124" s="168"/>
      <c r="BK124" s="327"/>
      <c r="BL124" s="329"/>
      <c r="BM124" s="342" t="s">
        <v>59</v>
      </c>
      <c r="BN124" s="327"/>
      <c r="BO124" s="329"/>
      <c r="BP124" s="342" t="s">
        <v>59</v>
      </c>
    </row>
    <row r="125" spans="1:68">
      <c r="A125" s="15" t="s">
        <v>33</v>
      </c>
      <c r="B125" s="122">
        <v>41039</v>
      </c>
      <c r="C125" s="101" t="s">
        <v>87</v>
      </c>
      <c r="D125" s="100">
        <v>0</v>
      </c>
      <c r="E125" s="101">
        <v>0</v>
      </c>
      <c r="F125" s="101">
        <v>0</v>
      </c>
      <c r="G125" s="101">
        <v>0</v>
      </c>
      <c r="H125" s="101">
        <v>0</v>
      </c>
      <c r="I125" s="101">
        <v>0</v>
      </c>
      <c r="J125" s="101">
        <v>0</v>
      </c>
      <c r="K125" s="102">
        <v>0</v>
      </c>
      <c r="L125" s="102">
        <v>0</v>
      </c>
      <c r="M125" s="103">
        <v>0</v>
      </c>
      <c r="N125" s="100">
        <v>0</v>
      </c>
      <c r="O125" s="101">
        <v>0</v>
      </c>
      <c r="P125" s="101">
        <v>0</v>
      </c>
      <c r="Q125" s="101">
        <v>0</v>
      </c>
      <c r="R125" s="101">
        <v>0</v>
      </c>
      <c r="S125" s="101">
        <v>0</v>
      </c>
      <c r="T125" s="101">
        <v>0</v>
      </c>
      <c r="U125" s="102">
        <v>0</v>
      </c>
      <c r="V125" s="102">
        <v>0</v>
      </c>
      <c r="W125" s="103">
        <v>0</v>
      </c>
      <c r="X125" s="100"/>
      <c r="Y125" s="101"/>
      <c r="Z125" s="101"/>
      <c r="AA125" s="101"/>
      <c r="AB125" s="104"/>
      <c r="AC125" s="105"/>
      <c r="AD125" s="100"/>
      <c r="AE125" s="101"/>
      <c r="AF125" s="101"/>
      <c r="AG125" s="101"/>
      <c r="AH125" s="104"/>
      <c r="AI125" s="105"/>
      <c r="AJ125" s="121">
        <f t="shared" si="9"/>
        <v>0</v>
      </c>
      <c r="AK125" s="62">
        <f t="shared" si="10"/>
        <v>0</v>
      </c>
      <c r="AL125" s="62"/>
      <c r="AM125" s="63"/>
      <c r="AN125" s="168"/>
      <c r="AO125" s="168"/>
      <c r="AP125" s="168"/>
      <c r="AQ125" s="168"/>
      <c r="AR125" s="168"/>
      <c r="AS125" s="168"/>
      <c r="AT125" s="168"/>
      <c r="AU125" s="168"/>
      <c r="AV125" s="168"/>
      <c r="AW125" s="168"/>
      <c r="AX125" s="337">
        <f>IF(B125=0,AX124,B125-DATE(YEAR(B125)-1,12,31))</f>
        <v>131</v>
      </c>
      <c r="AY125" s="232"/>
      <c r="AZ125" s="235"/>
      <c r="BA125" s="232"/>
      <c r="BB125" s="232"/>
      <c r="BC125" s="233"/>
      <c r="BD125" s="168"/>
      <c r="BE125" s="168"/>
      <c r="BF125" s="168"/>
      <c r="BG125" s="168"/>
      <c r="BH125" s="168"/>
      <c r="BI125" s="168"/>
      <c r="BJ125" s="168"/>
      <c r="BK125" s="361">
        <v>124</v>
      </c>
      <c r="BL125" s="362">
        <v>40302</v>
      </c>
      <c r="BM125" s="370">
        <v>0</v>
      </c>
      <c r="BN125" s="361">
        <v>118</v>
      </c>
      <c r="BO125" s="362">
        <v>40661</v>
      </c>
      <c r="BP125" s="370">
        <v>0.6</v>
      </c>
    </row>
    <row r="126" spans="1:68">
      <c r="A126" s="16" t="s">
        <v>33</v>
      </c>
      <c r="B126" s="123">
        <v>41045</v>
      </c>
      <c r="C126" s="107" t="s">
        <v>87</v>
      </c>
      <c r="D126" s="106">
        <v>0</v>
      </c>
      <c r="E126" s="107">
        <v>0</v>
      </c>
      <c r="F126" s="107">
        <v>0</v>
      </c>
      <c r="G126" s="107">
        <v>0</v>
      </c>
      <c r="H126" s="107">
        <v>0</v>
      </c>
      <c r="I126" s="107">
        <v>0</v>
      </c>
      <c r="J126" s="107">
        <v>0</v>
      </c>
      <c r="K126" s="108">
        <v>0</v>
      </c>
      <c r="L126" s="108">
        <v>0</v>
      </c>
      <c r="M126" s="109">
        <v>0</v>
      </c>
      <c r="N126" s="106">
        <v>0</v>
      </c>
      <c r="O126" s="107">
        <v>0</v>
      </c>
      <c r="P126" s="107">
        <v>0</v>
      </c>
      <c r="Q126" s="107">
        <v>0</v>
      </c>
      <c r="R126" s="107">
        <v>0</v>
      </c>
      <c r="S126" s="107">
        <v>0</v>
      </c>
      <c r="T126" s="107">
        <v>0</v>
      </c>
      <c r="U126" s="108">
        <v>0</v>
      </c>
      <c r="V126" s="108">
        <v>0</v>
      </c>
      <c r="W126" s="109">
        <v>0</v>
      </c>
      <c r="X126" s="106"/>
      <c r="Y126" s="107"/>
      <c r="Z126" s="107"/>
      <c r="AA126" s="107"/>
      <c r="AB126" s="110"/>
      <c r="AC126" s="111"/>
      <c r="AD126" s="106"/>
      <c r="AE126" s="107"/>
      <c r="AF126" s="107"/>
      <c r="AG126" s="107"/>
      <c r="AH126" s="110"/>
      <c r="AI126" s="111"/>
      <c r="AJ126" s="119">
        <f t="shared" si="9"/>
        <v>0</v>
      </c>
      <c r="AK126" s="55">
        <f t="shared" si="10"/>
        <v>0</v>
      </c>
      <c r="AL126" s="55"/>
      <c r="AM126" s="56"/>
      <c r="AN126" s="168"/>
      <c r="AO126" s="168"/>
      <c r="AP126" s="168"/>
      <c r="AQ126" s="168"/>
      <c r="AR126" s="168"/>
      <c r="AS126" s="168"/>
      <c r="AT126" s="168"/>
      <c r="AU126" s="168"/>
      <c r="AV126" s="168"/>
      <c r="AW126" s="168"/>
      <c r="AX126" s="337">
        <f t="shared" ref="AX126:AX154" si="15">IF(B126=0,AX125,B126-DATE(YEAR(B126)-1,12,31))</f>
        <v>137</v>
      </c>
      <c r="AY126" s="232"/>
      <c r="AZ126" s="235"/>
      <c r="BA126" s="232"/>
      <c r="BB126" s="232"/>
      <c r="BC126" s="233"/>
      <c r="BD126" s="168"/>
      <c r="BE126" s="168"/>
      <c r="BF126" s="168"/>
      <c r="BG126" s="168"/>
      <c r="BH126" s="168"/>
      <c r="BI126" s="168"/>
      <c r="BJ126" s="168"/>
      <c r="BK126" s="326">
        <v>132</v>
      </c>
      <c r="BL126" s="213">
        <v>40310</v>
      </c>
      <c r="BM126" s="336">
        <v>0.4</v>
      </c>
      <c r="BN126" s="326">
        <v>124</v>
      </c>
      <c r="BO126" s="213">
        <v>40667</v>
      </c>
      <c r="BP126" s="336">
        <v>0.7</v>
      </c>
    </row>
    <row r="127" spans="1:68">
      <c r="A127" s="16" t="s">
        <v>33</v>
      </c>
      <c r="B127" s="123">
        <v>41052</v>
      </c>
      <c r="C127" s="107" t="s">
        <v>87</v>
      </c>
      <c r="D127" s="106">
        <v>0</v>
      </c>
      <c r="E127" s="107">
        <v>0</v>
      </c>
      <c r="F127" s="107">
        <v>0</v>
      </c>
      <c r="G127" s="107">
        <v>0</v>
      </c>
      <c r="H127" s="107">
        <v>0</v>
      </c>
      <c r="I127" s="107">
        <v>0</v>
      </c>
      <c r="J127" s="107">
        <v>0</v>
      </c>
      <c r="K127" s="108">
        <v>0</v>
      </c>
      <c r="L127" s="108">
        <v>0</v>
      </c>
      <c r="M127" s="109">
        <v>0</v>
      </c>
      <c r="N127" s="106">
        <v>0</v>
      </c>
      <c r="O127" s="107">
        <v>0</v>
      </c>
      <c r="P127" s="107">
        <v>0</v>
      </c>
      <c r="Q127" s="107">
        <v>0</v>
      </c>
      <c r="R127" s="107">
        <v>0</v>
      </c>
      <c r="S127" s="107">
        <v>0</v>
      </c>
      <c r="T127" s="107">
        <v>0</v>
      </c>
      <c r="U127" s="108">
        <v>0</v>
      </c>
      <c r="V127" s="108">
        <v>0</v>
      </c>
      <c r="W127" s="109">
        <v>0</v>
      </c>
      <c r="X127" s="106"/>
      <c r="Y127" s="107"/>
      <c r="Z127" s="107"/>
      <c r="AA127" s="107"/>
      <c r="AB127" s="110"/>
      <c r="AC127" s="111"/>
      <c r="AD127" s="106"/>
      <c r="AE127" s="107"/>
      <c r="AF127" s="107"/>
      <c r="AG127" s="107"/>
      <c r="AH127" s="110"/>
      <c r="AI127" s="111"/>
      <c r="AJ127" s="119">
        <f t="shared" si="9"/>
        <v>0</v>
      </c>
      <c r="AK127" s="55">
        <f t="shared" si="10"/>
        <v>0</v>
      </c>
      <c r="AL127" s="55"/>
      <c r="AM127" s="56"/>
      <c r="AN127" s="168"/>
      <c r="AO127" s="168"/>
      <c r="AP127" s="168"/>
      <c r="AQ127" s="168"/>
      <c r="AR127" s="168"/>
      <c r="AS127" s="168"/>
      <c r="AT127" s="168"/>
      <c r="AU127" s="168"/>
      <c r="AV127" s="168"/>
      <c r="AW127" s="168"/>
      <c r="AX127" s="337">
        <f t="shared" si="15"/>
        <v>144</v>
      </c>
      <c r="AY127" s="232"/>
      <c r="AZ127" s="235"/>
      <c r="BA127" s="232"/>
      <c r="BB127" s="232"/>
      <c r="BC127" s="233"/>
      <c r="BD127" s="168"/>
      <c r="BE127" s="168"/>
      <c r="BF127" s="168"/>
      <c r="BG127" s="168"/>
      <c r="BH127" s="168"/>
      <c r="BI127" s="168"/>
      <c r="BJ127" s="168"/>
      <c r="BK127" s="326">
        <v>137</v>
      </c>
      <c r="BL127" s="213">
        <v>40315</v>
      </c>
      <c r="BM127" s="336">
        <v>0.7</v>
      </c>
      <c r="BN127" s="326">
        <v>129</v>
      </c>
      <c r="BO127" s="213">
        <v>40672</v>
      </c>
      <c r="BP127" s="336">
        <v>0.8</v>
      </c>
    </row>
    <row r="128" spans="1:68">
      <c r="A128" s="16" t="s">
        <v>33</v>
      </c>
      <c r="B128" s="123">
        <v>41060</v>
      </c>
      <c r="C128" s="107" t="s">
        <v>87</v>
      </c>
      <c r="D128" s="106">
        <v>1</v>
      </c>
      <c r="E128" s="107">
        <v>0</v>
      </c>
      <c r="F128" s="107">
        <v>1</v>
      </c>
      <c r="G128" s="107">
        <v>1</v>
      </c>
      <c r="H128" s="107">
        <v>1</v>
      </c>
      <c r="I128" s="107">
        <v>0</v>
      </c>
      <c r="J128" s="107">
        <v>1</v>
      </c>
      <c r="K128" s="108">
        <v>0</v>
      </c>
      <c r="L128" s="108">
        <v>1</v>
      </c>
      <c r="M128" s="109">
        <v>0</v>
      </c>
      <c r="N128" s="106">
        <v>0</v>
      </c>
      <c r="O128" s="107">
        <v>0</v>
      </c>
      <c r="P128" s="107">
        <v>0</v>
      </c>
      <c r="Q128" s="107">
        <v>0</v>
      </c>
      <c r="R128" s="107">
        <v>0</v>
      </c>
      <c r="S128" s="107">
        <v>0</v>
      </c>
      <c r="T128" s="107">
        <v>0</v>
      </c>
      <c r="U128" s="108">
        <v>0</v>
      </c>
      <c r="V128" s="108">
        <v>0</v>
      </c>
      <c r="W128" s="109">
        <v>0</v>
      </c>
      <c r="X128" s="106"/>
      <c r="Y128" s="107"/>
      <c r="Z128" s="107"/>
      <c r="AA128" s="107"/>
      <c r="AB128" s="110"/>
      <c r="AC128" s="111"/>
      <c r="AD128" s="106"/>
      <c r="AE128" s="107"/>
      <c r="AF128" s="107"/>
      <c r="AG128" s="107"/>
      <c r="AH128" s="110"/>
      <c r="AI128" s="111"/>
      <c r="AJ128" s="119">
        <f t="shared" si="9"/>
        <v>0.6</v>
      </c>
      <c r="AK128" s="55">
        <f t="shared" si="10"/>
        <v>0</v>
      </c>
      <c r="AL128" s="55"/>
      <c r="AM128" s="56"/>
      <c r="AN128" s="168"/>
      <c r="AO128" s="168"/>
      <c r="AP128" s="168"/>
      <c r="AQ128" s="168"/>
      <c r="AR128" s="168"/>
      <c r="AS128" s="168"/>
      <c r="AT128" s="168"/>
      <c r="AU128" s="168"/>
      <c r="AV128" s="168"/>
      <c r="AW128" s="168"/>
      <c r="AX128" s="337">
        <f t="shared" si="15"/>
        <v>152</v>
      </c>
      <c r="AY128" s="232"/>
      <c r="AZ128" s="235"/>
      <c r="BA128" s="232"/>
      <c r="BB128" s="232"/>
      <c r="BC128" s="233"/>
      <c r="BD128" s="168"/>
      <c r="BE128" s="168"/>
      <c r="BF128" s="168"/>
      <c r="BG128" s="168"/>
      <c r="BH128" s="168"/>
      <c r="BI128" s="168"/>
      <c r="BJ128" s="168"/>
      <c r="BK128" s="326">
        <v>140</v>
      </c>
      <c r="BL128" s="213">
        <v>40318</v>
      </c>
      <c r="BM128" s="336">
        <v>1</v>
      </c>
      <c r="BN128" s="326">
        <v>132</v>
      </c>
      <c r="BO128" s="213">
        <v>40675</v>
      </c>
      <c r="BP128" s="336">
        <v>0.9</v>
      </c>
    </row>
    <row r="129" spans="1:68">
      <c r="A129" s="16" t="s">
        <v>33</v>
      </c>
      <c r="B129" s="123">
        <v>41065</v>
      </c>
      <c r="C129" s="107" t="s">
        <v>87</v>
      </c>
      <c r="D129" s="106">
        <v>1</v>
      </c>
      <c r="E129" s="107">
        <v>0</v>
      </c>
      <c r="F129" s="107">
        <v>1</v>
      </c>
      <c r="G129" s="107">
        <v>1</v>
      </c>
      <c r="H129" s="107">
        <v>2</v>
      </c>
      <c r="I129" s="107">
        <v>0</v>
      </c>
      <c r="J129" s="107">
        <v>1</v>
      </c>
      <c r="K129" s="108">
        <v>0</v>
      </c>
      <c r="L129" s="108">
        <v>1</v>
      </c>
      <c r="M129" s="109">
        <v>0</v>
      </c>
      <c r="N129" s="106">
        <v>0</v>
      </c>
      <c r="O129" s="107">
        <v>0</v>
      </c>
      <c r="P129" s="107">
        <v>0</v>
      </c>
      <c r="Q129" s="107">
        <v>0</v>
      </c>
      <c r="R129" s="107">
        <v>0</v>
      </c>
      <c r="S129" s="107">
        <v>0</v>
      </c>
      <c r="T129" s="107">
        <v>0</v>
      </c>
      <c r="U129" s="108">
        <v>0</v>
      </c>
      <c r="V129" s="108">
        <v>0</v>
      </c>
      <c r="W129" s="109">
        <v>0</v>
      </c>
      <c r="X129" s="106"/>
      <c r="Y129" s="107"/>
      <c r="Z129" s="107"/>
      <c r="AA129" s="107"/>
      <c r="AB129" s="110"/>
      <c r="AC129" s="111"/>
      <c r="AD129" s="106"/>
      <c r="AE129" s="107"/>
      <c r="AF129" s="107"/>
      <c r="AG129" s="107"/>
      <c r="AH129" s="110"/>
      <c r="AI129" s="111"/>
      <c r="AJ129" s="119">
        <f t="shared" si="9"/>
        <v>0.7</v>
      </c>
      <c r="AK129" s="55">
        <f t="shared" si="10"/>
        <v>0</v>
      </c>
      <c r="AL129" s="55"/>
      <c r="AM129" s="56"/>
      <c r="AN129" s="168"/>
      <c r="AO129" s="168"/>
      <c r="AP129" s="168"/>
      <c r="AQ129" s="168"/>
      <c r="AR129" s="168"/>
      <c r="AS129" s="168"/>
      <c r="AT129" s="168"/>
      <c r="AU129" s="168"/>
      <c r="AV129" s="168"/>
      <c r="AW129" s="168"/>
      <c r="AX129" s="337">
        <f t="shared" si="15"/>
        <v>157</v>
      </c>
      <c r="AY129" s="232"/>
      <c r="AZ129" s="235"/>
      <c r="BA129" s="232"/>
      <c r="BB129" s="232"/>
      <c r="BC129" s="233"/>
      <c r="BD129" s="168"/>
      <c r="BE129" s="168"/>
      <c r="BF129" s="168"/>
      <c r="BG129" s="168"/>
      <c r="BH129" s="168"/>
      <c r="BI129" s="168"/>
      <c r="BJ129" s="168"/>
      <c r="BK129" s="326">
        <v>144</v>
      </c>
      <c r="BL129" s="213">
        <v>40322</v>
      </c>
      <c r="BM129" s="336">
        <v>1.9</v>
      </c>
      <c r="BN129" s="326">
        <v>137</v>
      </c>
      <c r="BO129" s="213">
        <v>40680</v>
      </c>
      <c r="BP129" s="336">
        <v>0.9</v>
      </c>
    </row>
    <row r="130" spans="1:68">
      <c r="A130" s="16" t="s">
        <v>33</v>
      </c>
      <c r="B130" s="123">
        <v>41071</v>
      </c>
      <c r="C130" s="107" t="s">
        <v>87</v>
      </c>
      <c r="D130" s="106">
        <v>2</v>
      </c>
      <c r="E130" s="107">
        <v>1</v>
      </c>
      <c r="F130" s="107">
        <v>2</v>
      </c>
      <c r="G130" s="107">
        <v>2</v>
      </c>
      <c r="H130" s="107">
        <v>2</v>
      </c>
      <c r="I130" s="107">
        <v>1</v>
      </c>
      <c r="J130" s="107">
        <v>2</v>
      </c>
      <c r="K130" s="108">
        <v>0</v>
      </c>
      <c r="L130" s="108">
        <v>1</v>
      </c>
      <c r="M130" s="109">
        <v>0</v>
      </c>
      <c r="N130" s="106">
        <v>0</v>
      </c>
      <c r="O130" s="107">
        <v>0</v>
      </c>
      <c r="P130" s="107">
        <v>0</v>
      </c>
      <c r="Q130" s="107">
        <v>0</v>
      </c>
      <c r="R130" s="107">
        <v>0</v>
      </c>
      <c r="S130" s="107">
        <v>0</v>
      </c>
      <c r="T130" s="107">
        <v>0</v>
      </c>
      <c r="U130" s="108">
        <v>0</v>
      </c>
      <c r="V130" s="108">
        <v>0</v>
      </c>
      <c r="W130" s="109">
        <v>0</v>
      </c>
      <c r="X130" s="106"/>
      <c r="Y130" s="107"/>
      <c r="Z130" s="107"/>
      <c r="AA130" s="107"/>
      <c r="AB130" s="110"/>
      <c r="AC130" s="111"/>
      <c r="AD130" s="106"/>
      <c r="AE130" s="107"/>
      <c r="AF130" s="107"/>
      <c r="AG130" s="107"/>
      <c r="AH130" s="110"/>
      <c r="AI130" s="111"/>
      <c r="AJ130" s="119">
        <f t="shared" si="9"/>
        <v>1.3</v>
      </c>
      <c r="AK130" s="55">
        <f t="shared" si="10"/>
        <v>0</v>
      </c>
      <c r="AL130" s="55"/>
      <c r="AM130" s="56"/>
      <c r="AN130" s="168"/>
      <c r="AO130" s="168"/>
      <c r="AP130" s="168"/>
      <c r="AQ130" s="168"/>
      <c r="AR130" s="168"/>
      <c r="AS130" s="168"/>
      <c r="AT130" s="168"/>
      <c r="AU130" s="168"/>
      <c r="AV130" s="168"/>
      <c r="AW130" s="168"/>
      <c r="AX130" s="337">
        <f t="shared" si="15"/>
        <v>163</v>
      </c>
      <c r="AY130" s="232"/>
      <c r="AZ130" s="235"/>
      <c r="BA130" s="232"/>
      <c r="BB130" s="232"/>
      <c r="BC130" s="233"/>
      <c r="BD130" s="168"/>
      <c r="BE130" s="168"/>
      <c r="BF130" s="168"/>
      <c r="BG130" s="168"/>
      <c r="BH130" s="168"/>
      <c r="BI130" s="168"/>
      <c r="BJ130" s="168"/>
      <c r="BK130" s="326">
        <v>147</v>
      </c>
      <c r="BL130" s="213">
        <v>40325</v>
      </c>
      <c r="BM130" s="336">
        <v>2.4</v>
      </c>
      <c r="BN130" s="326">
        <v>140</v>
      </c>
      <c r="BO130" s="213">
        <v>40683</v>
      </c>
      <c r="BP130" s="336">
        <v>1</v>
      </c>
    </row>
    <row r="131" spans="1:68">
      <c r="A131" s="16" t="s">
        <v>33</v>
      </c>
      <c r="B131" s="123">
        <v>41078</v>
      </c>
      <c r="C131" s="107" t="s">
        <v>87</v>
      </c>
      <c r="D131" s="106">
        <v>3</v>
      </c>
      <c r="E131" s="107">
        <v>2</v>
      </c>
      <c r="F131" s="107">
        <v>4</v>
      </c>
      <c r="G131" s="107">
        <v>4</v>
      </c>
      <c r="H131" s="107">
        <v>4</v>
      </c>
      <c r="I131" s="107">
        <v>2</v>
      </c>
      <c r="J131" s="107">
        <v>3</v>
      </c>
      <c r="K131" s="108">
        <v>0</v>
      </c>
      <c r="L131" s="108">
        <v>3</v>
      </c>
      <c r="M131" s="109">
        <v>0</v>
      </c>
      <c r="N131" s="106">
        <v>1</v>
      </c>
      <c r="O131" s="107">
        <v>0</v>
      </c>
      <c r="P131" s="107">
        <v>2</v>
      </c>
      <c r="Q131" s="107">
        <v>2</v>
      </c>
      <c r="R131" s="107">
        <v>2</v>
      </c>
      <c r="S131" s="107">
        <v>0</v>
      </c>
      <c r="T131" s="107">
        <v>1</v>
      </c>
      <c r="U131" s="108">
        <v>0</v>
      </c>
      <c r="V131" s="108">
        <v>1</v>
      </c>
      <c r="W131" s="109">
        <v>0</v>
      </c>
      <c r="X131" s="106"/>
      <c r="Y131" s="107"/>
      <c r="Z131" s="107"/>
      <c r="AA131" s="107"/>
      <c r="AB131" s="110"/>
      <c r="AC131" s="111"/>
      <c r="AD131" s="106"/>
      <c r="AE131" s="107"/>
      <c r="AF131" s="107"/>
      <c r="AG131" s="107"/>
      <c r="AH131" s="110"/>
      <c r="AI131" s="111"/>
      <c r="AJ131" s="119">
        <f t="shared" si="9"/>
        <v>2.5</v>
      </c>
      <c r="AK131" s="55">
        <f t="shared" si="10"/>
        <v>0.9</v>
      </c>
      <c r="AL131" s="55"/>
      <c r="AM131" s="56"/>
      <c r="AN131" s="168"/>
      <c r="AO131" s="168"/>
      <c r="AP131" s="168"/>
      <c r="AQ131" s="168"/>
      <c r="AR131" s="168"/>
      <c r="AS131" s="168"/>
      <c r="AT131" s="168"/>
      <c r="AU131" s="168"/>
      <c r="AV131" s="168"/>
      <c r="AW131" s="168"/>
      <c r="AX131" s="337">
        <f t="shared" si="15"/>
        <v>170</v>
      </c>
      <c r="AY131" s="232"/>
      <c r="AZ131" s="235"/>
      <c r="BA131" s="232"/>
      <c r="BB131" s="232"/>
      <c r="BC131" s="233"/>
      <c r="BD131" s="168"/>
      <c r="BE131" s="168"/>
      <c r="BF131" s="168"/>
      <c r="BG131" s="168"/>
      <c r="BH131" s="168"/>
      <c r="BI131" s="168"/>
      <c r="BJ131" s="168"/>
      <c r="BK131" s="326">
        <v>152</v>
      </c>
      <c r="BL131" s="213">
        <v>40330</v>
      </c>
      <c r="BM131" s="336">
        <v>3.3</v>
      </c>
      <c r="BN131" s="326">
        <v>143</v>
      </c>
      <c r="BO131" s="213">
        <v>40686</v>
      </c>
      <c r="BP131" s="336">
        <v>1.9</v>
      </c>
    </row>
    <row r="132" spans="1:68">
      <c r="A132" s="16" t="s">
        <v>33</v>
      </c>
      <c r="B132" s="123">
        <v>41085</v>
      </c>
      <c r="C132" s="107" t="s">
        <v>88</v>
      </c>
      <c r="D132" s="106">
        <v>5</v>
      </c>
      <c r="E132" s="107">
        <v>3</v>
      </c>
      <c r="F132" s="107">
        <v>6</v>
      </c>
      <c r="G132" s="107">
        <v>6</v>
      </c>
      <c r="H132" s="107">
        <v>6</v>
      </c>
      <c r="I132" s="107">
        <v>3</v>
      </c>
      <c r="J132" s="107">
        <v>4</v>
      </c>
      <c r="K132" s="108">
        <v>0</v>
      </c>
      <c r="L132" s="108">
        <v>5</v>
      </c>
      <c r="M132" s="109">
        <v>0</v>
      </c>
      <c r="N132" s="106">
        <v>2</v>
      </c>
      <c r="O132" s="107">
        <v>1</v>
      </c>
      <c r="P132" s="107">
        <v>2</v>
      </c>
      <c r="Q132" s="107">
        <v>2</v>
      </c>
      <c r="R132" s="107">
        <v>2</v>
      </c>
      <c r="S132" s="107">
        <v>1</v>
      </c>
      <c r="T132" s="107">
        <v>2</v>
      </c>
      <c r="U132" s="108">
        <v>0</v>
      </c>
      <c r="V132" s="108">
        <v>2</v>
      </c>
      <c r="W132" s="109">
        <v>0</v>
      </c>
      <c r="X132" s="106"/>
      <c r="Y132" s="107"/>
      <c r="Z132" s="107"/>
      <c r="AA132" s="107"/>
      <c r="AB132" s="110"/>
      <c r="AC132" s="111"/>
      <c r="AD132" s="106"/>
      <c r="AE132" s="107"/>
      <c r="AF132" s="107"/>
      <c r="AG132" s="107"/>
      <c r="AH132" s="110"/>
      <c r="AI132" s="111"/>
      <c r="AJ132" s="119">
        <f t="shared" si="9"/>
        <v>3.8</v>
      </c>
      <c r="AK132" s="55">
        <f t="shared" si="10"/>
        <v>1.4</v>
      </c>
      <c r="AL132" s="55"/>
      <c r="AM132" s="56"/>
      <c r="AN132" s="168"/>
      <c r="AO132" s="168"/>
      <c r="AP132" s="168"/>
      <c r="AQ132" s="168"/>
      <c r="AR132" s="168"/>
      <c r="AS132" s="168"/>
      <c r="AT132" s="168"/>
      <c r="AU132" s="168"/>
      <c r="AV132" s="168"/>
      <c r="AW132" s="168"/>
      <c r="AX132" s="337">
        <f t="shared" si="15"/>
        <v>177</v>
      </c>
      <c r="AY132" s="232"/>
      <c r="AZ132" s="235"/>
      <c r="BA132" s="232"/>
      <c r="BB132" s="232"/>
      <c r="BC132" s="233"/>
      <c r="BD132" s="168"/>
      <c r="BE132" s="168"/>
      <c r="BF132" s="168"/>
      <c r="BG132" s="168"/>
      <c r="BH132" s="168"/>
      <c r="BI132" s="168"/>
      <c r="BJ132" s="168"/>
      <c r="BK132" s="326">
        <v>158</v>
      </c>
      <c r="BL132" s="213">
        <v>40336</v>
      </c>
      <c r="BM132" s="336">
        <v>4.3</v>
      </c>
      <c r="BN132" s="326">
        <v>146</v>
      </c>
      <c r="BO132" s="213">
        <v>40689</v>
      </c>
      <c r="BP132" s="336">
        <v>2</v>
      </c>
    </row>
    <row r="133" spans="1:68">
      <c r="A133" s="16" t="s">
        <v>33</v>
      </c>
      <c r="B133" s="123">
        <v>41089</v>
      </c>
      <c r="C133" s="107" t="s">
        <v>88</v>
      </c>
      <c r="D133" s="106">
        <v>6</v>
      </c>
      <c r="E133" s="107">
        <v>4</v>
      </c>
      <c r="F133" s="107">
        <v>6</v>
      </c>
      <c r="G133" s="107">
        <v>6</v>
      </c>
      <c r="H133" s="107">
        <v>7</v>
      </c>
      <c r="I133" s="107">
        <v>4</v>
      </c>
      <c r="J133" s="107">
        <v>5</v>
      </c>
      <c r="K133" s="108">
        <v>0</v>
      </c>
      <c r="L133" s="108">
        <v>6</v>
      </c>
      <c r="M133" s="109">
        <v>0</v>
      </c>
      <c r="N133" s="106">
        <v>2</v>
      </c>
      <c r="O133" s="107">
        <v>1</v>
      </c>
      <c r="P133" s="107">
        <v>2</v>
      </c>
      <c r="Q133" s="107">
        <v>2</v>
      </c>
      <c r="R133" s="107">
        <v>2</v>
      </c>
      <c r="S133" s="107">
        <v>2</v>
      </c>
      <c r="T133" s="107">
        <v>2</v>
      </c>
      <c r="U133" s="108">
        <v>0</v>
      </c>
      <c r="V133" s="108">
        <v>2</v>
      </c>
      <c r="W133" s="109">
        <v>0</v>
      </c>
      <c r="X133" s="106"/>
      <c r="Y133" s="107"/>
      <c r="Z133" s="107"/>
      <c r="AA133" s="107"/>
      <c r="AB133" s="110"/>
      <c r="AC133" s="111"/>
      <c r="AD133" s="106"/>
      <c r="AE133" s="107"/>
      <c r="AF133" s="107"/>
      <c r="AG133" s="107"/>
      <c r="AH133" s="110"/>
      <c r="AI133" s="111"/>
      <c r="AJ133" s="119">
        <f t="shared" si="9"/>
        <v>4.4000000000000004</v>
      </c>
      <c r="AK133" s="55">
        <f t="shared" si="10"/>
        <v>1.5</v>
      </c>
      <c r="AL133" s="55"/>
      <c r="AM133" s="56"/>
      <c r="AN133" s="168"/>
      <c r="AO133" s="168"/>
      <c r="AP133" s="168"/>
      <c r="AQ133" s="168"/>
      <c r="AR133" s="168"/>
      <c r="AS133" s="168"/>
      <c r="AT133" s="168"/>
      <c r="AU133" s="168"/>
      <c r="AV133" s="168"/>
      <c r="AW133" s="168"/>
      <c r="AX133" s="337">
        <f t="shared" si="15"/>
        <v>181</v>
      </c>
      <c r="AY133" s="232"/>
      <c r="AZ133" s="235"/>
      <c r="BA133" s="232"/>
      <c r="BB133" s="232"/>
      <c r="BC133" s="233"/>
      <c r="BD133" s="168"/>
      <c r="BE133" s="168"/>
      <c r="BF133" s="168"/>
      <c r="BG133" s="168"/>
      <c r="BH133" s="168"/>
      <c r="BI133" s="168"/>
      <c r="BJ133" s="168"/>
      <c r="BK133" s="326">
        <v>166</v>
      </c>
      <c r="BL133" s="213">
        <v>40344</v>
      </c>
      <c r="BM133" s="336">
        <v>5.3</v>
      </c>
      <c r="BN133" s="326">
        <v>150</v>
      </c>
      <c r="BO133" s="213">
        <v>40693</v>
      </c>
      <c r="BP133" s="336">
        <v>2.5</v>
      </c>
    </row>
    <row r="134" spans="1:68">
      <c r="A134" s="16" t="s">
        <v>33</v>
      </c>
      <c r="B134" s="123">
        <v>41100</v>
      </c>
      <c r="C134" s="107" t="s">
        <v>89</v>
      </c>
      <c r="D134" s="106">
        <v>8</v>
      </c>
      <c r="E134" s="107">
        <v>5</v>
      </c>
      <c r="F134" s="107">
        <v>8</v>
      </c>
      <c r="G134" s="107">
        <v>8</v>
      </c>
      <c r="H134" s="107">
        <v>8</v>
      </c>
      <c r="I134" s="107">
        <v>8</v>
      </c>
      <c r="J134" s="107">
        <v>8</v>
      </c>
      <c r="K134" s="108">
        <v>0</v>
      </c>
      <c r="L134" s="108">
        <v>8</v>
      </c>
      <c r="M134" s="109">
        <v>3</v>
      </c>
      <c r="N134" s="106">
        <v>3</v>
      </c>
      <c r="O134" s="107">
        <v>2</v>
      </c>
      <c r="P134" s="107">
        <v>3</v>
      </c>
      <c r="Q134" s="107">
        <v>3</v>
      </c>
      <c r="R134" s="107">
        <v>3</v>
      </c>
      <c r="S134" s="107">
        <v>3</v>
      </c>
      <c r="T134" s="107">
        <v>3</v>
      </c>
      <c r="U134" s="108">
        <v>0</v>
      </c>
      <c r="V134" s="108">
        <v>3</v>
      </c>
      <c r="W134" s="109">
        <v>1</v>
      </c>
      <c r="X134" s="106"/>
      <c r="Y134" s="107"/>
      <c r="Z134" s="107"/>
      <c r="AA134" s="107"/>
      <c r="AB134" s="110"/>
      <c r="AC134" s="111"/>
      <c r="AD134" s="106"/>
      <c r="AE134" s="107"/>
      <c r="AF134" s="107"/>
      <c r="AG134" s="107"/>
      <c r="AH134" s="110"/>
      <c r="AI134" s="111"/>
      <c r="AJ134" s="119">
        <f t="shared" ref="AJ134:AJ154" si="16">IF(COUNT(D134:M134)=0,"",AVERAGE(D134:M134))</f>
        <v>6.4</v>
      </c>
      <c r="AK134" s="55">
        <f t="shared" ref="AK134:AK154" si="17">IF(COUNT(N134:W134)=0,"",AVERAGE(N134:W134))</f>
        <v>2.4</v>
      </c>
      <c r="AL134" s="55"/>
      <c r="AM134" s="56"/>
      <c r="AN134" s="168"/>
      <c r="AO134" s="168"/>
      <c r="AP134" s="168"/>
      <c r="AQ134" s="168"/>
      <c r="AR134" s="168"/>
      <c r="AS134" s="168"/>
      <c r="AT134" s="168"/>
      <c r="AU134" s="168"/>
      <c r="AV134" s="168"/>
      <c r="AW134" s="168"/>
      <c r="AX134" s="337">
        <f t="shared" si="15"/>
        <v>192</v>
      </c>
      <c r="AY134" s="232"/>
      <c r="AZ134" s="235"/>
      <c r="BA134" s="232"/>
      <c r="BB134" s="232"/>
      <c r="BC134" s="233"/>
      <c r="BD134" s="168"/>
      <c r="BE134" s="168"/>
      <c r="BF134" s="168"/>
      <c r="BG134" s="168"/>
      <c r="BH134" s="168"/>
      <c r="BI134" s="168"/>
      <c r="BJ134" s="168"/>
      <c r="BK134" s="326">
        <v>173</v>
      </c>
      <c r="BL134" s="213">
        <v>40351</v>
      </c>
      <c r="BM134" s="336">
        <v>6.3</v>
      </c>
      <c r="BN134" s="326">
        <v>154</v>
      </c>
      <c r="BO134" s="213">
        <v>40697</v>
      </c>
      <c r="BP134" s="336">
        <v>3.5</v>
      </c>
    </row>
    <row r="135" spans="1:68">
      <c r="A135" s="16" t="s">
        <v>33</v>
      </c>
      <c r="B135" s="123">
        <v>41106</v>
      </c>
      <c r="C135" s="107" t="s">
        <v>89</v>
      </c>
      <c r="D135" s="106">
        <v>8</v>
      </c>
      <c r="E135" s="107">
        <v>8</v>
      </c>
      <c r="F135" s="107">
        <v>8</v>
      </c>
      <c r="G135" s="107">
        <v>8</v>
      </c>
      <c r="H135" s="107">
        <v>8</v>
      </c>
      <c r="I135" s="107">
        <v>8</v>
      </c>
      <c r="J135" s="107">
        <v>8</v>
      </c>
      <c r="K135" s="108">
        <v>0</v>
      </c>
      <c r="L135" s="108">
        <v>8</v>
      </c>
      <c r="M135" s="109">
        <v>3</v>
      </c>
      <c r="N135" s="106">
        <v>3</v>
      </c>
      <c r="O135" s="107">
        <v>3</v>
      </c>
      <c r="P135" s="107">
        <v>3</v>
      </c>
      <c r="Q135" s="107">
        <v>3</v>
      </c>
      <c r="R135" s="107">
        <v>3</v>
      </c>
      <c r="S135" s="107">
        <v>3</v>
      </c>
      <c r="T135" s="107">
        <v>3</v>
      </c>
      <c r="U135" s="108">
        <v>0</v>
      </c>
      <c r="V135" s="108">
        <v>3</v>
      </c>
      <c r="W135" s="109">
        <v>1</v>
      </c>
      <c r="X135" s="106"/>
      <c r="Y135" s="107"/>
      <c r="Z135" s="107"/>
      <c r="AA135" s="107"/>
      <c r="AB135" s="110"/>
      <c r="AC135" s="111"/>
      <c r="AD135" s="106"/>
      <c r="AE135" s="107"/>
      <c r="AF135" s="107"/>
      <c r="AG135" s="107"/>
      <c r="AH135" s="110"/>
      <c r="AI135" s="111"/>
      <c r="AJ135" s="119">
        <f t="shared" si="16"/>
        <v>6.7</v>
      </c>
      <c r="AK135" s="55">
        <f t="shared" si="17"/>
        <v>2.5</v>
      </c>
      <c r="AL135" s="55"/>
      <c r="AM135" s="56"/>
      <c r="AN135" s="168"/>
      <c r="AO135" s="168"/>
      <c r="AP135" s="168"/>
      <c r="AQ135" s="168"/>
      <c r="AR135" s="168"/>
      <c r="AS135" s="168"/>
      <c r="AT135" s="168"/>
      <c r="AU135" s="168"/>
      <c r="AV135" s="168"/>
      <c r="AW135" s="168"/>
      <c r="AX135" s="337">
        <f t="shared" si="15"/>
        <v>198</v>
      </c>
      <c r="AY135" s="232"/>
      <c r="AZ135" s="235"/>
      <c r="BA135" s="232"/>
      <c r="BB135" s="232"/>
      <c r="BC135" s="233"/>
      <c r="BD135" s="168"/>
      <c r="BE135" s="168"/>
      <c r="BF135" s="168"/>
      <c r="BG135" s="168"/>
      <c r="BH135" s="168"/>
      <c r="BI135" s="168"/>
      <c r="BJ135" s="168"/>
      <c r="BK135" s="326">
        <v>180</v>
      </c>
      <c r="BL135" s="213">
        <v>40358</v>
      </c>
      <c r="BM135" s="336">
        <v>7.1</v>
      </c>
      <c r="BN135" s="326">
        <v>159</v>
      </c>
      <c r="BO135" s="213">
        <v>40702</v>
      </c>
      <c r="BP135" s="336">
        <v>4.8</v>
      </c>
    </row>
    <row r="136" spans="1:68">
      <c r="A136" s="16" t="s">
        <v>33</v>
      </c>
      <c r="B136" s="123">
        <v>41113</v>
      </c>
      <c r="C136" s="107" t="s">
        <v>89</v>
      </c>
      <c r="D136" s="106">
        <v>8</v>
      </c>
      <c r="E136" s="107">
        <v>8</v>
      </c>
      <c r="F136" s="107">
        <v>8</v>
      </c>
      <c r="G136" s="107">
        <v>8</v>
      </c>
      <c r="H136" s="107">
        <v>8</v>
      </c>
      <c r="I136" s="107">
        <v>8</v>
      </c>
      <c r="J136" s="107">
        <v>8</v>
      </c>
      <c r="K136" s="108">
        <v>0</v>
      </c>
      <c r="L136" s="108">
        <v>8</v>
      </c>
      <c r="M136" s="109">
        <v>8</v>
      </c>
      <c r="N136" s="106">
        <v>3</v>
      </c>
      <c r="O136" s="107">
        <v>3</v>
      </c>
      <c r="P136" s="107">
        <v>3</v>
      </c>
      <c r="Q136" s="107">
        <v>3</v>
      </c>
      <c r="R136" s="107">
        <v>3</v>
      </c>
      <c r="S136" s="107">
        <v>3</v>
      </c>
      <c r="T136" s="107">
        <v>3</v>
      </c>
      <c r="U136" s="108">
        <v>0</v>
      </c>
      <c r="V136" s="108">
        <v>3</v>
      </c>
      <c r="W136" s="109">
        <v>3</v>
      </c>
      <c r="X136" s="106"/>
      <c r="Y136" s="107"/>
      <c r="Z136" s="107"/>
      <c r="AA136" s="107"/>
      <c r="AB136" s="110"/>
      <c r="AC136" s="111"/>
      <c r="AD136" s="106"/>
      <c r="AE136" s="107"/>
      <c r="AF136" s="107"/>
      <c r="AG136" s="107"/>
      <c r="AH136" s="110"/>
      <c r="AI136" s="111"/>
      <c r="AJ136" s="119">
        <f t="shared" si="16"/>
        <v>7.2</v>
      </c>
      <c r="AK136" s="55">
        <f t="shared" si="17"/>
        <v>2.7</v>
      </c>
      <c r="AL136" s="55"/>
      <c r="AM136" s="56"/>
      <c r="AN136" s="168"/>
      <c r="AO136" s="168"/>
      <c r="AP136" s="168"/>
      <c r="AQ136" s="168"/>
      <c r="AR136" s="168"/>
      <c r="AS136" s="168"/>
      <c r="AT136" s="168"/>
      <c r="AU136" s="168"/>
      <c r="AV136" s="168"/>
      <c r="AW136" s="168"/>
      <c r="AX136" s="337">
        <f t="shared" si="15"/>
        <v>205</v>
      </c>
      <c r="AY136" s="232"/>
      <c r="AZ136" s="235"/>
      <c r="BA136" s="232"/>
      <c r="BB136" s="232"/>
      <c r="BC136" s="233"/>
      <c r="BD136" s="168"/>
      <c r="BE136" s="168"/>
      <c r="BF136" s="168"/>
      <c r="BG136" s="168"/>
      <c r="BH136" s="168"/>
      <c r="BI136" s="168"/>
      <c r="BJ136" s="168"/>
      <c r="BK136" s="326">
        <v>187</v>
      </c>
      <c r="BL136" s="213">
        <v>40365</v>
      </c>
      <c r="BM136" s="336">
        <v>7.8</v>
      </c>
      <c r="BN136" s="326">
        <v>164</v>
      </c>
      <c r="BO136" s="213">
        <v>40707</v>
      </c>
      <c r="BP136" s="336">
        <v>5.8</v>
      </c>
    </row>
    <row r="137" spans="1:68">
      <c r="A137" s="16" t="s">
        <v>33</v>
      </c>
      <c r="B137" s="123"/>
      <c r="C137" s="107"/>
      <c r="D137" s="106"/>
      <c r="E137" s="107"/>
      <c r="F137" s="107"/>
      <c r="G137" s="107"/>
      <c r="H137" s="107"/>
      <c r="I137" s="107"/>
      <c r="J137" s="107"/>
      <c r="K137" s="108"/>
      <c r="L137" s="108"/>
      <c r="M137" s="109"/>
      <c r="N137" s="106"/>
      <c r="O137" s="107"/>
      <c r="P137" s="107"/>
      <c r="Q137" s="107"/>
      <c r="R137" s="107"/>
      <c r="S137" s="107"/>
      <c r="T137" s="107"/>
      <c r="U137" s="108"/>
      <c r="V137" s="108"/>
      <c r="W137" s="109"/>
      <c r="X137" s="106"/>
      <c r="Y137" s="107"/>
      <c r="Z137" s="107"/>
      <c r="AA137" s="107"/>
      <c r="AB137" s="110"/>
      <c r="AC137" s="111"/>
      <c r="AD137" s="106"/>
      <c r="AE137" s="107"/>
      <c r="AF137" s="107"/>
      <c r="AG137" s="107"/>
      <c r="AH137" s="110"/>
      <c r="AI137" s="111"/>
      <c r="AJ137" s="119" t="str">
        <f t="shared" si="16"/>
        <v/>
      </c>
      <c r="AK137" s="55" t="str">
        <f t="shared" si="17"/>
        <v/>
      </c>
      <c r="AL137" s="55"/>
      <c r="AM137" s="56"/>
      <c r="AN137" s="168"/>
      <c r="AO137" s="168"/>
      <c r="AP137" s="168"/>
      <c r="AQ137" s="168"/>
      <c r="AR137" s="168"/>
      <c r="AS137" s="168"/>
      <c r="AT137" s="168"/>
      <c r="AU137" s="168"/>
      <c r="AV137" s="168"/>
      <c r="AW137" s="168"/>
      <c r="AX137" s="337">
        <f t="shared" si="15"/>
        <v>205</v>
      </c>
      <c r="AY137" s="232"/>
      <c r="AZ137" s="235"/>
      <c r="BA137" s="232"/>
      <c r="BB137" s="232"/>
      <c r="BC137" s="233"/>
      <c r="BD137" s="168"/>
      <c r="BE137" s="168"/>
      <c r="BF137" s="168"/>
      <c r="BG137" s="168"/>
      <c r="BH137" s="168"/>
      <c r="BI137" s="168"/>
      <c r="BJ137" s="168"/>
      <c r="BK137" s="326">
        <v>194</v>
      </c>
      <c r="BL137" s="213">
        <v>40372</v>
      </c>
      <c r="BM137" s="336">
        <v>8</v>
      </c>
      <c r="BN137" s="326">
        <v>173</v>
      </c>
      <c r="BO137" s="213">
        <v>40716</v>
      </c>
      <c r="BP137" s="336">
        <v>6.8</v>
      </c>
    </row>
    <row r="138" spans="1:68">
      <c r="A138" s="16" t="s">
        <v>33</v>
      </c>
      <c r="B138" s="123"/>
      <c r="C138" s="107"/>
      <c r="D138" s="106"/>
      <c r="E138" s="107"/>
      <c r="F138" s="107"/>
      <c r="G138" s="107"/>
      <c r="H138" s="107"/>
      <c r="I138" s="107"/>
      <c r="J138" s="107"/>
      <c r="K138" s="108"/>
      <c r="L138" s="108"/>
      <c r="M138" s="109"/>
      <c r="N138" s="106"/>
      <c r="O138" s="107"/>
      <c r="P138" s="107"/>
      <c r="Q138" s="107"/>
      <c r="R138" s="107"/>
      <c r="S138" s="107"/>
      <c r="T138" s="107"/>
      <c r="U138" s="108"/>
      <c r="V138" s="108"/>
      <c r="W138" s="109"/>
      <c r="X138" s="106"/>
      <c r="Y138" s="107"/>
      <c r="Z138" s="107"/>
      <c r="AA138" s="107"/>
      <c r="AB138" s="110"/>
      <c r="AC138" s="111"/>
      <c r="AD138" s="106"/>
      <c r="AE138" s="107"/>
      <c r="AF138" s="107"/>
      <c r="AG138" s="107"/>
      <c r="AH138" s="110"/>
      <c r="AI138" s="111"/>
      <c r="AJ138" s="119" t="str">
        <f t="shared" si="16"/>
        <v/>
      </c>
      <c r="AK138" s="55" t="str">
        <f t="shared" si="17"/>
        <v/>
      </c>
      <c r="AL138" s="55"/>
      <c r="AM138" s="56"/>
      <c r="AN138" s="168"/>
      <c r="AO138" s="168"/>
      <c r="AP138" s="168"/>
      <c r="AQ138" s="168"/>
      <c r="AR138" s="168"/>
      <c r="AS138" s="168"/>
      <c r="AT138" s="168"/>
      <c r="AU138" s="168"/>
      <c r="AV138" s="168"/>
      <c r="AW138" s="168"/>
      <c r="AX138" s="337">
        <f t="shared" si="15"/>
        <v>205</v>
      </c>
      <c r="AY138" s="232"/>
      <c r="AZ138" s="235"/>
      <c r="BA138" s="232"/>
      <c r="BB138" s="232"/>
      <c r="BC138" s="233"/>
      <c r="BD138" s="168"/>
      <c r="BE138" s="168"/>
      <c r="BF138" s="168"/>
      <c r="BG138" s="168"/>
      <c r="BH138" s="168"/>
      <c r="BI138" s="168"/>
      <c r="BJ138" s="168"/>
      <c r="BK138" s="326"/>
      <c r="BL138" s="213"/>
      <c r="BM138" s="336" t="s">
        <v>59</v>
      </c>
      <c r="BN138" s="326">
        <v>180</v>
      </c>
      <c r="BO138" s="213">
        <v>40723</v>
      </c>
      <c r="BP138" s="336">
        <v>7.7</v>
      </c>
    </row>
    <row r="139" spans="1:68">
      <c r="A139" s="16" t="s">
        <v>33</v>
      </c>
      <c r="B139" s="123"/>
      <c r="C139" s="107"/>
      <c r="D139" s="106"/>
      <c r="E139" s="107"/>
      <c r="F139" s="107"/>
      <c r="G139" s="107"/>
      <c r="H139" s="107"/>
      <c r="I139" s="107"/>
      <c r="J139" s="107"/>
      <c r="K139" s="108"/>
      <c r="L139" s="108"/>
      <c r="M139" s="109"/>
      <c r="N139" s="106"/>
      <c r="O139" s="107"/>
      <c r="P139" s="107"/>
      <c r="Q139" s="107"/>
      <c r="R139" s="107"/>
      <c r="S139" s="107"/>
      <c r="T139" s="107"/>
      <c r="U139" s="108"/>
      <c r="V139" s="108"/>
      <c r="W139" s="109"/>
      <c r="X139" s="106"/>
      <c r="Y139" s="107"/>
      <c r="Z139" s="107"/>
      <c r="AA139" s="107"/>
      <c r="AB139" s="110"/>
      <c r="AC139" s="111"/>
      <c r="AD139" s="106"/>
      <c r="AE139" s="107"/>
      <c r="AF139" s="107"/>
      <c r="AG139" s="107"/>
      <c r="AH139" s="110"/>
      <c r="AI139" s="111"/>
      <c r="AJ139" s="119" t="str">
        <f t="shared" si="16"/>
        <v/>
      </c>
      <c r="AK139" s="55" t="str">
        <f t="shared" si="17"/>
        <v/>
      </c>
      <c r="AL139" s="55" t="str">
        <f t="shared" ref="AL139:AL154" si="18">IF(COUNT(X139:AB139)=0,"",AVERAGE(X139:AB139))</f>
        <v/>
      </c>
      <c r="AM139" s="56" t="str">
        <f t="shared" ref="AM139:AM154" si="19">IF(COUNT(AD139:AH139)=0,"",AVERAGE(AD139:AH139))</f>
        <v/>
      </c>
      <c r="AN139" s="168"/>
      <c r="AO139" s="168"/>
      <c r="AP139" s="168"/>
      <c r="AQ139" s="168"/>
      <c r="AR139" s="168"/>
      <c r="AS139" s="168"/>
      <c r="AT139" s="168"/>
      <c r="AU139" s="168"/>
      <c r="AV139" s="168"/>
      <c r="AW139" s="168"/>
      <c r="AX139" s="337">
        <f t="shared" si="15"/>
        <v>205</v>
      </c>
      <c r="AY139" s="232"/>
      <c r="AZ139" s="235"/>
      <c r="BA139" s="232"/>
      <c r="BB139" s="232"/>
      <c r="BC139" s="233"/>
      <c r="BD139" s="168"/>
      <c r="BE139" s="168"/>
      <c r="BF139" s="168"/>
      <c r="BG139" s="168"/>
      <c r="BH139" s="168"/>
      <c r="BI139" s="168"/>
      <c r="BJ139" s="168"/>
      <c r="BK139" s="326"/>
      <c r="BL139" s="213"/>
      <c r="BM139" s="336" t="s">
        <v>59</v>
      </c>
      <c r="BN139" s="326">
        <v>188</v>
      </c>
      <c r="BO139" s="213">
        <v>40731</v>
      </c>
      <c r="BP139" s="336">
        <v>7.9</v>
      </c>
    </row>
    <row r="140" spans="1:68">
      <c r="A140" s="16" t="s">
        <v>33</v>
      </c>
      <c r="B140" s="123"/>
      <c r="C140" s="107"/>
      <c r="D140" s="106"/>
      <c r="E140" s="107"/>
      <c r="F140" s="107"/>
      <c r="G140" s="107"/>
      <c r="H140" s="107"/>
      <c r="I140" s="107"/>
      <c r="J140" s="107"/>
      <c r="K140" s="108"/>
      <c r="L140" s="108"/>
      <c r="M140" s="109"/>
      <c r="N140" s="106"/>
      <c r="O140" s="107"/>
      <c r="P140" s="107"/>
      <c r="Q140" s="107"/>
      <c r="R140" s="107"/>
      <c r="S140" s="107"/>
      <c r="T140" s="107"/>
      <c r="U140" s="108"/>
      <c r="V140" s="108"/>
      <c r="W140" s="109"/>
      <c r="X140" s="106"/>
      <c r="Y140" s="107"/>
      <c r="Z140" s="107"/>
      <c r="AA140" s="107"/>
      <c r="AB140" s="110"/>
      <c r="AC140" s="111"/>
      <c r="AD140" s="106"/>
      <c r="AE140" s="107"/>
      <c r="AF140" s="107"/>
      <c r="AG140" s="107"/>
      <c r="AH140" s="110"/>
      <c r="AI140" s="111"/>
      <c r="AJ140" s="119" t="str">
        <f t="shared" si="16"/>
        <v/>
      </c>
      <c r="AK140" s="55" t="str">
        <f t="shared" si="17"/>
        <v/>
      </c>
      <c r="AL140" s="55" t="str">
        <f t="shared" si="18"/>
        <v/>
      </c>
      <c r="AM140" s="56" t="str">
        <f t="shared" si="19"/>
        <v/>
      </c>
      <c r="AN140" s="168"/>
      <c r="AO140" s="168"/>
      <c r="AP140" s="168"/>
      <c r="AQ140" s="168"/>
      <c r="AR140" s="168"/>
      <c r="AS140" s="168"/>
      <c r="AT140" s="168"/>
      <c r="AU140" s="168"/>
      <c r="AV140" s="168"/>
      <c r="AW140" s="168"/>
      <c r="AX140" s="337">
        <f t="shared" si="15"/>
        <v>205</v>
      </c>
      <c r="AY140" s="232"/>
      <c r="AZ140" s="235"/>
      <c r="BA140" s="232"/>
      <c r="BB140" s="232"/>
      <c r="BC140" s="233"/>
      <c r="BD140" s="168"/>
      <c r="BE140" s="168"/>
      <c r="BF140" s="168"/>
      <c r="BG140" s="168"/>
      <c r="BH140" s="168"/>
      <c r="BI140" s="168"/>
      <c r="BJ140" s="168"/>
      <c r="BK140" s="326"/>
      <c r="BL140" s="213"/>
      <c r="BM140" s="336" t="s">
        <v>59</v>
      </c>
      <c r="BN140" s="326">
        <v>194</v>
      </c>
      <c r="BO140" s="213">
        <v>40737</v>
      </c>
      <c r="BP140" s="336">
        <v>8</v>
      </c>
    </row>
    <row r="141" spans="1:68">
      <c r="A141" s="16" t="s">
        <v>33</v>
      </c>
      <c r="B141" s="123"/>
      <c r="C141" s="107"/>
      <c r="D141" s="106"/>
      <c r="E141" s="107"/>
      <c r="F141" s="107"/>
      <c r="G141" s="107"/>
      <c r="H141" s="107"/>
      <c r="I141" s="107"/>
      <c r="J141" s="107"/>
      <c r="K141" s="108"/>
      <c r="L141" s="108"/>
      <c r="M141" s="109"/>
      <c r="N141" s="106"/>
      <c r="O141" s="107"/>
      <c r="P141" s="107"/>
      <c r="Q141" s="107"/>
      <c r="R141" s="107"/>
      <c r="S141" s="107"/>
      <c r="T141" s="107"/>
      <c r="U141" s="108"/>
      <c r="V141" s="108"/>
      <c r="W141" s="109"/>
      <c r="X141" s="106"/>
      <c r="Y141" s="107"/>
      <c r="Z141" s="107"/>
      <c r="AA141" s="107"/>
      <c r="AB141" s="110"/>
      <c r="AC141" s="111"/>
      <c r="AD141" s="106"/>
      <c r="AE141" s="107"/>
      <c r="AF141" s="107"/>
      <c r="AG141" s="107"/>
      <c r="AH141" s="110"/>
      <c r="AI141" s="111"/>
      <c r="AJ141" s="119" t="str">
        <f t="shared" si="16"/>
        <v/>
      </c>
      <c r="AK141" s="55" t="str">
        <f t="shared" si="17"/>
        <v/>
      </c>
      <c r="AL141" s="55" t="str">
        <f t="shared" si="18"/>
        <v/>
      </c>
      <c r="AM141" s="56" t="str">
        <f t="shared" si="19"/>
        <v/>
      </c>
      <c r="AN141" s="168"/>
      <c r="AO141" s="168"/>
      <c r="AP141" s="168"/>
      <c r="AQ141" s="168"/>
      <c r="AR141" s="168"/>
      <c r="AS141" s="168"/>
      <c r="AT141" s="168"/>
      <c r="AU141" s="168"/>
      <c r="AV141" s="168"/>
      <c r="AW141" s="168"/>
      <c r="AX141" s="337">
        <f t="shared" si="15"/>
        <v>205</v>
      </c>
      <c r="AY141" s="232"/>
      <c r="AZ141" s="235"/>
      <c r="BA141" s="232"/>
      <c r="BB141" s="232"/>
      <c r="BC141" s="233"/>
      <c r="BD141" s="168"/>
      <c r="BE141" s="168"/>
      <c r="BF141" s="168"/>
      <c r="BG141" s="168"/>
      <c r="BH141" s="168"/>
      <c r="BI141" s="168"/>
      <c r="BJ141" s="168"/>
      <c r="BK141" s="326"/>
      <c r="BL141" s="213"/>
      <c r="BM141" s="336" t="s">
        <v>59</v>
      </c>
      <c r="BN141" s="326">
        <v>214</v>
      </c>
      <c r="BO141" s="213">
        <v>40757</v>
      </c>
      <c r="BP141" s="336" t="s">
        <v>59</v>
      </c>
    </row>
    <row r="142" spans="1:68">
      <c r="A142" s="16" t="s">
        <v>33</v>
      </c>
      <c r="B142" s="123"/>
      <c r="C142" s="107"/>
      <c r="D142" s="106"/>
      <c r="E142" s="107"/>
      <c r="F142" s="107"/>
      <c r="G142" s="107"/>
      <c r="H142" s="107"/>
      <c r="I142" s="107"/>
      <c r="J142" s="107"/>
      <c r="K142" s="108"/>
      <c r="L142" s="108"/>
      <c r="M142" s="109"/>
      <c r="N142" s="106"/>
      <c r="O142" s="107"/>
      <c r="P142" s="107"/>
      <c r="Q142" s="107"/>
      <c r="R142" s="107"/>
      <c r="S142" s="107"/>
      <c r="T142" s="107"/>
      <c r="U142" s="108"/>
      <c r="V142" s="108"/>
      <c r="W142" s="109"/>
      <c r="X142" s="106"/>
      <c r="Y142" s="107"/>
      <c r="Z142" s="107"/>
      <c r="AA142" s="107"/>
      <c r="AB142" s="110"/>
      <c r="AC142" s="111"/>
      <c r="AD142" s="106"/>
      <c r="AE142" s="107"/>
      <c r="AF142" s="107"/>
      <c r="AG142" s="107"/>
      <c r="AH142" s="110"/>
      <c r="AI142" s="111"/>
      <c r="AJ142" s="119" t="str">
        <f t="shared" si="16"/>
        <v/>
      </c>
      <c r="AK142" s="55" t="str">
        <f t="shared" si="17"/>
        <v/>
      </c>
      <c r="AL142" s="55" t="str">
        <f t="shared" si="18"/>
        <v/>
      </c>
      <c r="AM142" s="56" t="str">
        <f t="shared" si="19"/>
        <v/>
      </c>
      <c r="AN142" s="168"/>
      <c r="AO142" s="168"/>
      <c r="AP142" s="168"/>
      <c r="AQ142" s="168"/>
      <c r="AR142" s="168"/>
      <c r="AS142" s="168"/>
      <c r="AT142" s="168"/>
      <c r="AU142" s="168"/>
      <c r="AV142" s="168"/>
      <c r="AW142" s="168"/>
      <c r="AX142" s="337">
        <f t="shared" si="15"/>
        <v>205</v>
      </c>
      <c r="AY142" s="232"/>
      <c r="AZ142" s="235"/>
      <c r="BA142" s="232"/>
      <c r="BB142" s="232"/>
      <c r="BC142" s="233"/>
      <c r="BD142" s="168"/>
      <c r="BE142" s="168"/>
      <c r="BF142" s="168"/>
      <c r="BG142" s="168"/>
      <c r="BH142" s="168"/>
      <c r="BI142" s="168"/>
      <c r="BJ142" s="168"/>
      <c r="BK142" s="326"/>
      <c r="BL142" s="213"/>
      <c r="BM142" s="336" t="s">
        <v>59</v>
      </c>
      <c r="BN142" s="326"/>
      <c r="BO142" s="213"/>
      <c r="BP142" s="336" t="s">
        <v>59</v>
      </c>
    </row>
    <row r="143" spans="1:68">
      <c r="A143" s="16" t="s">
        <v>33</v>
      </c>
      <c r="B143" s="123"/>
      <c r="C143" s="107"/>
      <c r="D143" s="106"/>
      <c r="E143" s="107"/>
      <c r="F143" s="107"/>
      <c r="G143" s="107"/>
      <c r="H143" s="107"/>
      <c r="I143" s="107"/>
      <c r="J143" s="107"/>
      <c r="K143" s="108"/>
      <c r="L143" s="108"/>
      <c r="M143" s="109"/>
      <c r="N143" s="106"/>
      <c r="O143" s="107"/>
      <c r="P143" s="107"/>
      <c r="Q143" s="107"/>
      <c r="R143" s="107"/>
      <c r="S143" s="107"/>
      <c r="T143" s="107"/>
      <c r="U143" s="108"/>
      <c r="V143" s="108"/>
      <c r="W143" s="109"/>
      <c r="X143" s="106"/>
      <c r="Y143" s="107"/>
      <c r="Z143" s="107"/>
      <c r="AA143" s="107"/>
      <c r="AB143" s="110"/>
      <c r="AC143" s="111"/>
      <c r="AD143" s="106"/>
      <c r="AE143" s="107"/>
      <c r="AF143" s="107"/>
      <c r="AG143" s="107"/>
      <c r="AH143" s="110"/>
      <c r="AI143" s="111"/>
      <c r="AJ143" s="119" t="str">
        <f t="shared" si="16"/>
        <v/>
      </c>
      <c r="AK143" s="55" t="str">
        <f t="shared" si="17"/>
        <v/>
      </c>
      <c r="AL143" s="55" t="str">
        <f t="shared" si="18"/>
        <v/>
      </c>
      <c r="AM143" s="56" t="str">
        <f t="shared" si="19"/>
        <v/>
      </c>
      <c r="AN143" s="168"/>
      <c r="AO143" s="168"/>
      <c r="AP143" s="168"/>
      <c r="AQ143" s="168"/>
      <c r="AR143" s="168"/>
      <c r="AS143" s="168"/>
      <c r="AT143" s="168"/>
      <c r="AU143" s="168"/>
      <c r="AV143" s="168"/>
      <c r="AW143" s="168"/>
      <c r="AX143" s="337">
        <f t="shared" si="15"/>
        <v>205</v>
      </c>
      <c r="AY143" s="232"/>
      <c r="AZ143" s="235"/>
      <c r="BA143" s="232"/>
      <c r="BB143" s="232"/>
      <c r="BC143" s="233"/>
      <c r="BD143" s="168"/>
      <c r="BE143" s="168"/>
      <c r="BF143" s="168"/>
      <c r="BG143" s="168"/>
      <c r="BH143" s="168"/>
      <c r="BI143" s="168"/>
      <c r="BJ143" s="168"/>
      <c r="BK143" s="326"/>
      <c r="BL143" s="213"/>
      <c r="BM143" s="336" t="s">
        <v>59</v>
      </c>
      <c r="BN143" s="326"/>
      <c r="BO143" s="213"/>
      <c r="BP143" s="336" t="s">
        <v>59</v>
      </c>
    </row>
    <row r="144" spans="1:68">
      <c r="A144" s="16" t="s">
        <v>33</v>
      </c>
      <c r="B144" s="123"/>
      <c r="C144" s="107"/>
      <c r="D144" s="106"/>
      <c r="E144" s="107"/>
      <c r="F144" s="107"/>
      <c r="G144" s="107"/>
      <c r="H144" s="107"/>
      <c r="I144" s="107"/>
      <c r="J144" s="107"/>
      <c r="K144" s="108"/>
      <c r="L144" s="108"/>
      <c r="M144" s="109"/>
      <c r="N144" s="106"/>
      <c r="O144" s="107"/>
      <c r="P144" s="107"/>
      <c r="Q144" s="107"/>
      <c r="R144" s="107"/>
      <c r="S144" s="107"/>
      <c r="T144" s="107"/>
      <c r="U144" s="108"/>
      <c r="V144" s="108"/>
      <c r="W144" s="109"/>
      <c r="X144" s="106"/>
      <c r="Y144" s="107"/>
      <c r="Z144" s="107"/>
      <c r="AA144" s="107"/>
      <c r="AB144" s="110"/>
      <c r="AC144" s="111"/>
      <c r="AD144" s="106"/>
      <c r="AE144" s="107"/>
      <c r="AF144" s="107"/>
      <c r="AG144" s="107"/>
      <c r="AH144" s="110"/>
      <c r="AI144" s="111"/>
      <c r="AJ144" s="119" t="str">
        <f t="shared" si="16"/>
        <v/>
      </c>
      <c r="AK144" s="55" t="str">
        <f t="shared" si="17"/>
        <v/>
      </c>
      <c r="AL144" s="55" t="str">
        <f t="shared" si="18"/>
        <v/>
      </c>
      <c r="AM144" s="56" t="str">
        <f t="shared" si="19"/>
        <v/>
      </c>
      <c r="AN144" s="168"/>
      <c r="AO144" s="168"/>
      <c r="AP144" s="168"/>
      <c r="AQ144" s="168"/>
      <c r="AR144" s="168"/>
      <c r="AS144" s="168"/>
      <c r="AT144" s="168"/>
      <c r="AU144" s="168"/>
      <c r="AV144" s="168"/>
      <c r="AW144" s="168"/>
      <c r="AX144" s="337">
        <f t="shared" si="15"/>
        <v>205</v>
      </c>
      <c r="AY144" s="232"/>
      <c r="AZ144" s="235"/>
      <c r="BA144" s="232"/>
      <c r="BB144" s="232"/>
      <c r="BC144" s="233"/>
      <c r="BD144" s="168"/>
      <c r="BE144" s="168"/>
      <c r="BF144" s="168"/>
      <c r="BG144" s="168"/>
      <c r="BH144" s="168"/>
      <c r="BI144" s="168"/>
      <c r="BJ144" s="168"/>
      <c r="BK144" s="326"/>
      <c r="BL144" s="213"/>
      <c r="BM144" s="336" t="s">
        <v>59</v>
      </c>
      <c r="BN144" s="326"/>
      <c r="BO144" s="213"/>
      <c r="BP144" s="336" t="s">
        <v>59</v>
      </c>
    </row>
    <row r="145" spans="1:68">
      <c r="A145" s="16" t="s">
        <v>33</v>
      </c>
      <c r="B145" s="123"/>
      <c r="C145" s="107"/>
      <c r="D145" s="106"/>
      <c r="E145" s="107"/>
      <c r="F145" s="107"/>
      <c r="G145" s="107"/>
      <c r="H145" s="107"/>
      <c r="I145" s="107"/>
      <c r="J145" s="107"/>
      <c r="K145" s="108"/>
      <c r="L145" s="108"/>
      <c r="M145" s="109"/>
      <c r="N145" s="106"/>
      <c r="O145" s="107"/>
      <c r="P145" s="107"/>
      <c r="Q145" s="107"/>
      <c r="R145" s="107"/>
      <c r="S145" s="107"/>
      <c r="T145" s="107"/>
      <c r="U145" s="108"/>
      <c r="V145" s="108"/>
      <c r="W145" s="109"/>
      <c r="X145" s="106"/>
      <c r="Y145" s="107"/>
      <c r="Z145" s="107"/>
      <c r="AA145" s="107"/>
      <c r="AB145" s="110"/>
      <c r="AC145" s="111"/>
      <c r="AD145" s="106"/>
      <c r="AE145" s="107"/>
      <c r="AF145" s="107"/>
      <c r="AG145" s="107"/>
      <c r="AH145" s="110"/>
      <c r="AI145" s="111"/>
      <c r="AJ145" s="119" t="str">
        <f t="shared" si="16"/>
        <v/>
      </c>
      <c r="AK145" s="55" t="str">
        <f t="shared" si="17"/>
        <v/>
      </c>
      <c r="AL145" s="55" t="str">
        <f t="shared" si="18"/>
        <v/>
      </c>
      <c r="AM145" s="56" t="str">
        <f t="shared" si="19"/>
        <v/>
      </c>
      <c r="AN145" s="168"/>
      <c r="AO145" s="168"/>
      <c r="AP145" s="168"/>
      <c r="AQ145" s="168"/>
      <c r="AR145" s="168"/>
      <c r="AS145" s="168"/>
      <c r="AT145" s="168"/>
      <c r="AU145" s="168"/>
      <c r="AV145" s="168"/>
      <c r="AW145" s="168"/>
      <c r="AX145" s="337">
        <f t="shared" si="15"/>
        <v>205</v>
      </c>
      <c r="AY145" s="232"/>
      <c r="AZ145" s="235"/>
      <c r="BA145" s="232"/>
      <c r="BB145" s="232"/>
      <c r="BC145" s="233"/>
      <c r="BD145" s="168"/>
      <c r="BE145" s="168"/>
      <c r="BF145" s="168"/>
      <c r="BG145" s="168"/>
      <c r="BH145" s="168"/>
      <c r="BI145" s="168"/>
      <c r="BJ145" s="168"/>
      <c r="BK145" s="326"/>
      <c r="BL145" s="213"/>
      <c r="BM145" s="336" t="s">
        <v>59</v>
      </c>
      <c r="BN145" s="326"/>
      <c r="BO145" s="213"/>
      <c r="BP145" s="336" t="s">
        <v>59</v>
      </c>
    </row>
    <row r="146" spans="1:68">
      <c r="A146" s="16" t="s">
        <v>33</v>
      </c>
      <c r="B146" s="123"/>
      <c r="C146" s="107"/>
      <c r="D146" s="106"/>
      <c r="E146" s="107"/>
      <c r="F146" s="107"/>
      <c r="G146" s="107"/>
      <c r="H146" s="107"/>
      <c r="I146" s="107"/>
      <c r="J146" s="107"/>
      <c r="K146" s="108"/>
      <c r="L146" s="108"/>
      <c r="M146" s="109"/>
      <c r="N146" s="106"/>
      <c r="O146" s="107"/>
      <c r="P146" s="107"/>
      <c r="Q146" s="107"/>
      <c r="R146" s="107"/>
      <c r="S146" s="107"/>
      <c r="T146" s="107"/>
      <c r="U146" s="108"/>
      <c r="V146" s="108"/>
      <c r="W146" s="109"/>
      <c r="X146" s="106"/>
      <c r="Y146" s="107"/>
      <c r="Z146" s="107"/>
      <c r="AA146" s="107"/>
      <c r="AB146" s="110"/>
      <c r="AC146" s="111"/>
      <c r="AD146" s="106"/>
      <c r="AE146" s="107"/>
      <c r="AF146" s="107"/>
      <c r="AG146" s="107"/>
      <c r="AH146" s="110"/>
      <c r="AI146" s="111"/>
      <c r="AJ146" s="119" t="str">
        <f t="shared" si="16"/>
        <v/>
      </c>
      <c r="AK146" s="55" t="str">
        <f t="shared" si="17"/>
        <v/>
      </c>
      <c r="AL146" s="55" t="str">
        <f t="shared" si="18"/>
        <v/>
      </c>
      <c r="AM146" s="56" t="str">
        <f t="shared" si="19"/>
        <v/>
      </c>
      <c r="AN146" s="168"/>
      <c r="AO146" s="168"/>
      <c r="AP146" s="168"/>
      <c r="AQ146" s="168"/>
      <c r="AR146" s="168"/>
      <c r="AS146" s="168"/>
      <c r="AT146" s="168"/>
      <c r="AU146" s="168"/>
      <c r="AV146" s="168"/>
      <c r="AW146" s="168"/>
      <c r="AX146" s="337">
        <f t="shared" si="15"/>
        <v>205</v>
      </c>
      <c r="AY146" s="232"/>
      <c r="AZ146" s="235"/>
      <c r="BA146" s="232"/>
      <c r="BB146" s="232"/>
      <c r="BC146" s="233"/>
      <c r="BD146" s="168"/>
      <c r="BE146" s="168"/>
      <c r="BF146" s="168"/>
      <c r="BG146" s="168"/>
      <c r="BH146" s="168"/>
      <c r="BI146" s="168"/>
      <c r="BJ146" s="168"/>
      <c r="BK146" s="326"/>
      <c r="BL146" s="213"/>
      <c r="BM146" s="336" t="s">
        <v>59</v>
      </c>
      <c r="BN146" s="326"/>
      <c r="BO146" s="213"/>
      <c r="BP146" s="336" t="s">
        <v>59</v>
      </c>
    </row>
    <row r="147" spans="1:68">
      <c r="A147" s="16" t="s">
        <v>33</v>
      </c>
      <c r="B147" s="123"/>
      <c r="C147" s="107"/>
      <c r="D147" s="106"/>
      <c r="E147" s="107"/>
      <c r="F147" s="107"/>
      <c r="G147" s="107"/>
      <c r="H147" s="107"/>
      <c r="I147" s="107"/>
      <c r="J147" s="107"/>
      <c r="K147" s="108"/>
      <c r="L147" s="108"/>
      <c r="M147" s="109"/>
      <c r="N147" s="106"/>
      <c r="O147" s="107"/>
      <c r="P147" s="107"/>
      <c r="Q147" s="107"/>
      <c r="R147" s="107"/>
      <c r="S147" s="107"/>
      <c r="T147" s="107"/>
      <c r="U147" s="108"/>
      <c r="V147" s="108"/>
      <c r="W147" s="109"/>
      <c r="X147" s="106"/>
      <c r="Y147" s="107"/>
      <c r="Z147" s="107"/>
      <c r="AA147" s="107"/>
      <c r="AB147" s="110"/>
      <c r="AC147" s="111"/>
      <c r="AD147" s="106"/>
      <c r="AE147" s="107"/>
      <c r="AF147" s="107"/>
      <c r="AG147" s="107"/>
      <c r="AH147" s="110"/>
      <c r="AI147" s="111"/>
      <c r="AJ147" s="119" t="str">
        <f t="shared" si="16"/>
        <v/>
      </c>
      <c r="AK147" s="55" t="str">
        <f t="shared" si="17"/>
        <v/>
      </c>
      <c r="AL147" s="55" t="str">
        <f t="shared" si="18"/>
        <v/>
      </c>
      <c r="AM147" s="56" t="str">
        <f t="shared" si="19"/>
        <v/>
      </c>
      <c r="AN147" s="168"/>
      <c r="AO147" s="168"/>
      <c r="AP147" s="168"/>
      <c r="AQ147" s="168"/>
      <c r="AR147" s="168"/>
      <c r="AS147" s="168"/>
      <c r="AT147" s="168"/>
      <c r="AU147" s="168"/>
      <c r="AV147" s="168"/>
      <c r="AW147" s="168"/>
      <c r="AX147" s="337">
        <f t="shared" si="15"/>
        <v>205</v>
      </c>
      <c r="AY147" s="232"/>
      <c r="AZ147" s="235"/>
      <c r="BA147" s="232"/>
      <c r="BB147" s="232"/>
      <c r="BC147" s="233"/>
      <c r="BD147" s="168"/>
      <c r="BE147" s="168"/>
      <c r="BF147" s="168"/>
      <c r="BG147" s="168"/>
      <c r="BH147" s="168"/>
      <c r="BI147" s="168"/>
      <c r="BJ147" s="168"/>
      <c r="BK147" s="326"/>
      <c r="BL147" s="213"/>
      <c r="BM147" s="336" t="s">
        <v>59</v>
      </c>
      <c r="BN147" s="326"/>
      <c r="BO147" s="213"/>
      <c r="BP147" s="336" t="s">
        <v>59</v>
      </c>
    </row>
    <row r="148" spans="1:68">
      <c r="A148" s="16" t="s">
        <v>33</v>
      </c>
      <c r="B148" s="123"/>
      <c r="C148" s="107"/>
      <c r="D148" s="106"/>
      <c r="E148" s="107"/>
      <c r="F148" s="107"/>
      <c r="G148" s="107"/>
      <c r="H148" s="107"/>
      <c r="I148" s="107"/>
      <c r="J148" s="107"/>
      <c r="K148" s="108"/>
      <c r="L148" s="108"/>
      <c r="M148" s="109"/>
      <c r="N148" s="106"/>
      <c r="O148" s="107"/>
      <c r="P148" s="107"/>
      <c r="Q148" s="107"/>
      <c r="R148" s="107"/>
      <c r="S148" s="107"/>
      <c r="T148" s="107"/>
      <c r="U148" s="108"/>
      <c r="V148" s="108"/>
      <c r="W148" s="109"/>
      <c r="X148" s="106"/>
      <c r="Y148" s="107"/>
      <c r="Z148" s="107"/>
      <c r="AA148" s="107"/>
      <c r="AB148" s="110"/>
      <c r="AC148" s="111"/>
      <c r="AD148" s="106"/>
      <c r="AE148" s="107"/>
      <c r="AF148" s="107"/>
      <c r="AG148" s="107"/>
      <c r="AH148" s="110"/>
      <c r="AI148" s="111"/>
      <c r="AJ148" s="119" t="str">
        <f t="shared" si="16"/>
        <v/>
      </c>
      <c r="AK148" s="55" t="str">
        <f t="shared" si="17"/>
        <v/>
      </c>
      <c r="AL148" s="55" t="str">
        <f t="shared" si="18"/>
        <v/>
      </c>
      <c r="AM148" s="56" t="str">
        <f t="shared" si="19"/>
        <v/>
      </c>
      <c r="AN148" s="168"/>
      <c r="AO148" s="168"/>
      <c r="AP148" s="168"/>
      <c r="AQ148" s="168"/>
      <c r="AR148" s="168"/>
      <c r="AS148" s="168"/>
      <c r="AT148" s="168"/>
      <c r="AU148" s="168"/>
      <c r="AV148" s="168"/>
      <c r="AW148" s="168"/>
      <c r="AX148" s="337">
        <f t="shared" si="15"/>
        <v>205</v>
      </c>
      <c r="AY148" s="232"/>
      <c r="AZ148" s="235"/>
      <c r="BA148" s="232"/>
      <c r="BB148" s="232"/>
      <c r="BC148" s="233"/>
      <c r="BD148" s="168"/>
      <c r="BE148" s="168"/>
      <c r="BF148" s="168"/>
      <c r="BG148" s="168"/>
      <c r="BH148" s="168"/>
      <c r="BI148" s="168"/>
      <c r="BJ148" s="168"/>
      <c r="BK148" s="326"/>
      <c r="BL148" s="213"/>
      <c r="BM148" s="336" t="s">
        <v>59</v>
      </c>
      <c r="BN148" s="326"/>
      <c r="BO148" s="213"/>
      <c r="BP148" s="336" t="s">
        <v>59</v>
      </c>
    </row>
    <row r="149" spans="1:68">
      <c r="A149" s="16" t="s">
        <v>33</v>
      </c>
      <c r="B149" s="123"/>
      <c r="C149" s="107"/>
      <c r="D149" s="106"/>
      <c r="E149" s="107"/>
      <c r="F149" s="107"/>
      <c r="G149" s="107"/>
      <c r="H149" s="107"/>
      <c r="I149" s="107"/>
      <c r="J149" s="107"/>
      <c r="K149" s="108"/>
      <c r="L149" s="108"/>
      <c r="M149" s="109"/>
      <c r="N149" s="106"/>
      <c r="O149" s="107"/>
      <c r="P149" s="107"/>
      <c r="Q149" s="107"/>
      <c r="R149" s="107"/>
      <c r="S149" s="107"/>
      <c r="T149" s="107"/>
      <c r="U149" s="108"/>
      <c r="V149" s="108"/>
      <c r="W149" s="109"/>
      <c r="X149" s="106"/>
      <c r="Y149" s="107"/>
      <c r="Z149" s="107"/>
      <c r="AA149" s="107"/>
      <c r="AB149" s="110"/>
      <c r="AC149" s="111"/>
      <c r="AD149" s="106"/>
      <c r="AE149" s="107"/>
      <c r="AF149" s="107"/>
      <c r="AG149" s="107"/>
      <c r="AH149" s="110"/>
      <c r="AI149" s="111"/>
      <c r="AJ149" s="119" t="str">
        <f t="shared" si="16"/>
        <v/>
      </c>
      <c r="AK149" s="55" t="str">
        <f t="shared" si="17"/>
        <v/>
      </c>
      <c r="AL149" s="55" t="str">
        <f t="shared" si="18"/>
        <v/>
      </c>
      <c r="AM149" s="56" t="str">
        <f t="shared" si="19"/>
        <v/>
      </c>
      <c r="AN149" s="168"/>
      <c r="AO149" s="168"/>
      <c r="AP149" s="168"/>
      <c r="AQ149" s="168"/>
      <c r="AR149" s="168"/>
      <c r="AS149" s="168"/>
      <c r="AT149" s="168"/>
      <c r="AU149" s="168"/>
      <c r="AV149" s="168"/>
      <c r="AW149" s="168"/>
      <c r="AX149" s="337">
        <f t="shared" si="15"/>
        <v>205</v>
      </c>
      <c r="AY149" s="232"/>
      <c r="AZ149" s="235"/>
      <c r="BA149" s="232"/>
      <c r="BB149" s="232"/>
      <c r="BC149" s="233"/>
      <c r="BD149" s="168"/>
      <c r="BE149" s="168"/>
      <c r="BF149" s="168"/>
      <c r="BG149" s="168"/>
      <c r="BH149" s="168"/>
      <c r="BI149" s="168"/>
      <c r="BJ149" s="168"/>
      <c r="BK149" s="326"/>
      <c r="BL149" s="213"/>
      <c r="BM149" s="336" t="s">
        <v>59</v>
      </c>
      <c r="BN149" s="326"/>
      <c r="BO149" s="213"/>
      <c r="BP149" s="336" t="s">
        <v>59</v>
      </c>
    </row>
    <row r="150" spans="1:68">
      <c r="A150" s="16" t="s">
        <v>33</v>
      </c>
      <c r="B150" s="123"/>
      <c r="C150" s="107"/>
      <c r="D150" s="106"/>
      <c r="E150" s="107"/>
      <c r="F150" s="107"/>
      <c r="G150" s="107"/>
      <c r="H150" s="107"/>
      <c r="I150" s="107"/>
      <c r="J150" s="107"/>
      <c r="K150" s="108"/>
      <c r="L150" s="108"/>
      <c r="M150" s="109"/>
      <c r="N150" s="106"/>
      <c r="O150" s="107"/>
      <c r="P150" s="107"/>
      <c r="Q150" s="107"/>
      <c r="R150" s="107"/>
      <c r="S150" s="107"/>
      <c r="T150" s="107"/>
      <c r="U150" s="108"/>
      <c r="V150" s="108"/>
      <c r="W150" s="109"/>
      <c r="X150" s="106"/>
      <c r="Y150" s="107"/>
      <c r="Z150" s="107"/>
      <c r="AA150" s="107"/>
      <c r="AB150" s="110"/>
      <c r="AC150" s="111"/>
      <c r="AD150" s="106"/>
      <c r="AE150" s="107"/>
      <c r="AF150" s="107"/>
      <c r="AG150" s="107"/>
      <c r="AH150" s="110"/>
      <c r="AI150" s="111"/>
      <c r="AJ150" s="119" t="str">
        <f t="shared" si="16"/>
        <v/>
      </c>
      <c r="AK150" s="55" t="str">
        <f t="shared" si="17"/>
        <v/>
      </c>
      <c r="AL150" s="55" t="str">
        <f t="shared" si="18"/>
        <v/>
      </c>
      <c r="AM150" s="56" t="str">
        <f t="shared" si="19"/>
        <v/>
      </c>
      <c r="AN150" s="168"/>
      <c r="AO150" s="168"/>
      <c r="AP150" s="168"/>
      <c r="AQ150" s="168"/>
      <c r="AR150" s="168"/>
      <c r="AS150" s="168"/>
      <c r="AT150" s="168"/>
      <c r="AU150" s="168"/>
      <c r="AV150" s="168"/>
      <c r="AW150" s="168"/>
      <c r="AX150" s="337">
        <f t="shared" si="15"/>
        <v>205</v>
      </c>
      <c r="AY150" s="232"/>
      <c r="AZ150" s="235"/>
      <c r="BA150" s="232"/>
      <c r="BB150" s="232"/>
      <c r="BC150" s="233"/>
      <c r="BD150" s="168"/>
      <c r="BE150" s="168"/>
      <c r="BF150" s="168"/>
      <c r="BG150" s="168"/>
      <c r="BH150" s="168"/>
      <c r="BI150" s="168"/>
      <c r="BJ150" s="168"/>
      <c r="BK150" s="326"/>
      <c r="BL150" s="213"/>
      <c r="BM150" s="336" t="s">
        <v>59</v>
      </c>
      <c r="BN150" s="326"/>
      <c r="BO150" s="213"/>
      <c r="BP150" s="336" t="s">
        <v>59</v>
      </c>
    </row>
    <row r="151" spans="1:68">
      <c r="A151" s="16" t="s">
        <v>33</v>
      </c>
      <c r="B151" s="123"/>
      <c r="C151" s="107"/>
      <c r="D151" s="106"/>
      <c r="E151" s="107"/>
      <c r="F151" s="107"/>
      <c r="G151" s="107"/>
      <c r="H151" s="107"/>
      <c r="I151" s="107"/>
      <c r="J151" s="107"/>
      <c r="K151" s="108"/>
      <c r="L151" s="108"/>
      <c r="M151" s="109"/>
      <c r="N151" s="106"/>
      <c r="O151" s="107"/>
      <c r="P151" s="107"/>
      <c r="Q151" s="107"/>
      <c r="R151" s="107"/>
      <c r="S151" s="107"/>
      <c r="T151" s="107"/>
      <c r="U151" s="108"/>
      <c r="V151" s="108"/>
      <c r="W151" s="109"/>
      <c r="X151" s="106"/>
      <c r="Y151" s="107"/>
      <c r="Z151" s="107"/>
      <c r="AA151" s="107"/>
      <c r="AB151" s="110"/>
      <c r="AC151" s="111"/>
      <c r="AD151" s="106"/>
      <c r="AE151" s="107"/>
      <c r="AF151" s="107"/>
      <c r="AG151" s="107"/>
      <c r="AH151" s="110"/>
      <c r="AI151" s="111"/>
      <c r="AJ151" s="119" t="str">
        <f t="shared" si="16"/>
        <v/>
      </c>
      <c r="AK151" s="55" t="str">
        <f t="shared" si="17"/>
        <v/>
      </c>
      <c r="AL151" s="55" t="str">
        <f t="shared" si="18"/>
        <v/>
      </c>
      <c r="AM151" s="56" t="str">
        <f t="shared" si="19"/>
        <v/>
      </c>
      <c r="AN151" s="168"/>
      <c r="AO151" s="168"/>
      <c r="AP151" s="168"/>
      <c r="AQ151" s="168"/>
      <c r="AR151" s="168"/>
      <c r="AS151" s="168"/>
      <c r="AT151" s="168"/>
      <c r="AU151" s="168"/>
      <c r="AV151" s="168"/>
      <c r="AW151" s="168"/>
      <c r="AX151" s="337">
        <f t="shared" si="15"/>
        <v>205</v>
      </c>
      <c r="AY151" s="232"/>
      <c r="AZ151" s="235"/>
      <c r="BA151" s="232"/>
      <c r="BB151" s="232"/>
      <c r="BC151" s="233"/>
      <c r="BD151" s="168"/>
      <c r="BE151" s="168"/>
      <c r="BF151" s="168"/>
      <c r="BG151" s="168"/>
      <c r="BH151" s="168"/>
      <c r="BI151" s="168"/>
      <c r="BJ151" s="168"/>
      <c r="BK151" s="326"/>
      <c r="BL151" s="213"/>
      <c r="BM151" s="336" t="s">
        <v>59</v>
      </c>
      <c r="BN151" s="326"/>
      <c r="BO151" s="213"/>
      <c r="BP151" s="336" t="s">
        <v>59</v>
      </c>
    </row>
    <row r="152" spans="1:68">
      <c r="A152" s="16" t="s">
        <v>33</v>
      </c>
      <c r="B152" s="123"/>
      <c r="C152" s="107"/>
      <c r="D152" s="106"/>
      <c r="E152" s="107"/>
      <c r="F152" s="107"/>
      <c r="G152" s="107"/>
      <c r="H152" s="107"/>
      <c r="I152" s="107"/>
      <c r="J152" s="107"/>
      <c r="K152" s="108"/>
      <c r="L152" s="108"/>
      <c r="M152" s="109"/>
      <c r="N152" s="106"/>
      <c r="O152" s="107"/>
      <c r="P152" s="107"/>
      <c r="Q152" s="107"/>
      <c r="R152" s="107"/>
      <c r="S152" s="107"/>
      <c r="T152" s="107"/>
      <c r="U152" s="108"/>
      <c r="V152" s="108"/>
      <c r="W152" s="109"/>
      <c r="X152" s="106"/>
      <c r="Y152" s="107"/>
      <c r="Z152" s="107"/>
      <c r="AA152" s="107"/>
      <c r="AB152" s="110"/>
      <c r="AC152" s="111"/>
      <c r="AD152" s="106"/>
      <c r="AE152" s="107"/>
      <c r="AF152" s="107"/>
      <c r="AG152" s="107"/>
      <c r="AH152" s="110"/>
      <c r="AI152" s="111"/>
      <c r="AJ152" s="119" t="str">
        <f t="shared" si="16"/>
        <v/>
      </c>
      <c r="AK152" s="55" t="str">
        <f t="shared" si="17"/>
        <v/>
      </c>
      <c r="AL152" s="55" t="str">
        <f t="shared" si="18"/>
        <v/>
      </c>
      <c r="AM152" s="56" t="str">
        <f t="shared" si="19"/>
        <v/>
      </c>
      <c r="AN152" s="168"/>
      <c r="AO152" s="168"/>
      <c r="AP152" s="168"/>
      <c r="AQ152" s="168"/>
      <c r="AR152" s="168"/>
      <c r="AS152" s="168"/>
      <c r="AT152" s="168"/>
      <c r="AU152" s="168"/>
      <c r="AV152" s="168"/>
      <c r="AW152" s="168"/>
      <c r="AX152" s="337">
        <f t="shared" si="15"/>
        <v>205</v>
      </c>
      <c r="AY152" s="232"/>
      <c r="AZ152" s="235"/>
      <c r="BA152" s="232"/>
      <c r="BB152" s="232"/>
      <c r="BC152" s="233"/>
      <c r="BD152" s="168"/>
      <c r="BE152" s="168"/>
      <c r="BF152" s="168"/>
      <c r="BG152" s="168"/>
      <c r="BH152" s="168"/>
      <c r="BI152" s="168"/>
      <c r="BJ152" s="168"/>
      <c r="BK152" s="326"/>
      <c r="BL152" s="213"/>
      <c r="BM152" s="336" t="s">
        <v>59</v>
      </c>
      <c r="BN152" s="326"/>
      <c r="BO152" s="213"/>
      <c r="BP152" s="336" t="s">
        <v>59</v>
      </c>
    </row>
    <row r="153" spans="1:68">
      <c r="A153" s="16" t="s">
        <v>33</v>
      </c>
      <c r="B153" s="123"/>
      <c r="C153" s="107"/>
      <c r="D153" s="106"/>
      <c r="E153" s="107"/>
      <c r="F153" s="107"/>
      <c r="G153" s="107"/>
      <c r="H153" s="107"/>
      <c r="I153" s="107"/>
      <c r="J153" s="107"/>
      <c r="K153" s="108"/>
      <c r="L153" s="108"/>
      <c r="M153" s="109"/>
      <c r="N153" s="106"/>
      <c r="O153" s="107"/>
      <c r="P153" s="107"/>
      <c r="Q153" s="107"/>
      <c r="R153" s="107"/>
      <c r="S153" s="107"/>
      <c r="T153" s="107"/>
      <c r="U153" s="108"/>
      <c r="V153" s="108"/>
      <c r="W153" s="109"/>
      <c r="X153" s="106"/>
      <c r="Y153" s="107"/>
      <c r="Z153" s="107"/>
      <c r="AA153" s="107"/>
      <c r="AB153" s="110"/>
      <c r="AC153" s="111"/>
      <c r="AD153" s="106"/>
      <c r="AE153" s="107"/>
      <c r="AF153" s="107"/>
      <c r="AG153" s="107"/>
      <c r="AH153" s="110"/>
      <c r="AI153" s="111"/>
      <c r="AJ153" s="119" t="str">
        <f t="shared" si="16"/>
        <v/>
      </c>
      <c r="AK153" s="55" t="str">
        <f t="shared" si="17"/>
        <v/>
      </c>
      <c r="AL153" s="55" t="str">
        <f t="shared" si="18"/>
        <v/>
      </c>
      <c r="AM153" s="56" t="str">
        <f t="shared" si="19"/>
        <v/>
      </c>
      <c r="AN153" s="168"/>
      <c r="AO153" s="168"/>
      <c r="AP153" s="168"/>
      <c r="AQ153" s="168"/>
      <c r="AR153" s="168"/>
      <c r="AS153" s="168"/>
      <c r="AT153" s="168"/>
      <c r="AU153" s="168"/>
      <c r="AV153" s="168"/>
      <c r="AW153" s="168"/>
      <c r="AX153" s="337">
        <f t="shared" si="15"/>
        <v>205</v>
      </c>
      <c r="AY153" s="232"/>
      <c r="AZ153" s="235"/>
      <c r="BA153" s="232"/>
      <c r="BB153" s="232"/>
      <c r="BC153" s="233"/>
      <c r="BD153" s="168"/>
      <c r="BE153" s="168"/>
      <c r="BF153" s="168"/>
      <c r="BG153" s="168"/>
      <c r="BH153" s="168"/>
      <c r="BI153" s="168"/>
      <c r="BJ153" s="168"/>
      <c r="BK153" s="326"/>
      <c r="BL153" s="213"/>
      <c r="BM153" s="336" t="s">
        <v>59</v>
      </c>
      <c r="BN153" s="326"/>
      <c r="BO153" s="213"/>
      <c r="BP153" s="336" t="s">
        <v>59</v>
      </c>
    </row>
    <row r="154" spans="1:68" ht="13" thickBot="1">
      <c r="A154" s="17" t="s">
        <v>33</v>
      </c>
      <c r="B154" s="124"/>
      <c r="C154" s="113"/>
      <c r="D154" s="112"/>
      <c r="E154" s="113"/>
      <c r="F154" s="113"/>
      <c r="G154" s="113"/>
      <c r="H154" s="113"/>
      <c r="I154" s="113"/>
      <c r="J154" s="113"/>
      <c r="K154" s="114"/>
      <c r="L154" s="114"/>
      <c r="M154" s="115"/>
      <c r="N154" s="112"/>
      <c r="O154" s="113"/>
      <c r="P154" s="113"/>
      <c r="Q154" s="113"/>
      <c r="R154" s="113"/>
      <c r="S154" s="113"/>
      <c r="T154" s="113"/>
      <c r="U154" s="114"/>
      <c r="V154" s="114"/>
      <c r="W154" s="115"/>
      <c r="X154" s="112"/>
      <c r="Y154" s="113"/>
      <c r="Z154" s="113"/>
      <c r="AA154" s="113"/>
      <c r="AB154" s="116"/>
      <c r="AC154" s="117"/>
      <c r="AD154" s="112"/>
      <c r="AE154" s="113"/>
      <c r="AF154" s="113"/>
      <c r="AG154" s="113"/>
      <c r="AH154" s="116"/>
      <c r="AI154" s="117"/>
      <c r="AJ154" s="120" t="str">
        <f t="shared" si="16"/>
        <v/>
      </c>
      <c r="AK154" s="58" t="str">
        <f t="shared" si="17"/>
        <v/>
      </c>
      <c r="AL154" s="58" t="str">
        <f t="shared" si="18"/>
        <v/>
      </c>
      <c r="AM154" s="59" t="str">
        <f t="shared" si="19"/>
        <v/>
      </c>
      <c r="AN154" s="168"/>
      <c r="AO154" s="168"/>
      <c r="AP154" s="168"/>
      <c r="AQ154" s="168"/>
      <c r="AR154" s="168"/>
      <c r="AS154" s="168"/>
      <c r="AT154" s="168"/>
      <c r="AU154" s="168"/>
      <c r="AV154" s="168"/>
      <c r="AW154" s="168"/>
      <c r="AX154" s="338">
        <f t="shared" si="15"/>
        <v>205</v>
      </c>
      <c r="AY154" s="232"/>
      <c r="AZ154" s="235"/>
      <c r="BA154" s="232"/>
      <c r="BB154" s="232"/>
      <c r="BC154" s="233"/>
      <c r="BD154" s="168"/>
      <c r="BE154" s="168"/>
      <c r="BF154" s="168"/>
      <c r="BG154" s="168"/>
      <c r="BH154" s="168"/>
      <c r="BI154" s="168"/>
      <c r="BJ154" s="168"/>
      <c r="BK154" s="327"/>
      <c r="BL154" s="329"/>
      <c r="BM154" s="342" t="s">
        <v>59</v>
      </c>
      <c r="BN154" s="327"/>
      <c r="BO154" s="329"/>
      <c r="BP154" s="342" t="s">
        <v>59</v>
      </c>
    </row>
    <row r="155" spans="1:68">
      <c r="A155" s="168"/>
      <c r="B155" s="167"/>
      <c r="C155" s="167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  <c r="AB155" s="168"/>
      <c r="AC155" s="168"/>
      <c r="AD155" s="168"/>
      <c r="AE155" s="168"/>
      <c r="AF155" s="168"/>
      <c r="AG155" s="168"/>
      <c r="AH155" s="168"/>
      <c r="AI155" s="168"/>
      <c r="AJ155" s="168"/>
      <c r="AK155" s="168"/>
      <c r="AL155" s="168"/>
      <c r="AM155" s="168"/>
      <c r="AN155" s="168"/>
      <c r="AO155" s="168"/>
      <c r="AP155" s="168"/>
      <c r="AQ155" s="168"/>
      <c r="AR155" s="168"/>
      <c r="AS155" s="168"/>
      <c r="AT155" s="168"/>
      <c r="AU155" s="168"/>
      <c r="AV155" s="168"/>
      <c r="AW155" s="168"/>
      <c r="AX155" s="168"/>
      <c r="AY155" s="168"/>
      <c r="AZ155" s="233"/>
      <c r="BA155" s="168"/>
      <c r="BB155" s="168"/>
      <c r="BC155" s="233"/>
      <c r="BD155" s="168"/>
      <c r="BE155" s="168"/>
      <c r="BF155" s="168"/>
      <c r="BG155" s="168"/>
      <c r="BH155" s="168"/>
      <c r="BI155" s="168"/>
      <c r="BJ155" s="168"/>
      <c r="BK155" s="168"/>
      <c r="BL155" s="168"/>
      <c r="BM155" s="168"/>
      <c r="BN155" s="168"/>
      <c r="BO155" s="168"/>
      <c r="BP155" s="168"/>
    </row>
    <row r="156" spans="1:68">
      <c r="A156" s="168"/>
      <c r="B156" s="167"/>
      <c r="C156" s="167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8"/>
      <c r="AB156" s="168"/>
      <c r="AC156" s="168"/>
      <c r="AD156" s="168"/>
      <c r="AE156" s="168"/>
      <c r="AF156" s="168"/>
      <c r="AG156" s="168"/>
      <c r="AH156" s="168"/>
      <c r="AI156" s="168"/>
      <c r="AJ156" s="168"/>
      <c r="AK156" s="168"/>
      <c r="AL156" s="168"/>
      <c r="AM156" s="168"/>
      <c r="AN156" s="168"/>
      <c r="AO156" s="168"/>
      <c r="AP156" s="168"/>
      <c r="AQ156" s="168"/>
      <c r="AR156" s="168"/>
      <c r="AS156" s="168"/>
      <c r="AT156" s="168"/>
      <c r="AU156" s="168"/>
      <c r="AV156" s="168"/>
      <c r="AW156" s="168"/>
      <c r="AX156" s="168"/>
      <c r="AY156" s="168"/>
      <c r="AZ156" s="233"/>
      <c r="BA156" s="168"/>
      <c r="BB156" s="168"/>
      <c r="BC156" s="233"/>
      <c r="BD156" s="168"/>
      <c r="BE156" s="168"/>
      <c r="BF156" s="168"/>
      <c r="BG156" s="168"/>
      <c r="BH156" s="168"/>
      <c r="BI156" s="168"/>
      <c r="BJ156" s="168"/>
      <c r="BK156" s="168"/>
      <c r="BL156" s="168"/>
      <c r="BM156" s="168"/>
      <c r="BN156" s="168"/>
      <c r="BO156" s="168"/>
      <c r="BP156" s="168"/>
    </row>
    <row r="157" spans="1:68">
      <c r="A157" s="168"/>
      <c r="B157" s="167"/>
      <c r="C157" s="167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  <c r="AB157" s="168"/>
      <c r="AC157" s="168"/>
      <c r="AD157" s="168"/>
      <c r="AE157" s="168"/>
      <c r="AF157" s="168"/>
      <c r="AG157" s="168"/>
      <c r="AH157" s="168"/>
      <c r="AI157" s="168"/>
      <c r="AJ157" s="168"/>
      <c r="AK157" s="168"/>
      <c r="AL157" s="168"/>
      <c r="AM157" s="168"/>
      <c r="AN157" s="168"/>
      <c r="AO157" s="168"/>
      <c r="AP157" s="168"/>
      <c r="AQ157" s="168"/>
      <c r="AR157" s="168"/>
      <c r="AS157" s="168"/>
      <c r="AT157" s="168"/>
      <c r="AU157" s="168"/>
      <c r="AV157" s="168"/>
      <c r="AW157" s="168"/>
      <c r="AX157" s="168"/>
      <c r="AY157" s="168"/>
      <c r="AZ157" s="233"/>
      <c r="BA157" s="168"/>
      <c r="BB157" s="168"/>
      <c r="BC157" s="233"/>
      <c r="BD157" s="168"/>
      <c r="BE157" s="168"/>
      <c r="BF157" s="168"/>
      <c r="BG157" s="168"/>
      <c r="BH157" s="168"/>
      <c r="BI157" s="168"/>
      <c r="BJ157" s="168"/>
      <c r="BK157" s="168"/>
      <c r="BL157" s="168"/>
      <c r="BM157" s="168"/>
      <c r="BN157" s="168"/>
      <c r="BO157" s="168"/>
      <c r="BP157" s="168"/>
    </row>
    <row r="158" spans="1:68">
      <c r="A158" s="168"/>
      <c r="B158" s="167"/>
      <c r="C158" s="167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  <c r="AB158" s="168"/>
      <c r="AC158" s="168"/>
      <c r="AD158" s="168"/>
      <c r="AE158" s="168"/>
      <c r="AF158" s="168"/>
      <c r="AG158" s="168"/>
      <c r="AH158" s="168"/>
      <c r="AI158" s="168"/>
      <c r="AJ158" s="168"/>
      <c r="AK158" s="168"/>
      <c r="AL158" s="168"/>
      <c r="AM158" s="168"/>
      <c r="AN158" s="168"/>
      <c r="AO158" s="168"/>
      <c r="AP158" s="168"/>
      <c r="AQ158" s="168"/>
      <c r="AR158" s="168"/>
      <c r="AS158" s="168"/>
      <c r="AT158" s="168"/>
      <c r="AU158" s="168"/>
      <c r="AV158" s="168"/>
      <c r="AW158" s="168"/>
      <c r="AX158" s="168"/>
      <c r="AY158" s="168"/>
      <c r="AZ158" s="233"/>
      <c r="BA158" s="168"/>
      <c r="BB158" s="168"/>
      <c r="BC158" s="233"/>
      <c r="BD158" s="168"/>
      <c r="BE158" s="168"/>
      <c r="BF158" s="168"/>
      <c r="BG158" s="168"/>
      <c r="BH158" s="168"/>
      <c r="BI158" s="168"/>
      <c r="BJ158" s="168"/>
      <c r="BK158" s="168"/>
      <c r="BL158" s="168"/>
      <c r="BM158" s="168"/>
      <c r="BN158" s="168"/>
      <c r="BO158" s="168"/>
      <c r="BP158" s="168"/>
    </row>
    <row r="159" spans="1:68">
      <c r="A159" s="168"/>
      <c r="B159" s="167"/>
      <c r="C159" s="167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  <c r="AC159" s="168"/>
      <c r="AD159" s="168"/>
      <c r="AE159" s="168"/>
      <c r="AF159" s="168"/>
      <c r="AG159" s="168"/>
      <c r="AH159" s="168"/>
      <c r="AI159" s="168"/>
      <c r="AJ159" s="168"/>
      <c r="AK159" s="168"/>
      <c r="AL159" s="168"/>
      <c r="AM159" s="168"/>
      <c r="AN159" s="168"/>
      <c r="AO159" s="168"/>
      <c r="AP159" s="168"/>
      <c r="AQ159" s="168"/>
      <c r="AR159" s="168"/>
      <c r="AS159" s="168"/>
      <c r="AT159" s="168"/>
      <c r="AU159" s="168"/>
      <c r="AV159" s="168"/>
      <c r="AW159" s="168"/>
      <c r="AX159" s="168"/>
      <c r="AY159" s="168"/>
      <c r="AZ159" s="233"/>
      <c r="BA159" s="168"/>
      <c r="BB159" s="168"/>
      <c r="BC159" s="233"/>
      <c r="BD159" s="168"/>
      <c r="BE159" s="168"/>
      <c r="BF159" s="168"/>
      <c r="BG159" s="168"/>
      <c r="BH159" s="168"/>
      <c r="BI159" s="168"/>
      <c r="BJ159" s="168"/>
      <c r="BK159" s="168"/>
      <c r="BL159" s="168"/>
      <c r="BM159" s="168"/>
      <c r="BN159" s="168"/>
      <c r="BO159" s="168"/>
      <c r="BP159" s="168"/>
    </row>
    <row r="160" spans="1:68">
      <c r="A160" s="168"/>
      <c r="B160" s="167"/>
      <c r="C160" s="167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8"/>
      <c r="AJ160" s="168"/>
      <c r="AK160" s="168"/>
      <c r="AL160" s="168"/>
      <c r="AM160" s="168"/>
      <c r="AN160" s="168"/>
      <c r="AO160" s="168"/>
      <c r="AP160" s="168"/>
      <c r="AQ160" s="168"/>
      <c r="AR160" s="168"/>
      <c r="AS160" s="168"/>
      <c r="AT160" s="168"/>
      <c r="AU160" s="168"/>
      <c r="AV160" s="168"/>
      <c r="AW160" s="168"/>
      <c r="AX160" s="168"/>
      <c r="AY160" s="168"/>
      <c r="AZ160" s="233"/>
      <c r="BA160" s="168"/>
      <c r="BB160" s="168"/>
      <c r="BC160" s="233"/>
      <c r="BD160" s="168"/>
      <c r="BE160" s="168"/>
      <c r="BF160" s="168"/>
      <c r="BG160" s="168"/>
      <c r="BH160" s="168"/>
      <c r="BI160" s="168"/>
      <c r="BJ160" s="168"/>
      <c r="BK160" s="168"/>
      <c r="BL160" s="168"/>
      <c r="BM160" s="168"/>
      <c r="BN160" s="168"/>
      <c r="BO160" s="168"/>
      <c r="BP160" s="168"/>
    </row>
    <row r="161" spans="1:68">
      <c r="A161" s="168"/>
      <c r="B161" s="167"/>
      <c r="C161" s="167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  <c r="AB161" s="168"/>
      <c r="AC161" s="168"/>
      <c r="AD161" s="168"/>
      <c r="AE161" s="168"/>
      <c r="AF161" s="168"/>
      <c r="AG161" s="168"/>
      <c r="AH161" s="168"/>
      <c r="AI161" s="168"/>
      <c r="AJ161" s="168"/>
      <c r="AK161" s="168"/>
      <c r="AL161" s="168"/>
      <c r="AM161" s="168"/>
      <c r="AN161" s="168"/>
      <c r="AO161" s="168"/>
      <c r="AP161" s="168"/>
      <c r="AQ161" s="168"/>
      <c r="AR161" s="168"/>
      <c r="AS161" s="168"/>
      <c r="AT161" s="168"/>
      <c r="AU161" s="168"/>
      <c r="AV161" s="168"/>
      <c r="AW161" s="168"/>
      <c r="AX161" s="168"/>
      <c r="AY161" s="168"/>
      <c r="AZ161" s="233"/>
      <c r="BA161" s="168"/>
      <c r="BB161" s="168"/>
      <c r="BC161" s="233"/>
      <c r="BD161" s="168"/>
      <c r="BE161" s="168"/>
      <c r="BF161" s="168"/>
      <c r="BG161" s="168"/>
      <c r="BH161" s="168"/>
      <c r="BI161" s="168"/>
      <c r="BJ161" s="168"/>
      <c r="BK161" s="168"/>
      <c r="BL161" s="168"/>
      <c r="BM161" s="168"/>
      <c r="BN161" s="168"/>
      <c r="BO161" s="168"/>
      <c r="BP161" s="168"/>
    </row>
    <row r="162" spans="1:68">
      <c r="A162" s="168"/>
      <c r="B162" s="167"/>
      <c r="C162" s="167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8"/>
      <c r="AB162" s="168"/>
      <c r="AC162" s="168"/>
      <c r="AD162" s="168"/>
      <c r="AE162" s="168"/>
      <c r="AF162" s="168"/>
      <c r="AG162" s="168"/>
      <c r="AH162" s="168"/>
      <c r="AI162" s="168"/>
      <c r="AJ162" s="168"/>
      <c r="AK162" s="168"/>
      <c r="AL162" s="168"/>
      <c r="AM162" s="168"/>
      <c r="AN162" s="168"/>
      <c r="AO162" s="168"/>
      <c r="AP162" s="168"/>
      <c r="AQ162" s="168"/>
      <c r="AR162" s="168"/>
      <c r="AS162" s="168"/>
      <c r="AT162" s="168"/>
      <c r="AU162" s="168"/>
      <c r="AV162" s="168"/>
      <c r="AW162" s="168"/>
      <c r="AX162" s="168"/>
      <c r="AY162" s="168"/>
      <c r="AZ162" s="233"/>
      <c r="BA162" s="168"/>
      <c r="BB162" s="168"/>
      <c r="BC162" s="233"/>
      <c r="BD162" s="168"/>
      <c r="BE162" s="168"/>
      <c r="BF162" s="168"/>
      <c r="BG162" s="168"/>
      <c r="BH162" s="168"/>
      <c r="BI162" s="168"/>
      <c r="BJ162" s="168"/>
      <c r="BK162" s="168"/>
      <c r="BL162" s="168"/>
      <c r="BM162" s="168"/>
      <c r="BN162" s="168"/>
      <c r="BO162" s="168"/>
      <c r="BP162" s="168"/>
    </row>
    <row r="163" spans="1:68">
      <c r="A163" s="168"/>
      <c r="B163" s="167"/>
      <c r="C163" s="167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  <c r="AB163" s="168"/>
      <c r="AC163" s="168"/>
      <c r="AD163" s="168"/>
      <c r="AE163" s="168"/>
      <c r="AF163" s="168"/>
      <c r="AG163" s="168"/>
      <c r="AH163" s="168"/>
      <c r="AI163" s="168"/>
      <c r="AJ163" s="168"/>
      <c r="AK163" s="168"/>
      <c r="AL163" s="168"/>
      <c r="AM163" s="168"/>
      <c r="AN163" s="168"/>
      <c r="AO163" s="168"/>
      <c r="AP163" s="168"/>
      <c r="AQ163" s="168"/>
      <c r="AR163" s="168"/>
      <c r="AS163" s="168"/>
      <c r="AT163" s="168"/>
      <c r="AU163" s="168"/>
      <c r="AV163" s="168"/>
      <c r="AW163" s="168"/>
      <c r="AX163" s="168"/>
      <c r="AY163" s="168"/>
      <c r="AZ163" s="233"/>
      <c r="BA163" s="168"/>
      <c r="BB163" s="168"/>
      <c r="BC163" s="233"/>
      <c r="BD163" s="168"/>
      <c r="BE163" s="168"/>
      <c r="BF163" s="168"/>
      <c r="BG163" s="168"/>
      <c r="BH163" s="168"/>
      <c r="BI163" s="168"/>
      <c r="BJ163" s="168"/>
      <c r="BK163" s="168"/>
      <c r="BL163" s="168"/>
      <c r="BM163" s="168"/>
      <c r="BN163" s="168"/>
      <c r="BO163" s="168"/>
      <c r="BP163" s="168"/>
    </row>
  </sheetData>
  <sheetProtection sheet="1" objects="1" scenarios="1" selectLockedCells="1" autoFilter="0"/>
  <autoFilter ref="A4:A154"/>
  <mergeCells count="15">
    <mergeCell ref="BN3:BP3"/>
    <mergeCell ref="BK3:BM3"/>
    <mergeCell ref="B3:B4"/>
    <mergeCell ref="C3:C4"/>
    <mergeCell ref="AC3:AC4"/>
    <mergeCell ref="AJ3:AM3"/>
    <mergeCell ref="AI3:AI4"/>
    <mergeCell ref="D3:M3"/>
    <mergeCell ref="N3:W3"/>
    <mergeCell ref="BH3:BJ3"/>
    <mergeCell ref="BE3:BG3"/>
    <mergeCell ref="BB3:BD3"/>
    <mergeCell ref="AY3:BA3"/>
    <mergeCell ref="X3:AB3"/>
    <mergeCell ref="AD3:AH3"/>
  </mergeCells>
  <phoneticPr fontId="0" type="noConversion"/>
  <dataValidations count="4">
    <dataValidation type="date" operator="greaterThanOrEqual" allowBlank="1" showInputMessage="1" showErrorMessage="1" sqref="B5:B154">
      <formula1>40634</formula1>
    </dataValidation>
    <dataValidation type="whole" allowBlank="1" showInputMessage="1" showErrorMessage="1" sqref="D5:M154">
      <formula1>0</formula1>
      <formula2>8</formula2>
    </dataValidation>
    <dataValidation type="whole" allowBlank="1" showInputMessage="1" showErrorMessage="1" sqref="Q13 Q5:R12 AI5:AI154 N5:P154 Q14:R154 S5:AC154">
      <formula1>0</formula1>
      <formula2>3</formula2>
    </dataValidation>
    <dataValidation type="whole" allowBlank="1" showInputMessage="1" showErrorMessage="1" sqref="AD5:AH154">
      <formula1>0</formula1>
      <formula2>1</formula2>
    </dataValidation>
  </dataValidations>
  <printOptions horizontalCentered="1"/>
  <pageMargins left="0.31496062992125984" right="0.27559055118110237" top="0.55118110236220474" bottom="0.39370078740157483" header="0.51181102362204722" footer="0.31496062992125984"/>
  <pageSetup paperSize="9" orientation="landscape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autoPageBreaks="0"/>
  </sheetPr>
  <dimension ref="A1:AY171"/>
  <sheetViews>
    <sheetView showGridLines="0" workbookViewId="0">
      <pane xSplit="2" ySplit="12" topLeftCell="C13" activePane="bottomRight" state="frozen"/>
      <selection pane="topRight" activeCell="C1" sqref="C1"/>
      <selection pane="bottomLeft" activeCell="A13" sqref="A13"/>
      <selection pane="bottomRight" activeCell="B36" sqref="B36"/>
    </sheetView>
  </sheetViews>
  <sheetFormatPr baseColWidth="10" defaultColWidth="8.83203125" defaultRowHeight="12" x14ac:dyDescent="0"/>
  <cols>
    <col min="2" max="2" width="11.33203125" style="1" customWidth="1"/>
    <col min="3" max="3" width="7.1640625" style="1" customWidth="1"/>
    <col min="4" max="33" width="3.83203125" customWidth="1"/>
    <col min="34" max="34" width="6.33203125" customWidth="1"/>
    <col min="35" max="35" width="6.6640625" customWidth="1"/>
    <col min="36" max="36" width="8.1640625" customWidth="1"/>
    <col min="37" max="37" width="7.6640625" customWidth="1"/>
    <col min="38" max="38" width="2.33203125" customWidth="1"/>
    <col min="49" max="51" width="6.5" customWidth="1"/>
  </cols>
  <sheetData>
    <row r="1" spans="1:51" ht="17">
      <c r="A1" s="165" t="s">
        <v>45</v>
      </c>
      <c r="B1" s="167"/>
      <c r="C1" s="167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</row>
    <row r="2" spans="1:51" ht="18" thickBot="1">
      <c r="A2" s="169" t="s">
        <v>10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68"/>
      <c r="N2" s="182"/>
      <c r="O2" s="182"/>
      <c r="P2" s="182"/>
      <c r="Q2" s="182"/>
      <c r="R2" s="182"/>
      <c r="S2" s="182"/>
      <c r="T2" s="182"/>
      <c r="U2" s="182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90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  <c r="AT2" s="168"/>
      <c r="AU2" s="168"/>
      <c r="AV2" s="168"/>
      <c r="AW2" s="168"/>
      <c r="AX2" s="168"/>
      <c r="AY2" s="168"/>
    </row>
    <row r="3" spans="1:51" s="3" customFormat="1" ht="18" customHeight="1" thickBot="1">
      <c r="A3" s="451" t="s">
        <v>29</v>
      </c>
      <c r="B3" s="453" t="s">
        <v>1</v>
      </c>
      <c r="C3" s="455" t="s">
        <v>0</v>
      </c>
      <c r="D3" s="457" t="s">
        <v>46</v>
      </c>
      <c r="E3" s="457"/>
      <c r="F3" s="457"/>
      <c r="G3" s="457"/>
      <c r="H3" s="457"/>
      <c r="I3" s="457"/>
      <c r="J3" s="457"/>
      <c r="K3" s="457"/>
      <c r="L3" s="457"/>
      <c r="M3" s="457"/>
      <c r="N3" s="458" t="s">
        <v>47</v>
      </c>
      <c r="O3" s="457"/>
      <c r="P3" s="457"/>
      <c r="Q3" s="457"/>
      <c r="R3" s="457"/>
      <c r="S3" s="457"/>
      <c r="T3" s="457"/>
      <c r="U3" s="457"/>
      <c r="V3" s="457"/>
      <c r="W3" s="459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72"/>
      <c r="AI3" s="172"/>
      <c r="AJ3" s="172"/>
      <c r="AK3" s="172"/>
      <c r="AL3" s="172"/>
      <c r="AM3" s="172"/>
      <c r="AN3" s="172"/>
      <c r="AO3" s="172"/>
      <c r="AP3" s="172"/>
      <c r="AQ3" s="172"/>
      <c r="AR3" s="172"/>
      <c r="AS3" s="172"/>
      <c r="AT3" s="172"/>
      <c r="AU3" s="172"/>
      <c r="AV3" s="172"/>
      <c r="AW3" s="172"/>
      <c r="AX3" s="172"/>
      <c r="AY3" s="172"/>
    </row>
    <row r="4" spans="1:51" s="136" customFormat="1" ht="18" customHeight="1" thickBot="1">
      <c r="A4" s="452"/>
      <c r="B4" s="454"/>
      <c r="C4" s="456"/>
      <c r="D4" s="97" t="s">
        <v>61</v>
      </c>
      <c r="E4" s="98" t="s">
        <v>62</v>
      </c>
      <c r="F4" s="98" t="s">
        <v>63</v>
      </c>
      <c r="G4" s="98" t="s">
        <v>64</v>
      </c>
      <c r="H4" s="98" t="s">
        <v>65</v>
      </c>
      <c r="I4" s="98" t="s">
        <v>66</v>
      </c>
      <c r="J4" s="98" t="s">
        <v>67</v>
      </c>
      <c r="K4" s="98" t="s">
        <v>68</v>
      </c>
      <c r="L4" s="98" t="s">
        <v>69</v>
      </c>
      <c r="M4" s="99" t="s">
        <v>70</v>
      </c>
      <c r="N4" s="137" t="s">
        <v>61</v>
      </c>
      <c r="O4" s="138" t="s">
        <v>62</v>
      </c>
      <c r="P4" s="138" t="s">
        <v>63</v>
      </c>
      <c r="Q4" s="138" t="s">
        <v>64</v>
      </c>
      <c r="R4" s="138" t="s">
        <v>65</v>
      </c>
      <c r="S4" s="138" t="s">
        <v>66</v>
      </c>
      <c r="T4" s="138" t="s">
        <v>67</v>
      </c>
      <c r="U4" s="138" t="s">
        <v>68</v>
      </c>
      <c r="V4" s="138" t="s">
        <v>69</v>
      </c>
      <c r="W4" s="139" t="s">
        <v>70</v>
      </c>
      <c r="X4" s="191"/>
      <c r="Y4" s="191"/>
      <c r="Z4" s="191"/>
      <c r="AA4" s="191"/>
      <c r="AB4" s="191"/>
      <c r="AC4" s="191"/>
      <c r="AD4" s="191"/>
      <c r="AE4" s="191"/>
      <c r="AF4" s="191"/>
      <c r="AG4" s="191"/>
      <c r="AH4" s="191"/>
      <c r="AI4" s="191"/>
      <c r="AJ4" s="191"/>
      <c r="AK4" s="191"/>
      <c r="AL4" s="191"/>
      <c r="AM4" s="191"/>
      <c r="AN4" s="191"/>
      <c r="AO4" s="191"/>
      <c r="AP4" s="191"/>
      <c r="AQ4" s="191"/>
      <c r="AR4" s="191"/>
      <c r="AS4" s="191"/>
      <c r="AT4" s="191"/>
      <c r="AU4" s="191"/>
      <c r="AV4" s="191"/>
      <c r="AW4" s="191"/>
      <c r="AX4" s="191"/>
      <c r="AY4" s="191"/>
    </row>
    <row r="5" spans="1:51" s="136" customFormat="1" ht="18" customHeight="1">
      <c r="A5" s="142" t="s">
        <v>30</v>
      </c>
      <c r="B5" s="140">
        <v>41043</v>
      </c>
      <c r="C5" s="105" t="s">
        <v>73</v>
      </c>
      <c r="D5" s="144">
        <v>1</v>
      </c>
      <c r="E5" s="145">
        <v>2</v>
      </c>
      <c r="F5" s="144">
        <v>3</v>
      </c>
      <c r="G5" s="145">
        <v>4</v>
      </c>
      <c r="H5" s="144">
        <v>5</v>
      </c>
      <c r="I5" s="145">
        <v>6</v>
      </c>
      <c r="J5" s="144">
        <v>7</v>
      </c>
      <c r="K5" s="145">
        <v>8</v>
      </c>
      <c r="L5" s="144">
        <v>9</v>
      </c>
      <c r="M5" s="156">
        <v>10</v>
      </c>
      <c r="N5" s="159">
        <v>80</v>
      </c>
      <c r="O5" s="145">
        <v>30</v>
      </c>
      <c r="P5" s="145">
        <v>40</v>
      </c>
      <c r="Q5" s="145">
        <v>90</v>
      </c>
      <c r="R5" s="145">
        <v>85</v>
      </c>
      <c r="S5" s="145">
        <v>40</v>
      </c>
      <c r="T5" s="145">
        <v>90</v>
      </c>
      <c r="U5" s="145">
        <v>60</v>
      </c>
      <c r="V5" s="145">
        <v>75</v>
      </c>
      <c r="W5" s="146">
        <v>35</v>
      </c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91"/>
      <c r="AK5" s="191"/>
      <c r="AL5" s="191"/>
      <c r="AM5" s="191"/>
      <c r="AN5" s="191"/>
      <c r="AO5" s="191"/>
      <c r="AP5" s="191"/>
      <c r="AQ5" s="191"/>
      <c r="AR5" s="191"/>
      <c r="AS5" s="191"/>
      <c r="AT5" s="191"/>
      <c r="AU5" s="191"/>
      <c r="AV5" s="191"/>
      <c r="AW5" s="191"/>
      <c r="AX5" s="191"/>
      <c r="AY5" s="191"/>
    </row>
    <row r="6" spans="1:51" s="136" customFormat="1" ht="18" customHeight="1">
      <c r="A6" s="142" t="s">
        <v>31</v>
      </c>
      <c r="B6" s="140">
        <v>41098</v>
      </c>
      <c r="C6" s="105" t="s">
        <v>72</v>
      </c>
      <c r="D6" s="147">
        <v>1</v>
      </c>
      <c r="E6" s="148">
        <v>2</v>
      </c>
      <c r="F6" s="148">
        <v>3</v>
      </c>
      <c r="G6" s="148">
        <v>4</v>
      </c>
      <c r="H6" s="148">
        <v>5</v>
      </c>
      <c r="I6" s="148">
        <v>6</v>
      </c>
      <c r="J6" s="148">
        <v>7</v>
      </c>
      <c r="K6" s="148">
        <v>8</v>
      </c>
      <c r="L6" s="148">
        <v>9</v>
      </c>
      <c r="M6" s="157">
        <v>10</v>
      </c>
      <c r="N6" s="160">
        <v>80</v>
      </c>
      <c r="O6" s="148">
        <v>90</v>
      </c>
      <c r="P6" s="148">
        <v>85</v>
      </c>
      <c r="Q6" s="148">
        <v>50</v>
      </c>
      <c r="R6" s="148">
        <v>15</v>
      </c>
      <c r="S6" s="148">
        <v>50</v>
      </c>
      <c r="T6" s="148">
        <v>50</v>
      </c>
      <c r="U6" s="148">
        <v>80</v>
      </c>
      <c r="V6" s="148">
        <v>25</v>
      </c>
      <c r="W6" s="149">
        <v>80</v>
      </c>
      <c r="X6" s="191"/>
      <c r="Y6" s="191"/>
      <c r="Z6" s="191"/>
      <c r="AA6" s="191"/>
      <c r="AB6" s="191"/>
      <c r="AC6" s="191"/>
      <c r="AD6" s="191"/>
      <c r="AE6" s="191"/>
      <c r="AF6" s="191"/>
      <c r="AG6" s="191"/>
      <c r="AH6" s="191"/>
      <c r="AI6" s="191"/>
      <c r="AJ6" s="191"/>
      <c r="AK6" s="191"/>
      <c r="AL6" s="191"/>
      <c r="AM6" s="191"/>
      <c r="AN6" s="191"/>
      <c r="AO6" s="191"/>
      <c r="AP6" s="191"/>
      <c r="AQ6" s="191"/>
      <c r="AR6" s="191"/>
      <c r="AS6" s="191"/>
      <c r="AT6" s="191"/>
      <c r="AU6" s="191"/>
      <c r="AV6" s="191"/>
      <c r="AW6" s="191"/>
      <c r="AX6" s="191"/>
      <c r="AY6" s="191"/>
    </row>
    <row r="7" spans="1:51" s="136" customFormat="1" ht="18" customHeight="1">
      <c r="A7" s="142" t="s">
        <v>32</v>
      </c>
      <c r="B7" s="140"/>
      <c r="C7" s="349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60"/>
      <c r="O7" s="148"/>
      <c r="P7" s="148"/>
      <c r="Q7" s="148"/>
      <c r="R7" s="148"/>
      <c r="S7" s="148"/>
      <c r="T7" s="148"/>
      <c r="U7" s="148"/>
      <c r="V7" s="148"/>
      <c r="W7" s="149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1"/>
      <c r="AK7" s="191"/>
      <c r="AL7" s="191"/>
      <c r="AM7" s="191"/>
      <c r="AN7" s="191"/>
      <c r="AO7" s="191"/>
      <c r="AP7" s="191"/>
      <c r="AQ7" s="191"/>
      <c r="AR7" s="191"/>
      <c r="AS7" s="191"/>
      <c r="AT7" s="191"/>
      <c r="AU7" s="191"/>
      <c r="AV7" s="191"/>
      <c r="AW7" s="191"/>
      <c r="AX7" s="191"/>
      <c r="AY7" s="191"/>
    </row>
    <row r="8" spans="1:51" s="136" customFormat="1" ht="18" customHeight="1">
      <c r="A8" s="300" t="s">
        <v>34</v>
      </c>
      <c r="B8" s="140"/>
      <c r="C8" s="105"/>
      <c r="D8" s="295"/>
      <c r="E8" s="295"/>
      <c r="F8" s="295"/>
      <c r="G8" s="295"/>
      <c r="H8" s="295"/>
      <c r="I8" s="295"/>
      <c r="J8" s="295"/>
      <c r="K8" s="295"/>
      <c r="L8" s="295"/>
      <c r="M8" s="296"/>
      <c r="N8" s="297"/>
      <c r="O8" s="298"/>
      <c r="P8" s="298"/>
      <c r="Q8" s="298"/>
      <c r="R8" s="298"/>
      <c r="S8" s="298"/>
      <c r="T8" s="298"/>
      <c r="U8" s="298"/>
      <c r="V8" s="298"/>
      <c r="W8" s="299"/>
      <c r="X8" s="191"/>
      <c r="Y8" s="191"/>
      <c r="Z8" s="191"/>
      <c r="AA8" s="191"/>
      <c r="AB8" s="191"/>
      <c r="AC8" s="191"/>
      <c r="AD8" s="191"/>
      <c r="AE8" s="191"/>
      <c r="AF8" s="191"/>
      <c r="AG8" s="191"/>
      <c r="AH8" s="191"/>
      <c r="AI8" s="191"/>
      <c r="AJ8" s="191"/>
      <c r="AK8" s="191"/>
      <c r="AL8" s="191"/>
      <c r="AM8" s="191"/>
      <c r="AN8" s="191"/>
      <c r="AO8" s="191"/>
      <c r="AP8" s="191"/>
      <c r="AQ8" s="191"/>
      <c r="AR8" s="191"/>
      <c r="AS8" s="191"/>
      <c r="AT8" s="191"/>
      <c r="AU8" s="191"/>
      <c r="AV8" s="191"/>
      <c r="AW8" s="191"/>
      <c r="AX8" s="191"/>
      <c r="AY8" s="191"/>
    </row>
    <row r="9" spans="1:51" s="136" customFormat="1" ht="18" customHeight="1" thickBot="1">
      <c r="A9" s="143" t="s">
        <v>33</v>
      </c>
      <c r="B9" s="162">
        <v>41072</v>
      </c>
      <c r="C9" s="141" t="s">
        <v>87</v>
      </c>
      <c r="D9" s="150">
        <v>1</v>
      </c>
      <c r="E9" s="151">
        <v>2</v>
      </c>
      <c r="F9" s="151">
        <v>3</v>
      </c>
      <c r="G9" s="151">
        <v>4</v>
      </c>
      <c r="H9" s="151">
        <v>5</v>
      </c>
      <c r="I9" s="151">
        <v>6</v>
      </c>
      <c r="J9" s="151">
        <v>7</v>
      </c>
      <c r="K9" s="151">
        <v>8</v>
      </c>
      <c r="L9" s="151">
        <v>9</v>
      </c>
      <c r="M9" s="158">
        <v>10</v>
      </c>
      <c r="N9" s="161">
        <v>80</v>
      </c>
      <c r="O9" s="151">
        <v>45</v>
      </c>
      <c r="P9" s="151">
        <v>30</v>
      </c>
      <c r="Q9" s="151">
        <v>45</v>
      </c>
      <c r="R9" s="151">
        <v>60</v>
      </c>
      <c r="S9" s="151">
        <v>20</v>
      </c>
      <c r="T9" s="151">
        <v>50</v>
      </c>
      <c r="U9" s="151">
        <v>45</v>
      </c>
      <c r="V9" s="151">
        <v>80</v>
      </c>
      <c r="W9" s="152">
        <v>45</v>
      </c>
      <c r="X9" s="191"/>
      <c r="Y9" s="191"/>
      <c r="Z9" s="191"/>
      <c r="AA9" s="191"/>
      <c r="AB9" s="191"/>
      <c r="AC9" s="191"/>
      <c r="AD9" s="191"/>
      <c r="AE9" s="191"/>
      <c r="AF9" s="191"/>
      <c r="AG9" s="191"/>
      <c r="AH9" s="191"/>
      <c r="AI9" s="191"/>
      <c r="AJ9" s="191"/>
      <c r="AK9" s="191"/>
      <c r="AL9" s="191"/>
      <c r="AM9" s="191"/>
      <c r="AN9" s="191"/>
      <c r="AO9" s="191"/>
      <c r="AP9" s="191"/>
      <c r="AQ9" s="191"/>
      <c r="AR9" s="191"/>
      <c r="AS9" s="191"/>
      <c r="AT9" s="191"/>
      <c r="AU9" s="191"/>
      <c r="AV9" s="191"/>
      <c r="AW9" s="191"/>
      <c r="AX9" s="191"/>
      <c r="AY9" s="191"/>
    </row>
    <row r="10" spans="1:51" s="136" customFormat="1" ht="13" thickBot="1">
      <c r="A10" s="192"/>
      <c r="B10" s="193"/>
      <c r="C10" s="194"/>
      <c r="D10" s="194"/>
      <c r="E10" s="194"/>
      <c r="F10" s="194"/>
      <c r="G10" s="194"/>
      <c r="H10" s="194"/>
      <c r="I10" s="195"/>
      <c r="J10" s="196"/>
      <c r="K10" s="196"/>
      <c r="L10" s="191"/>
      <c r="M10" s="196"/>
      <c r="N10" s="196"/>
      <c r="O10" s="196"/>
      <c r="P10" s="196"/>
      <c r="Q10" s="196"/>
      <c r="R10" s="196"/>
      <c r="S10" s="196"/>
      <c r="T10" s="196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1"/>
      <c r="AI10" s="191"/>
      <c r="AJ10" s="191"/>
      <c r="AK10" s="191"/>
      <c r="AL10" s="191"/>
      <c r="AM10" s="191"/>
      <c r="AN10" s="191"/>
      <c r="AO10" s="191"/>
      <c r="AP10" s="191"/>
      <c r="AQ10" s="191"/>
      <c r="AR10" s="191"/>
      <c r="AS10" s="191"/>
      <c r="AT10" s="191"/>
      <c r="AU10" s="191"/>
      <c r="AV10" s="191"/>
      <c r="AW10" s="191"/>
      <c r="AX10" s="191"/>
      <c r="AY10" s="191"/>
    </row>
    <row r="11" spans="1:51" ht="13.5" customHeight="1" thickBot="1">
      <c r="A11" s="48" t="s">
        <v>29</v>
      </c>
      <c r="B11" s="49" t="s">
        <v>1</v>
      </c>
      <c r="C11" s="153" t="s">
        <v>0</v>
      </c>
      <c r="D11" s="460" t="s">
        <v>7</v>
      </c>
      <c r="E11" s="461"/>
      <c r="F11" s="461"/>
      <c r="G11" s="461"/>
      <c r="H11" s="461"/>
      <c r="I11" s="461"/>
      <c r="J11" s="461"/>
      <c r="K11" s="461"/>
      <c r="L11" s="461"/>
      <c r="M11" s="462"/>
      <c r="N11" s="460" t="s">
        <v>8</v>
      </c>
      <c r="O11" s="461"/>
      <c r="P11" s="461"/>
      <c r="Q11" s="461"/>
      <c r="R11" s="461"/>
      <c r="S11" s="461"/>
      <c r="T11" s="461"/>
      <c r="U11" s="461"/>
      <c r="V11" s="461"/>
      <c r="W11" s="462"/>
      <c r="X11" s="418" t="s">
        <v>9</v>
      </c>
      <c r="Y11" s="419"/>
      <c r="Z11" s="419"/>
      <c r="AA11" s="419"/>
      <c r="AB11" s="419"/>
      <c r="AC11" s="419"/>
      <c r="AD11" s="419"/>
      <c r="AE11" s="419"/>
      <c r="AF11" s="419"/>
      <c r="AG11" s="420"/>
      <c r="AH11" s="450" t="s">
        <v>35</v>
      </c>
      <c r="AI11" s="449"/>
      <c r="AJ11" s="449"/>
      <c r="AK11" s="50" t="s">
        <v>48</v>
      </c>
      <c r="AL11" s="168"/>
      <c r="AM11" s="168"/>
      <c r="AN11" s="168"/>
      <c r="AO11" s="168"/>
      <c r="AP11" s="168"/>
      <c r="AQ11" s="168"/>
      <c r="AR11" s="168"/>
      <c r="AS11" s="168"/>
      <c r="AT11" s="168"/>
      <c r="AU11" s="168"/>
      <c r="AV11" s="191"/>
      <c r="AW11" s="191"/>
      <c r="AX11" s="191"/>
      <c r="AY11" s="191"/>
    </row>
    <row r="12" spans="1:51" ht="13" thickBot="1">
      <c r="A12" s="294" t="s">
        <v>30</v>
      </c>
      <c r="B12" s="154"/>
      <c r="C12" s="154"/>
      <c r="D12" s="97" t="s">
        <v>61</v>
      </c>
      <c r="E12" s="98" t="s">
        <v>62</v>
      </c>
      <c r="F12" s="98" t="s">
        <v>63</v>
      </c>
      <c r="G12" s="98" t="s">
        <v>64</v>
      </c>
      <c r="H12" s="98" t="s">
        <v>65</v>
      </c>
      <c r="I12" s="98" t="s">
        <v>66</v>
      </c>
      <c r="J12" s="98" t="s">
        <v>67</v>
      </c>
      <c r="K12" s="98" t="s">
        <v>68</v>
      </c>
      <c r="L12" s="98" t="s">
        <v>69</v>
      </c>
      <c r="M12" s="99" t="s">
        <v>70</v>
      </c>
      <c r="N12" s="97" t="s">
        <v>61</v>
      </c>
      <c r="O12" s="98" t="s">
        <v>62</v>
      </c>
      <c r="P12" s="98" t="s">
        <v>63</v>
      </c>
      <c r="Q12" s="98" t="s">
        <v>64</v>
      </c>
      <c r="R12" s="98" t="s">
        <v>65</v>
      </c>
      <c r="S12" s="98" t="s">
        <v>66</v>
      </c>
      <c r="T12" s="98" t="s">
        <v>67</v>
      </c>
      <c r="U12" s="98" t="s">
        <v>68</v>
      </c>
      <c r="V12" s="98" t="s">
        <v>69</v>
      </c>
      <c r="W12" s="99" t="s">
        <v>70</v>
      </c>
      <c r="X12" s="301" t="s">
        <v>61</v>
      </c>
      <c r="Y12" s="302" t="s">
        <v>62</v>
      </c>
      <c r="Z12" s="302" t="s">
        <v>63</v>
      </c>
      <c r="AA12" s="302" t="s">
        <v>64</v>
      </c>
      <c r="AB12" s="302" t="s">
        <v>65</v>
      </c>
      <c r="AC12" s="302" t="s">
        <v>66</v>
      </c>
      <c r="AD12" s="302" t="s">
        <v>67</v>
      </c>
      <c r="AE12" s="302" t="s">
        <v>68</v>
      </c>
      <c r="AF12" s="302" t="s">
        <v>69</v>
      </c>
      <c r="AG12" s="303" t="s">
        <v>70</v>
      </c>
      <c r="AH12" s="306" t="s">
        <v>49</v>
      </c>
      <c r="AI12" s="293" t="s">
        <v>50</v>
      </c>
      <c r="AJ12" s="307" t="s">
        <v>51</v>
      </c>
      <c r="AK12" s="155"/>
      <c r="AL12" s="168"/>
      <c r="AM12" s="168"/>
      <c r="AN12" s="168"/>
      <c r="AO12" s="168"/>
      <c r="AP12" s="166"/>
      <c r="AQ12" s="168"/>
      <c r="AR12" s="168"/>
      <c r="AS12" s="168"/>
      <c r="AT12" s="168"/>
      <c r="AU12" s="168"/>
      <c r="AV12" s="191"/>
      <c r="AW12" s="191"/>
      <c r="AX12" s="191"/>
      <c r="AY12" s="191"/>
    </row>
    <row r="13" spans="1:51">
      <c r="A13" s="60" t="s">
        <v>30</v>
      </c>
      <c r="B13" s="163">
        <v>41043</v>
      </c>
      <c r="C13" s="107" t="s">
        <v>73</v>
      </c>
      <c r="D13" s="351">
        <v>0</v>
      </c>
      <c r="E13" s="352">
        <v>2</v>
      </c>
      <c r="F13" s="352">
        <v>4</v>
      </c>
      <c r="G13" s="352">
        <v>0</v>
      </c>
      <c r="H13" s="352">
        <v>5</v>
      </c>
      <c r="I13" s="352">
        <v>0</v>
      </c>
      <c r="J13" s="352">
        <v>17</v>
      </c>
      <c r="K13" s="352">
        <v>1</v>
      </c>
      <c r="L13" s="352">
        <v>3</v>
      </c>
      <c r="M13" s="353">
        <v>13</v>
      </c>
      <c r="N13" s="351">
        <v>0</v>
      </c>
      <c r="O13" s="352">
        <v>0</v>
      </c>
      <c r="P13" s="352">
        <v>0</v>
      </c>
      <c r="Q13" s="352">
        <v>0</v>
      </c>
      <c r="R13" s="352">
        <v>0</v>
      </c>
      <c r="S13" s="352">
        <v>0</v>
      </c>
      <c r="T13" s="352">
        <v>0</v>
      </c>
      <c r="U13" s="352">
        <v>0</v>
      </c>
      <c r="V13" s="352">
        <v>0</v>
      </c>
      <c r="W13" s="353">
        <v>0</v>
      </c>
      <c r="X13" s="351">
        <v>0</v>
      </c>
      <c r="Y13" s="352">
        <v>0</v>
      </c>
      <c r="Z13" s="352">
        <v>0</v>
      </c>
      <c r="AA13" s="352">
        <v>0</v>
      </c>
      <c r="AB13" s="352">
        <v>0</v>
      </c>
      <c r="AC13" s="352">
        <v>0</v>
      </c>
      <c r="AD13" s="352">
        <v>0</v>
      </c>
      <c r="AE13" s="352">
        <v>0</v>
      </c>
      <c r="AF13" s="352">
        <v>0</v>
      </c>
      <c r="AG13" s="353">
        <v>0</v>
      </c>
      <c r="AH13" s="199">
        <f>IF(COUNT(D13:M13)=0,"",AVERAGE(D13:M13))</f>
        <v>4.5</v>
      </c>
      <c r="AI13" s="200">
        <f>IF(COUNT(N13:W13)=0,"",AVERAGE(N13:W13))</f>
        <v>0</v>
      </c>
      <c r="AJ13" s="201">
        <f>IF(COUNT(X13:AG13)=0,"",AVERAGE(X13:AG13))</f>
        <v>0</v>
      </c>
      <c r="AK13" s="202">
        <f>IF(ISNUMBER(AH13),AH13,0)+IF(ISNUMBER(AI13),AI13,0)+IF(ISNUMBER(AJ13),AJ13,0)</f>
        <v>4.5</v>
      </c>
      <c r="AL13" s="168"/>
      <c r="AM13" s="168"/>
      <c r="AN13" s="168"/>
      <c r="AO13" s="168"/>
      <c r="AP13" s="168"/>
      <c r="AQ13" s="168"/>
      <c r="AR13" s="168"/>
      <c r="AS13" s="168"/>
      <c r="AT13" s="168"/>
      <c r="AU13" s="168"/>
      <c r="AV13" s="191"/>
      <c r="AW13" s="191"/>
      <c r="AX13" s="191"/>
      <c r="AY13" s="191"/>
    </row>
    <row r="14" spans="1:51">
      <c r="A14" s="60" t="s">
        <v>30</v>
      </c>
      <c r="B14" s="163">
        <v>41053</v>
      </c>
      <c r="C14" s="107" t="s">
        <v>75</v>
      </c>
      <c r="D14" s="23">
        <v>24</v>
      </c>
      <c r="E14" s="24">
        <v>10</v>
      </c>
      <c r="F14" s="24">
        <v>15</v>
      </c>
      <c r="G14" s="24">
        <v>18</v>
      </c>
      <c r="H14" s="24">
        <v>32</v>
      </c>
      <c r="I14" s="24">
        <v>1</v>
      </c>
      <c r="J14" s="24">
        <v>84</v>
      </c>
      <c r="K14" s="24">
        <v>20</v>
      </c>
      <c r="L14" s="24">
        <v>23</v>
      </c>
      <c r="M14" s="22">
        <v>13</v>
      </c>
      <c r="N14" s="23">
        <v>3</v>
      </c>
      <c r="O14" s="24">
        <v>3</v>
      </c>
      <c r="P14" s="24">
        <v>9</v>
      </c>
      <c r="Q14" s="24">
        <v>5</v>
      </c>
      <c r="R14" s="24">
        <v>20</v>
      </c>
      <c r="S14" s="24">
        <v>1</v>
      </c>
      <c r="T14" s="24">
        <v>35</v>
      </c>
      <c r="U14" s="24">
        <v>6</v>
      </c>
      <c r="V14" s="24">
        <v>22</v>
      </c>
      <c r="W14" s="22">
        <v>0</v>
      </c>
      <c r="X14" s="23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  <c r="AF14" s="24">
        <v>0</v>
      </c>
      <c r="AG14" s="22">
        <v>0</v>
      </c>
      <c r="AH14" s="203">
        <f t="shared" ref="AH14:AH42" si="0">IF(COUNT(D14:M14)=0,"",AVERAGE(D14:M14))</f>
        <v>24</v>
      </c>
      <c r="AI14" s="204">
        <f t="shared" ref="AI14:AI42" si="1">IF(COUNT(N14:W14)=0,"",AVERAGE(N14:W14))</f>
        <v>10.4</v>
      </c>
      <c r="AJ14" s="205">
        <f t="shared" ref="AJ14:AJ42" si="2">IF(COUNT(X14:AG14)=0,"",AVERAGE(X14:AG14))</f>
        <v>0</v>
      </c>
      <c r="AK14" s="206">
        <f t="shared" ref="AK14:AK42" si="3">IF(ISNUMBER(AH14),AH14,0)+IF(ISNUMBER(AI14),AI14,0)+IF(ISNUMBER(AJ14),AJ14,0)</f>
        <v>34.4</v>
      </c>
      <c r="AL14" s="168"/>
      <c r="AM14" s="168"/>
      <c r="AN14" s="168"/>
      <c r="AO14" s="168"/>
      <c r="AP14" s="168"/>
      <c r="AQ14" s="168"/>
      <c r="AR14" s="168"/>
      <c r="AS14" s="168"/>
      <c r="AT14" s="168"/>
      <c r="AU14" s="168"/>
      <c r="AV14" s="191"/>
      <c r="AW14" s="191"/>
      <c r="AX14" s="191"/>
      <c r="AY14" s="191"/>
    </row>
    <row r="15" spans="1:51">
      <c r="A15" s="60" t="s">
        <v>30</v>
      </c>
      <c r="B15" s="163">
        <v>41059</v>
      </c>
      <c r="C15" s="107" t="s">
        <v>76</v>
      </c>
      <c r="D15" s="351">
        <v>8</v>
      </c>
      <c r="E15" s="352">
        <v>2</v>
      </c>
      <c r="F15" s="352">
        <v>5</v>
      </c>
      <c r="G15" s="352">
        <v>6</v>
      </c>
      <c r="H15" s="352">
        <v>4</v>
      </c>
      <c r="I15" s="352">
        <v>1</v>
      </c>
      <c r="J15" s="352">
        <v>17</v>
      </c>
      <c r="K15" s="352">
        <v>7</v>
      </c>
      <c r="L15" s="352">
        <v>9</v>
      </c>
      <c r="M15" s="353">
        <v>3</v>
      </c>
      <c r="N15" s="351">
        <v>25</v>
      </c>
      <c r="O15" s="352">
        <v>13</v>
      </c>
      <c r="P15" s="352">
        <v>19</v>
      </c>
      <c r="Q15" s="352">
        <v>36</v>
      </c>
      <c r="R15" s="352">
        <v>38</v>
      </c>
      <c r="S15" s="352">
        <v>3</v>
      </c>
      <c r="T15" s="352">
        <v>102</v>
      </c>
      <c r="U15" s="352">
        <v>19</v>
      </c>
      <c r="V15" s="352">
        <v>27</v>
      </c>
      <c r="W15" s="353">
        <v>12</v>
      </c>
      <c r="X15" s="23">
        <v>0</v>
      </c>
      <c r="Y15" s="24">
        <v>0</v>
      </c>
      <c r="Z15" s="24">
        <v>0</v>
      </c>
      <c r="AA15" s="24">
        <v>0</v>
      </c>
      <c r="AB15" s="24">
        <v>0</v>
      </c>
      <c r="AC15" s="24">
        <v>0</v>
      </c>
      <c r="AD15" s="24">
        <v>0</v>
      </c>
      <c r="AE15" s="24">
        <v>0</v>
      </c>
      <c r="AF15" s="24">
        <v>0</v>
      </c>
      <c r="AG15" s="22">
        <v>0</v>
      </c>
      <c r="AH15" s="203">
        <f t="shared" si="0"/>
        <v>6.2</v>
      </c>
      <c r="AI15" s="204">
        <f t="shared" si="1"/>
        <v>29.4</v>
      </c>
      <c r="AJ15" s="205">
        <f t="shared" si="2"/>
        <v>0</v>
      </c>
      <c r="AK15" s="206">
        <f t="shared" si="3"/>
        <v>35.6</v>
      </c>
      <c r="AL15" s="168"/>
      <c r="AM15" s="168"/>
      <c r="AN15" s="168"/>
      <c r="AO15" s="168"/>
      <c r="AP15" s="168"/>
      <c r="AQ15" s="168"/>
      <c r="AR15" s="168"/>
      <c r="AS15" s="168"/>
      <c r="AT15" s="168"/>
      <c r="AU15" s="168"/>
      <c r="AV15" s="191"/>
      <c r="AW15" s="191"/>
      <c r="AX15" s="191"/>
      <c r="AY15" s="191"/>
    </row>
    <row r="16" spans="1:51">
      <c r="A16" s="60" t="s">
        <v>30</v>
      </c>
      <c r="B16" s="163">
        <v>41068</v>
      </c>
      <c r="C16" s="107" t="s">
        <v>73</v>
      </c>
      <c r="D16" s="23">
        <v>1</v>
      </c>
      <c r="E16" s="24">
        <v>0</v>
      </c>
      <c r="F16" s="24">
        <v>1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2">
        <v>1</v>
      </c>
      <c r="N16" s="23">
        <v>24</v>
      </c>
      <c r="O16" s="24">
        <v>18</v>
      </c>
      <c r="P16" s="24">
        <v>4</v>
      </c>
      <c r="Q16" s="24">
        <v>35</v>
      </c>
      <c r="R16" s="24">
        <v>36</v>
      </c>
      <c r="S16" s="24">
        <v>4</v>
      </c>
      <c r="T16" s="24">
        <v>115</v>
      </c>
      <c r="U16" s="24">
        <v>20</v>
      </c>
      <c r="V16" s="24">
        <v>31</v>
      </c>
      <c r="W16" s="22">
        <v>17</v>
      </c>
      <c r="X16" s="23">
        <v>0</v>
      </c>
      <c r="Y16" s="24">
        <v>0</v>
      </c>
      <c r="Z16" s="24">
        <v>0</v>
      </c>
      <c r="AA16" s="24">
        <v>0</v>
      </c>
      <c r="AB16" s="24">
        <v>0</v>
      </c>
      <c r="AC16" s="24">
        <v>0</v>
      </c>
      <c r="AD16" s="24">
        <v>0</v>
      </c>
      <c r="AE16" s="24">
        <v>0</v>
      </c>
      <c r="AF16" s="24">
        <v>0</v>
      </c>
      <c r="AG16" s="22">
        <v>0</v>
      </c>
      <c r="AH16" s="203">
        <f t="shared" si="0"/>
        <v>0.3</v>
      </c>
      <c r="AI16" s="204">
        <f t="shared" si="1"/>
        <v>30.4</v>
      </c>
      <c r="AJ16" s="205">
        <f t="shared" si="2"/>
        <v>0</v>
      </c>
      <c r="AK16" s="206">
        <f t="shared" si="3"/>
        <v>30.7</v>
      </c>
      <c r="AL16" s="168"/>
      <c r="AM16" s="168"/>
      <c r="AN16" s="168"/>
      <c r="AO16" s="168"/>
      <c r="AP16" s="168"/>
      <c r="AQ16" s="168"/>
      <c r="AR16" s="168"/>
      <c r="AS16" s="168"/>
      <c r="AT16" s="168"/>
      <c r="AU16" s="168"/>
      <c r="AV16" s="191"/>
      <c r="AW16" s="191"/>
      <c r="AX16" s="191"/>
      <c r="AY16" s="191"/>
    </row>
    <row r="17" spans="1:51">
      <c r="A17" s="60" t="s">
        <v>30</v>
      </c>
      <c r="B17" s="163">
        <v>41074</v>
      </c>
      <c r="C17" s="107" t="s">
        <v>74</v>
      </c>
      <c r="D17" s="23">
        <v>0</v>
      </c>
      <c r="E17" s="24">
        <v>0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4">
        <v>0</v>
      </c>
      <c r="M17" s="22">
        <v>0</v>
      </c>
      <c r="N17" s="23">
        <v>45</v>
      </c>
      <c r="O17" s="24">
        <v>10</v>
      </c>
      <c r="P17" s="24">
        <v>6</v>
      </c>
      <c r="Q17" s="24">
        <v>39</v>
      </c>
      <c r="R17" s="24">
        <v>25</v>
      </c>
      <c r="S17" s="24">
        <v>3</v>
      </c>
      <c r="T17" s="24">
        <v>134</v>
      </c>
      <c r="U17" s="24">
        <v>23</v>
      </c>
      <c r="V17" s="24">
        <v>42</v>
      </c>
      <c r="W17" s="22">
        <v>16</v>
      </c>
      <c r="X17" s="23">
        <v>0</v>
      </c>
      <c r="Y17" s="24">
        <v>0</v>
      </c>
      <c r="Z17" s="24">
        <v>0</v>
      </c>
      <c r="AA17" s="24">
        <v>0</v>
      </c>
      <c r="AB17" s="24">
        <v>0</v>
      </c>
      <c r="AC17" s="24">
        <v>0</v>
      </c>
      <c r="AD17" s="24">
        <v>0</v>
      </c>
      <c r="AE17" s="24">
        <v>0</v>
      </c>
      <c r="AF17" s="24">
        <v>0</v>
      </c>
      <c r="AG17" s="22">
        <v>0</v>
      </c>
      <c r="AH17" s="203">
        <f t="shared" si="0"/>
        <v>0</v>
      </c>
      <c r="AI17" s="204">
        <f t="shared" si="1"/>
        <v>34.299999999999997</v>
      </c>
      <c r="AJ17" s="205">
        <f t="shared" si="2"/>
        <v>0</v>
      </c>
      <c r="AK17" s="206">
        <f t="shared" si="3"/>
        <v>34.299999999999997</v>
      </c>
      <c r="AL17" s="168"/>
      <c r="AM17" s="168"/>
      <c r="AN17" s="168"/>
      <c r="AO17" s="168"/>
      <c r="AP17" s="168"/>
      <c r="AQ17" s="168"/>
      <c r="AR17" s="168"/>
      <c r="AS17" s="168"/>
      <c r="AT17" s="168"/>
      <c r="AU17" s="168"/>
      <c r="AV17" s="191"/>
      <c r="AW17" s="191"/>
      <c r="AX17" s="191"/>
      <c r="AY17" s="191"/>
    </row>
    <row r="18" spans="1:51">
      <c r="A18" s="60" t="s">
        <v>30</v>
      </c>
      <c r="B18" s="163">
        <v>41079</v>
      </c>
      <c r="C18" s="107" t="s">
        <v>74</v>
      </c>
      <c r="D18" s="23">
        <v>0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22">
        <v>0</v>
      </c>
      <c r="N18" s="23">
        <v>31</v>
      </c>
      <c r="O18" s="24">
        <v>9</v>
      </c>
      <c r="P18" s="24">
        <v>7</v>
      </c>
      <c r="Q18" s="24">
        <v>32</v>
      </c>
      <c r="R18" s="24">
        <v>26</v>
      </c>
      <c r="S18" s="24">
        <v>3</v>
      </c>
      <c r="T18" s="24">
        <v>134</v>
      </c>
      <c r="U18" s="24">
        <v>18</v>
      </c>
      <c r="V18" s="24">
        <v>35</v>
      </c>
      <c r="W18" s="22">
        <v>6</v>
      </c>
      <c r="X18" s="23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  <c r="AF18" s="24">
        <v>0</v>
      </c>
      <c r="AG18" s="22">
        <v>0</v>
      </c>
      <c r="AH18" s="203">
        <f t="shared" si="0"/>
        <v>0</v>
      </c>
      <c r="AI18" s="204">
        <f t="shared" si="1"/>
        <v>30.1</v>
      </c>
      <c r="AJ18" s="205">
        <f t="shared" si="2"/>
        <v>0</v>
      </c>
      <c r="AK18" s="206">
        <f t="shared" si="3"/>
        <v>30.1</v>
      </c>
      <c r="AL18" s="168"/>
      <c r="AM18" s="168"/>
      <c r="AN18" s="168"/>
      <c r="AO18" s="168"/>
      <c r="AP18" s="168"/>
      <c r="AQ18" s="168"/>
      <c r="AR18" s="168"/>
      <c r="AS18" s="168"/>
      <c r="AT18" s="168"/>
      <c r="AU18" s="168"/>
      <c r="AV18" s="191"/>
      <c r="AW18" s="191"/>
      <c r="AX18" s="191"/>
      <c r="AY18" s="191"/>
    </row>
    <row r="19" spans="1:51">
      <c r="A19" s="60" t="s">
        <v>30</v>
      </c>
      <c r="B19" s="163">
        <v>41088</v>
      </c>
      <c r="C19" s="107" t="s">
        <v>74</v>
      </c>
      <c r="D19" s="23">
        <v>0</v>
      </c>
      <c r="E19" s="24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2">
        <v>0</v>
      </c>
      <c r="N19" s="23">
        <v>22</v>
      </c>
      <c r="O19" s="24">
        <v>7</v>
      </c>
      <c r="P19" s="24">
        <v>11</v>
      </c>
      <c r="Q19" s="24">
        <v>21</v>
      </c>
      <c r="R19" s="24">
        <v>14</v>
      </c>
      <c r="S19" s="24">
        <v>2</v>
      </c>
      <c r="T19" s="24">
        <v>123</v>
      </c>
      <c r="U19" s="24">
        <v>12</v>
      </c>
      <c r="V19" s="24">
        <v>35</v>
      </c>
      <c r="W19" s="22">
        <v>3</v>
      </c>
      <c r="X19" s="23">
        <v>0</v>
      </c>
      <c r="Y19" s="24">
        <v>0</v>
      </c>
      <c r="Z19" s="24">
        <v>0</v>
      </c>
      <c r="AA19" s="24">
        <v>0</v>
      </c>
      <c r="AB19" s="24">
        <v>0</v>
      </c>
      <c r="AC19" s="24">
        <v>0</v>
      </c>
      <c r="AD19" s="24">
        <v>0</v>
      </c>
      <c r="AE19" s="24">
        <v>1</v>
      </c>
      <c r="AF19" s="24">
        <v>0</v>
      </c>
      <c r="AG19" s="22">
        <v>0</v>
      </c>
      <c r="AH19" s="203">
        <f t="shared" si="0"/>
        <v>0</v>
      </c>
      <c r="AI19" s="204">
        <f t="shared" si="1"/>
        <v>25</v>
      </c>
      <c r="AJ19" s="205">
        <f t="shared" si="2"/>
        <v>0.1</v>
      </c>
      <c r="AK19" s="206">
        <f t="shared" si="3"/>
        <v>25.1</v>
      </c>
      <c r="AL19" s="168"/>
      <c r="AM19" s="168"/>
      <c r="AN19" s="168"/>
      <c r="AO19" s="168"/>
      <c r="AP19" s="168"/>
      <c r="AQ19" s="168"/>
      <c r="AR19" s="168"/>
      <c r="AS19" s="168"/>
      <c r="AT19" s="168"/>
      <c r="AU19" s="168"/>
      <c r="AV19" s="191"/>
      <c r="AW19" s="191"/>
      <c r="AX19" s="191"/>
      <c r="AY19" s="191"/>
    </row>
    <row r="20" spans="1:51">
      <c r="A20" s="60" t="s">
        <v>30</v>
      </c>
      <c r="B20" s="163">
        <v>41096</v>
      </c>
      <c r="C20" s="107" t="s">
        <v>85</v>
      </c>
      <c r="D20" s="23">
        <v>0</v>
      </c>
      <c r="E20" s="24">
        <v>0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4">
        <v>0</v>
      </c>
      <c r="M20" s="22">
        <v>0</v>
      </c>
      <c r="N20" s="23">
        <v>24</v>
      </c>
      <c r="O20" s="24">
        <v>8</v>
      </c>
      <c r="P20" s="24">
        <v>5</v>
      </c>
      <c r="Q20" s="24">
        <v>9</v>
      </c>
      <c r="R20" s="24">
        <v>8</v>
      </c>
      <c r="S20" s="24">
        <v>1</v>
      </c>
      <c r="T20" s="24">
        <v>119</v>
      </c>
      <c r="U20" s="24">
        <v>10</v>
      </c>
      <c r="V20" s="24">
        <v>24</v>
      </c>
      <c r="W20" s="22">
        <v>2</v>
      </c>
      <c r="X20" s="23">
        <v>0</v>
      </c>
      <c r="Y20" s="24">
        <v>0</v>
      </c>
      <c r="Z20" s="24">
        <v>0</v>
      </c>
      <c r="AA20" s="24">
        <v>0</v>
      </c>
      <c r="AB20" s="24">
        <v>0</v>
      </c>
      <c r="AC20" s="24">
        <v>0</v>
      </c>
      <c r="AD20" s="24">
        <v>0</v>
      </c>
      <c r="AE20" s="24">
        <v>2</v>
      </c>
      <c r="AF20" s="24">
        <v>0</v>
      </c>
      <c r="AG20" s="22">
        <v>0</v>
      </c>
      <c r="AH20" s="203">
        <f t="shared" si="0"/>
        <v>0</v>
      </c>
      <c r="AI20" s="204">
        <f t="shared" si="1"/>
        <v>21</v>
      </c>
      <c r="AJ20" s="205">
        <f t="shared" si="2"/>
        <v>0.2</v>
      </c>
      <c r="AK20" s="206">
        <f t="shared" si="3"/>
        <v>21.2</v>
      </c>
      <c r="AL20" s="168"/>
      <c r="AM20" s="168"/>
      <c r="AN20" s="168"/>
      <c r="AO20" s="168"/>
      <c r="AP20" s="168"/>
      <c r="AQ20" s="168"/>
      <c r="AR20" s="168"/>
      <c r="AS20" s="168"/>
      <c r="AT20" s="168"/>
      <c r="AU20" s="168"/>
      <c r="AV20" s="191"/>
      <c r="AW20" s="191"/>
      <c r="AX20" s="191"/>
      <c r="AY20" s="191"/>
    </row>
    <row r="21" spans="1:51">
      <c r="A21" s="60" t="s">
        <v>30</v>
      </c>
      <c r="B21" s="163">
        <v>41103</v>
      </c>
      <c r="C21" s="107" t="s">
        <v>86</v>
      </c>
      <c r="D21" s="23">
        <v>0</v>
      </c>
      <c r="E21" s="24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22">
        <v>0</v>
      </c>
      <c r="N21" s="23">
        <v>29</v>
      </c>
      <c r="O21" s="24">
        <v>1</v>
      </c>
      <c r="P21" s="24">
        <v>5</v>
      </c>
      <c r="Q21" s="24">
        <v>12</v>
      </c>
      <c r="R21" s="24">
        <v>8</v>
      </c>
      <c r="S21" s="24">
        <v>0</v>
      </c>
      <c r="T21" s="24">
        <v>110</v>
      </c>
      <c r="U21" s="24">
        <v>9</v>
      </c>
      <c r="V21" s="24">
        <v>20</v>
      </c>
      <c r="W21" s="22">
        <v>0</v>
      </c>
      <c r="X21" s="23">
        <v>5</v>
      </c>
      <c r="Y21" s="24">
        <v>1</v>
      </c>
      <c r="Z21" s="24">
        <v>0</v>
      </c>
      <c r="AA21" s="24">
        <v>1</v>
      </c>
      <c r="AB21" s="24">
        <v>2</v>
      </c>
      <c r="AC21" s="24">
        <v>0</v>
      </c>
      <c r="AD21" s="24">
        <v>14</v>
      </c>
      <c r="AE21" s="24">
        <v>7</v>
      </c>
      <c r="AF21" s="24">
        <v>2</v>
      </c>
      <c r="AG21" s="22">
        <v>1</v>
      </c>
      <c r="AH21" s="203">
        <f t="shared" si="0"/>
        <v>0</v>
      </c>
      <c r="AI21" s="204">
        <f t="shared" si="1"/>
        <v>19.399999999999999</v>
      </c>
      <c r="AJ21" s="205">
        <f t="shared" si="2"/>
        <v>3.3</v>
      </c>
      <c r="AK21" s="206">
        <f t="shared" si="3"/>
        <v>22.7</v>
      </c>
      <c r="AL21" s="168"/>
      <c r="AM21" s="168"/>
      <c r="AN21" s="168"/>
      <c r="AO21" s="168"/>
      <c r="AP21" s="168"/>
      <c r="AQ21" s="168"/>
      <c r="AR21" s="168"/>
      <c r="AS21" s="168"/>
      <c r="AT21" s="168"/>
      <c r="AU21" s="168"/>
      <c r="AV21" s="191"/>
      <c r="AW21" s="191"/>
      <c r="AX21" s="191"/>
      <c r="AY21" s="191"/>
    </row>
    <row r="22" spans="1:51">
      <c r="A22" s="60" t="s">
        <v>30</v>
      </c>
      <c r="B22" s="163">
        <v>41110</v>
      </c>
      <c r="C22" s="107" t="s">
        <v>90</v>
      </c>
      <c r="D22" s="23">
        <v>0</v>
      </c>
      <c r="E22" s="24">
        <v>0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4">
        <v>0</v>
      </c>
      <c r="M22" s="22">
        <v>0</v>
      </c>
      <c r="N22" s="23">
        <v>8</v>
      </c>
      <c r="O22" s="24">
        <v>1</v>
      </c>
      <c r="P22" s="24">
        <v>1</v>
      </c>
      <c r="Q22" s="24">
        <v>3</v>
      </c>
      <c r="R22" s="24">
        <v>2</v>
      </c>
      <c r="S22" s="24">
        <v>0</v>
      </c>
      <c r="T22" s="24">
        <v>31</v>
      </c>
      <c r="U22" s="24">
        <v>7</v>
      </c>
      <c r="V22" s="24">
        <v>3</v>
      </c>
      <c r="W22" s="22">
        <v>1</v>
      </c>
      <c r="X22" s="23">
        <v>16</v>
      </c>
      <c r="Y22" s="24">
        <v>3</v>
      </c>
      <c r="Z22" s="24">
        <v>3</v>
      </c>
      <c r="AA22" s="24">
        <v>6</v>
      </c>
      <c r="AB22" s="24">
        <v>5</v>
      </c>
      <c r="AC22" s="24">
        <v>1</v>
      </c>
      <c r="AD22" s="24">
        <v>64</v>
      </c>
      <c r="AE22" s="24">
        <v>10</v>
      </c>
      <c r="AF22" s="24">
        <v>13</v>
      </c>
      <c r="AG22" s="22">
        <v>1</v>
      </c>
      <c r="AH22" s="203">
        <f t="shared" si="0"/>
        <v>0</v>
      </c>
      <c r="AI22" s="204">
        <f t="shared" si="1"/>
        <v>5.7</v>
      </c>
      <c r="AJ22" s="205">
        <f t="shared" si="2"/>
        <v>12.2</v>
      </c>
      <c r="AK22" s="206">
        <f t="shared" si="3"/>
        <v>17.899999999999999</v>
      </c>
      <c r="AL22" s="168"/>
      <c r="AM22" s="168"/>
      <c r="AN22" s="168"/>
      <c r="AO22" s="168"/>
      <c r="AP22" s="168"/>
      <c r="AQ22" s="168"/>
      <c r="AR22" s="168"/>
      <c r="AS22" s="168"/>
      <c r="AT22" s="168"/>
      <c r="AU22" s="168"/>
      <c r="AV22" s="191"/>
      <c r="AW22" s="191"/>
      <c r="AX22" s="191"/>
      <c r="AY22" s="191"/>
    </row>
    <row r="23" spans="1:51">
      <c r="A23" s="60" t="s">
        <v>30</v>
      </c>
      <c r="B23" s="163">
        <v>41117</v>
      </c>
      <c r="C23" s="107" t="s">
        <v>86</v>
      </c>
      <c r="D23" s="23">
        <v>0</v>
      </c>
      <c r="E23" s="24">
        <v>0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0</v>
      </c>
      <c r="L23" s="24">
        <v>0</v>
      </c>
      <c r="M23" s="22">
        <v>0</v>
      </c>
      <c r="N23" s="23">
        <v>1</v>
      </c>
      <c r="O23" s="24">
        <v>1</v>
      </c>
      <c r="P23" s="24">
        <v>0</v>
      </c>
      <c r="Q23" s="24">
        <v>0</v>
      </c>
      <c r="R23" s="24">
        <v>0</v>
      </c>
      <c r="S23" s="24">
        <v>0</v>
      </c>
      <c r="T23" s="24">
        <v>3</v>
      </c>
      <c r="U23" s="24">
        <v>0</v>
      </c>
      <c r="V23" s="24">
        <v>1</v>
      </c>
      <c r="W23" s="22">
        <v>0</v>
      </c>
      <c r="X23" s="23">
        <v>24</v>
      </c>
      <c r="Y23" s="24">
        <v>3</v>
      </c>
      <c r="Z23" s="24">
        <v>5</v>
      </c>
      <c r="AA23" s="24">
        <v>7</v>
      </c>
      <c r="AB23" s="24">
        <v>9</v>
      </c>
      <c r="AC23" s="24">
        <v>1</v>
      </c>
      <c r="AD23" s="24">
        <v>102</v>
      </c>
      <c r="AE23" s="24">
        <v>13</v>
      </c>
      <c r="AF23" s="24">
        <v>17</v>
      </c>
      <c r="AG23" s="22">
        <v>3</v>
      </c>
      <c r="AH23" s="203">
        <f t="shared" si="0"/>
        <v>0</v>
      </c>
      <c r="AI23" s="204">
        <f t="shared" si="1"/>
        <v>0.6</v>
      </c>
      <c r="AJ23" s="205">
        <f t="shared" si="2"/>
        <v>18.399999999999999</v>
      </c>
      <c r="AK23" s="206">
        <f t="shared" si="3"/>
        <v>19</v>
      </c>
      <c r="AL23" s="168"/>
      <c r="AM23" s="168"/>
      <c r="AN23" s="168"/>
      <c r="AO23" s="168"/>
      <c r="AP23" s="168"/>
      <c r="AQ23" s="168"/>
      <c r="AR23" s="168"/>
      <c r="AS23" s="168"/>
      <c r="AT23" s="168"/>
      <c r="AU23" s="168"/>
      <c r="AV23" s="191"/>
      <c r="AW23" s="191"/>
      <c r="AX23" s="191"/>
      <c r="AY23" s="191"/>
    </row>
    <row r="24" spans="1:51">
      <c r="A24" s="60" t="s">
        <v>30</v>
      </c>
      <c r="B24" s="163">
        <v>41123</v>
      </c>
      <c r="C24" s="107" t="s">
        <v>91</v>
      </c>
      <c r="D24" s="23">
        <v>0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2">
        <v>0</v>
      </c>
      <c r="N24" s="23">
        <v>0</v>
      </c>
      <c r="O24" s="24">
        <v>1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2">
        <v>0</v>
      </c>
      <c r="X24" s="23">
        <v>25</v>
      </c>
      <c r="Y24" s="24">
        <v>1</v>
      </c>
      <c r="Z24" s="24">
        <v>5</v>
      </c>
      <c r="AA24" s="24">
        <v>9</v>
      </c>
      <c r="AB24" s="24">
        <v>7</v>
      </c>
      <c r="AC24" s="24">
        <v>1</v>
      </c>
      <c r="AD24" s="24">
        <v>89</v>
      </c>
      <c r="AE24" s="24">
        <v>11</v>
      </c>
      <c r="AF24" s="24">
        <v>15</v>
      </c>
      <c r="AG24" s="22">
        <v>2</v>
      </c>
      <c r="AH24" s="203">
        <f t="shared" si="0"/>
        <v>0</v>
      </c>
      <c r="AI24" s="204">
        <f t="shared" si="1"/>
        <v>0.1</v>
      </c>
      <c r="AJ24" s="205">
        <f t="shared" si="2"/>
        <v>16.5</v>
      </c>
      <c r="AK24" s="206">
        <f t="shared" si="3"/>
        <v>16.600000000000001</v>
      </c>
      <c r="AL24" s="168"/>
      <c r="AM24" s="168"/>
      <c r="AN24" s="168"/>
      <c r="AO24" s="168"/>
      <c r="AP24" s="168"/>
      <c r="AQ24" s="168"/>
      <c r="AR24" s="168"/>
      <c r="AS24" s="168"/>
      <c r="AT24" s="168"/>
      <c r="AU24" s="168"/>
      <c r="AV24" s="191"/>
      <c r="AW24" s="191"/>
      <c r="AX24" s="191"/>
      <c r="AY24" s="191"/>
    </row>
    <row r="25" spans="1:51">
      <c r="A25" s="60" t="s">
        <v>30</v>
      </c>
      <c r="B25" s="163">
        <v>41130</v>
      </c>
      <c r="C25" s="107" t="s">
        <v>73</v>
      </c>
      <c r="D25" s="23">
        <v>0</v>
      </c>
      <c r="E25" s="24">
        <v>0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0</v>
      </c>
      <c r="L25" s="24">
        <v>0</v>
      </c>
      <c r="M25" s="22">
        <v>0</v>
      </c>
      <c r="N25" s="23">
        <v>0</v>
      </c>
      <c r="O25" s="24">
        <v>0</v>
      </c>
      <c r="P25" s="24">
        <v>0</v>
      </c>
      <c r="Q25" s="24">
        <v>0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22">
        <v>0</v>
      </c>
      <c r="X25" s="23">
        <v>15</v>
      </c>
      <c r="Y25" s="24">
        <v>1</v>
      </c>
      <c r="Z25" s="24">
        <v>4</v>
      </c>
      <c r="AA25" s="24">
        <v>7</v>
      </c>
      <c r="AB25" s="24">
        <v>3</v>
      </c>
      <c r="AC25" s="24">
        <v>0</v>
      </c>
      <c r="AD25" s="24">
        <v>54</v>
      </c>
      <c r="AE25" s="24">
        <v>9</v>
      </c>
      <c r="AF25" s="24">
        <v>11</v>
      </c>
      <c r="AG25" s="22">
        <v>1</v>
      </c>
      <c r="AH25" s="203">
        <f t="shared" si="0"/>
        <v>0</v>
      </c>
      <c r="AI25" s="204">
        <f t="shared" si="1"/>
        <v>0</v>
      </c>
      <c r="AJ25" s="205">
        <f t="shared" si="2"/>
        <v>10.5</v>
      </c>
      <c r="AK25" s="206">
        <f t="shared" si="3"/>
        <v>10.5</v>
      </c>
      <c r="AL25" s="168"/>
      <c r="AM25" s="168"/>
      <c r="AN25" s="168"/>
      <c r="AO25" s="168"/>
      <c r="AP25" s="168"/>
      <c r="AQ25" s="168"/>
      <c r="AR25" s="168"/>
      <c r="AS25" s="168"/>
      <c r="AT25" s="168"/>
      <c r="AU25" s="168"/>
      <c r="AV25" s="191"/>
      <c r="AW25" s="191"/>
      <c r="AX25" s="191"/>
      <c r="AY25" s="191"/>
    </row>
    <row r="26" spans="1:51">
      <c r="A26" s="60" t="s">
        <v>30</v>
      </c>
      <c r="B26" s="163">
        <v>41137</v>
      </c>
      <c r="C26" s="107" t="s">
        <v>92</v>
      </c>
      <c r="D26" s="23">
        <v>0</v>
      </c>
      <c r="E26" s="24">
        <v>0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24">
        <v>0</v>
      </c>
      <c r="M26" s="22">
        <v>0</v>
      </c>
      <c r="N26" s="23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2">
        <v>0</v>
      </c>
      <c r="X26" s="23">
        <v>12</v>
      </c>
      <c r="Y26" s="24">
        <v>1</v>
      </c>
      <c r="Z26" s="24">
        <v>4</v>
      </c>
      <c r="AA26" s="24">
        <v>5</v>
      </c>
      <c r="AB26" s="24">
        <v>1</v>
      </c>
      <c r="AC26" s="24">
        <v>0</v>
      </c>
      <c r="AD26" s="24">
        <v>57</v>
      </c>
      <c r="AE26" s="24">
        <v>8</v>
      </c>
      <c r="AF26" s="24">
        <v>4</v>
      </c>
      <c r="AG26" s="22">
        <v>1</v>
      </c>
      <c r="AH26" s="203">
        <f t="shared" si="0"/>
        <v>0</v>
      </c>
      <c r="AI26" s="204">
        <f t="shared" si="1"/>
        <v>0</v>
      </c>
      <c r="AJ26" s="205">
        <f t="shared" si="2"/>
        <v>9.3000000000000007</v>
      </c>
      <c r="AK26" s="206">
        <f t="shared" si="3"/>
        <v>9.3000000000000007</v>
      </c>
      <c r="AL26" s="168"/>
      <c r="AM26" s="168"/>
      <c r="AN26" s="168"/>
      <c r="AO26" s="168"/>
      <c r="AP26" s="168"/>
      <c r="AQ26" s="168"/>
      <c r="AR26" s="168"/>
      <c r="AS26" s="168"/>
      <c r="AT26" s="168"/>
      <c r="AU26" s="168"/>
      <c r="AV26" s="191"/>
      <c r="AW26" s="191"/>
      <c r="AX26" s="191"/>
      <c r="AY26" s="191"/>
    </row>
    <row r="27" spans="1:51">
      <c r="A27" s="16" t="s">
        <v>30</v>
      </c>
      <c r="B27" s="163">
        <v>41145</v>
      </c>
      <c r="C27" s="107" t="s">
        <v>74</v>
      </c>
      <c r="D27" s="23">
        <v>0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2">
        <v>0</v>
      </c>
      <c r="N27" s="23">
        <v>0</v>
      </c>
      <c r="O27" s="24">
        <v>0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2">
        <v>0</v>
      </c>
      <c r="X27" s="23">
        <v>5</v>
      </c>
      <c r="Y27" s="24">
        <v>1</v>
      </c>
      <c r="Z27" s="24">
        <v>4</v>
      </c>
      <c r="AA27" s="24">
        <v>6</v>
      </c>
      <c r="AB27" s="24">
        <v>1</v>
      </c>
      <c r="AC27" s="24">
        <v>0</v>
      </c>
      <c r="AD27" s="24">
        <v>58</v>
      </c>
      <c r="AE27" s="24">
        <v>6</v>
      </c>
      <c r="AF27" s="24">
        <v>5</v>
      </c>
      <c r="AG27" s="22">
        <v>1</v>
      </c>
      <c r="AH27" s="203">
        <f t="shared" si="0"/>
        <v>0</v>
      </c>
      <c r="AI27" s="204">
        <f t="shared" si="1"/>
        <v>0</v>
      </c>
      <c r="AJ27" s="205">
        <f t="shared" si="2"/>
        <v>8.6999999999999993</v>
      </c>
      <c r="AK27" s="206">
        <f t="shared" si="3"/>
        <v>8.6999999999999993</v>
      </c>
      <c r="AL27" s="168"/>
      <c r="AM27" s="168"/>
      <c r="AN27" s="168"/>
      <c r="AO27" s="168"/>
      <c r="AP27" s="168"/>
      <c r="AQ27" s="168"/>
      <c r="AR27" s="168"/>
      <c r="AS27" s="168"/>
      <c r="AT27" s="168"/>
      <c r="AU27" s="168"/>
      <c r="AV27" s="191"/>
      <c r="AW27" s="191"/>
      <c r="AX27" s="191"/>
      <c r="AY27" s="191"/>
    </row>
    <row r="28" spans="1:51">
      <c r="A28" s="16" t="s">
        <v>30</v>
      </c>
      <c r="B28" s="163">
        <v>41152</v>
      </c>
      <c r="C28" s="107" t="s">
        <v>97</v>
      </c>
      <c r="D28" s="23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4">
        <v>0</v>
      </c>
      <c r="M28" s="22">
        <v>0</v>
      </c>
      <c r="N28" s="23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2">
        <v>0</v>
      </c>
      <c r="X28" s="23">
        <v>5</v>
      </c>
      <c r="Y28" s="24">
        <v>0</v>
      </c>
      <c r="Z28" s="24">
        <v>2</v>
      </c>
      <c r="AA28" s="24">
        <v>6</v>
      </c>
      <c r="AB28" s="24">
        <v>0</v>
      </c>
      <c r="AC28" s="24">
        <v>0</v>
      </c>
      <c r="AD28" s="24">
        <v>42</v>
      </c>
      <c r="AE28" s="24">
        <v>4</v>
      </c>
      <c r="AF28" s="24">
        <v>4</v>
      </c>
      <c r="AG28" s="22">
        <v>1</v>
      </c>
      <c r="AH28" s="203">
        <f t="shared" si="0"/>
        <v>0</v>
      </c>
      <c r="AI28" s="204">
        <f t="shared" si="1"/>
        <v>0</v>
      </c>
      <c r="AJ28" s="205">
        <f t="shared" si="2"/>
        <v>6.4</v>
      </c>
      <c r="AK28" s="206">
        <f t="shared" si="3"/>
        <v>6.4</v>
      </c>
      <c r="AL28" s="168"/>
      <c r="AM28" s="168"/>
      <c r="AN28" s="168"/>
      <c r="AO28" s="168"/>
      <c r="AP28" s="168"/>
      <c r="AQ28" s="168"/>
      <c r="AR28" s="168"/>
      <c r="AS28" s="168"/>
      <c r="AT28" s="168"/>
      <c r="AU28" s="168"/>
      <c r="AV28" s="191"/>
      <c r="AW28" s="191"/>
      <c r="AX28" s="191"/>
      <c r="AY28" s="191"/>
    </row>
    <row r="29" spans="1:51">
      <c r="A29" s="16" t="s">
        <v>30</v>
      </c>
      <c r="B29" s="163">
        <v>41159</v>
      </c>
      <c r="C29" s="107" t="s">
        <v>73</v>
      </c>
      <c r="D29" s="23">
        <v>0</v>
      </c>
      <c r="E29" s="24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2">
        <v>0</v>
      </c>
      <c r="N29" s="23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2">
        <v>0</v>
      </c>
      <c r="X29" s="23">
        <v>2</v>
      </c>
      <c r="Y29" s="24">
        <v>0</v>
      </c>
      <c r="Z29" s="24">
        <v>2</v>
      </c>
      <c r="AA29" s="24">
        <v>5</v>
      </c>
      <c r="AB29" s="24">
        <v>0</v>
      </c>
      <c r="AC29" s="24">
        <v>0</v>
      </c>
      <c r="AD29" s="24">
        <v>31</v>
      </c>
      <c r="AE29" s="24">
        <v>2</v>
      </c>
      <c r="AF29" s="24">
        <v>2</v>
      </c>
      <c r="AG29" s="22">
        <v>0</v>
      </c>
      <c r="AH29" s="203">
        <f t="shared" si="0"/>
        <v>0</v>
      </c>
      <c r="AI29" s="204">
        <f t="shared" si="1"/>
        <v>0</v>
      </c>
      <c r="AJ29" s="205">
        <f t="shared" si="2"/>
        <v>4.4000000000000004</v>
      </c>
      <c r="AK29" s="206">
        <f t="shared" si="3"/>
        <v>4.4000000000000004</v>
      </c>
      <c r="AL29" s="168"/>
      <c r="AM29" s="168"/>
      <c r="AN29" s="168"/>
      <c r="AO29" s="168"/>
      <c r="AP29" s="168"/>
      <c r="AQ29" s="168"/>
      <c r="AR29" s="168"/>
      <c r="AS29" s="168"/>
      <c r="AT29" s="168"/>
      <c r="AU29" s="168"/>
      <c r="AV29" s="191"/>
      <c r="AW29" s="191"/>
      <c r="AX29" s="191"/>
      <c r="AY29" s="191"/>
    </row>
    <row r="30" spans="1:51">
      <c r="A30" s="16" t="s">
        <v>30</v>
      </c>
      <c r="B30" s="163">
        <v>41166</v>
      </c>
      <c r="C30" s="107" t="s">
        <v>73</v>
      </c>
      <c r="D30" s="23">
        <v>0</v>
      </c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2">
        <v>0</v>
      </c>
      <c r="N30" s="23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2">
        <v>0</v>
      </c>
      <c r="X30" s="23">
        <v>2</v>
      </c>
      <c r="Y30" s="24">
        <v>0</v>
      </c>
      <c r="Z30" s="24">
        <v>1</v>
      </c>
      <c r="AA30" s="24">
        <v>5</v>
      </c>
      <c r="AB30" s="24">
        <v>0</v>
      </c>
      <c r="AC30" s="24">
        <v>0</v>
      </c>
      <c r="AD30" s="24">
        <v>29</v>
      </c>
      <c r="AE30" s="24">
        <v>1</v>
      </c>
      <c r="AF30" s="24">
        <v>2</v>
      </c>
      <c r="AG30" s="22">
        <v>0</v>
      </c>
      <c r="AH30" s="203">
        <f t="shared" si="0"/>
        <v>0</v>
      </c>
      <c r="AI30" s="204">
        <f t="shared" si="1"/>
        <v>0</v>
      </c>
      <c r="AJ30" s="205">
        <f t="shared" si="2"/>
        <v>4</v>
      </c>
      <c r="AK30" s="206">
        <f t="shared" si="3"/>
        <v>4</v>
      </c>
      <c r="AL30" s="168"/>
      <c r="AM30" s="168"/>
      <c r="AN30" s="168"/>
      <c r="AO30" s="168"/>
      <c r="AP30" s="168"/>
      <c r="AQ30" s="168"/>
      <c r="AR30" s="168"/>
      <c r="AS30" s="168"/>
      <c r="AT30" s="168"/>
      <c r="AU30" s="168"/>
      <c r="AV30" s="191"/>
      <c r="AW30" s="191"/>
      <c r="AX30" s="191"/>
      <c r="AY30" s="191"/>
    </row>
    <row r="31" spans="1:51">
      <c r="A31" s="16" t="s">
        <v>30</v>
      </c>
      <c r="B31" s="163">
        <v>41172</v>
      </c>
      <c r="C31" s="107" t="s">
        <v>73</v>
      </c>
      <c r="D31" s="23">
        <v>0</v>
      </c>
      <c r="E31" s="24">
        <v>0</v>
      </c>
      <c r="F31" s="24">
        <v>0</v>
      </c>
      <c r="G31" s="24">
        <v>0</v>
      </c>
      <c r="H31" s="24">
        <v>0</v>
      </c>
      <c r="I31" s="24">
        <v>0</v>
      </c>
      <c r="J31" s="24">
        <v>0</v>
      </c>
      <c r="K31" s="24">
        <v>0</v>
      </c>
      <c r="L31" s="24">
        <v>0</v>
      </c>
      <c r="M31" s="22">
        <v>0</v>
      </c>
      <c r="N31" s="23">
        <v>0</v>
      </c>
      <c r="O31" s="24">
        <v>0</v>
      </c>
      <c r="P31" s="24">
        <v>0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2">
        <v>0</v>
      </c>
      <c r="X31" s="23">
        <v>2</v>
      </c>
      <c r="Y31" s="24">
        <v>0</v>
      </c>
      <c r="Z31" s="24">
        <v>0</v>
      </c>
      <c r="AA31" s="24">
        <v>4</v>
      </c>
      <c r="AB31" s="24">
        <v>0</v>
      </c>
      <c r="AC31" s="24">
        <v>0</v>
      </c>
      <c r="AD31" s="24">
        <v>20</v>
      </c>
      <c r="AE31" s="24">
        <v>0</v>
      </c>
      <c r="AF31" s="24">
        <v>1</v>
      </c>
      <c r="AG31" s="22">
        <v>0</v>
      </c>
      <c r="AH31" s="203">
        <f t="shared" si="0"/>
        <v>0</v>
      </c>
      <c r="AI31" s="204">
        <f t="shared" si="1"/>
        <v>0</v>
      </c>
      <c r="AJ31" s="205">
        <f t="shared" si="2"/>
        <v>2.7</v>
      </c>
      <c r="AK31" s="206">
        <f t="shared" si="3"/>
        <v>2.7</v>
      </c>
      <c r="AL31" s="168"/>
      <c r="AM31" s="168"/>
      <c r="AN31" s="168"/>
      <c r="AO31" s="168"/>
      <c r="AP31" s="168"/>
      <c r="AQ31" s="168"/>
      <c r="AR31" s="168"/>
      <c r="AS31" s="168"/>
      <c r="AT31" s="168"/>
      <c r="AU31" s="168"/>
      <c r="AV31" s="191"/>
      <c r="AW31" s="191"/>
      <c r="AX31" s="191"/>
      <c r="AY31" s="191"/>
    </row>
    <row r="32" spans="1:51">
      <c r="A32" s="16" t="s">
        <v>30</v>
      </c>
      <c r="B32" s="163">
        <v>41180</v>
      </c>
      <c r="C32" s="107" t="s">
        <v>73</v>
      </c>
      <c r="D32" s="23">
        <v>0</v>
      </c>
      <c r="E32" s="24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0</v>
      </c>
      <c r="L32" s="24">
        <v>0</v>
      </c>
      <c r="M32" s="22">
        <v>0</v>
      </c>
      <c r="N32" s="23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2">
        <v>0</v>
      </c>
      <c r="X32" s="23">
        <v>2</v>
      </c>
      <c r="Y32" s="24">
        <v>0</v>
      </c>
      <c r="Z32" s="24">
        <v>0</v>
      </c>
      <c r="AA32" s="24">
        <v>2</v>
      </c>
      <c r="AB32" s="24">
        <v>0</v>
      </c>
      <c r="AC32" s="24">
        <v>0</v>
      </c>
      <c r="AD32" s="24">
        <v>17</v>
      </c>
      <c r="AE32" s="24">
        <v>0</v>
      </c>
      <c r="AF32" s="24">
        <v>1</v>
      </c>
      <c r="AG32" s="22">
        <v>0</v>
      </c>
      <c r="AH32" s="203">
        <f t="shared" si="0"/>
        <v>0</v>
      </c>
      <c r="AI32" s="204">
        <f t="shared" si="1"/>
        <v>0</v>
      </c>
      <c r="AJ32" s="205">
        <f t="shared" si="2"/>
        <v>2.2000000000000002</v>
      </c>
      <c r="AK32" s="206">
        <f t="shared" si="3"/>
        <v>2.2000000000000002</v>
      </c>
      <c r="AL32" s="168"/>
      <c r="AM32" s="168"/>
      <c r="AN32" s="168"/>
      <c r="AO32" s="168"/>
      <c r="AP32" s="168"/>
      <c r="AQ32" s="168"/>
      <c r="AR32" s="168"/>
      <c r="AS32" s="168"/>
      <c r="AT32" s="168"/>
      <c r="AU32" s="168"/>
      <c r="AV32" s="191"/>
      <c r="AW32" s="191"/>
      <c r="AX32" s="191"/>
      <c r="AY32" s="191"/>
    </row>
    <row r="33" spans="1:51">
      <c r="A33" s="16" t="s">
        <v>30</v>
      </c>
      <c r="B33" s="163">
        <v>41186</v>
      </c>
      <c r="C33" s="107" t="s">
        <v>73</v>
      </c>
      <c r="D33" s="23">
        <v>0</v>
      </c>
      <c r="E33" s="24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2">
        <v>0</v>
      </c>
      <c r="N33" s="23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2">
        <v>0</v>
      </c>
      <c r="X33" s="23">
        <v>0</v>
      </c>
      <c r="Y33" s="24">
        <v>0</v>
      </c>
      <c r="Z33" s="24">
        <v>0</v>
      </c>
      <c r="AA33" s="24">
        <v>1</v>
      </c>
      <c r="AB33" s="24">
        <v>0</v>
      </c>
      <c r="AC33" s="24">
        <v>0</v>
      </c>
      <c r="AD33" s="24">
        <v>8</v>
      </c>
      <c r="AE33" s="24">
        <v>0</v>
      </c>
      <c r="AF33" s="24">
        <v>0</v>
      </c>
      <c r="AG33" s="22">
        <v>0</v>
      </c>
      <c r="AH33" s="203">
        <f t="shared" si="0"/>
        <v>0</v>
      </c>
      <c r="AI33" s="204">
        <f t="shared" si="1"/>
        <v>0</v>
      </c>
      <c r="AJ33" s="205">
        <f t="shared" si="2"/>
        <v>0.9</v>
      </c>
      <c r="AK33" s="206">
        <f t="shared" si="3"/>
        <v>0.9</v>
      </c>
      <c r="AL33" s="168"/>
      <c r="AM33" s="168"/>
      <c r="AN33" s="168"/>
      <c r="AO33" s="168"/>
      <c r="AP33" s="168"/>
      <c r="AQ33" s="168"/>
      <c r="AR33" s="168"/>
      <c r="AS33" s="168"/>
      <c r="AT33" s="168"/>
      <c r="AU33" s="168"/>
      <c r="AV33" s="191"/>
      <c r="AW33" s="191"/>
      <c r="AX33" s="191"/>
      <c r="AY33" s="191"/>
    </row>
    <row r="34" spans="1:51">
      <c r="A34" s="16" t="s">
        <v>30</v>
      </c>
      <c r="B34" s="163">
        <v>41193</v>
      </c>
      <c r="C34" s="107" t="s">
        <v>73</v>
      </c>
      <c r="D34" s="23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2">
        <v>0</v>
      </c>
      <c r="N34" s="23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2">
        <v>0</v>
      </c>
      <c r="X34" s="23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2</v>
      </c>
      <c r="AE34" s="24">
        <v>0</v>
      </c>
      <c r="AF34" s="24">
        <v>0</v>
      </c>
      <c r="AG34" s="22">
        <v>0</v>
      </c>
      <c r="AH34" s="203">
        <f t="shared" si="0"/>
        <v>0</v>
      </c>
      <c r="AI34" s="204">
        <f t="shared" si="1"/>
        <v>0</v>
      </c>
      <c r="AJ34" s="205">
        <f t="shared" si="2"/>
        <v>0.2</v>
      </c>
      <c r="AK34" s="206">
        <f t="shared" si="3"/>
        <v>0.2</v>
      </c>
      <c r="AL34" s="168"/>
      <c r="AM34" s="168"/>
      <c r="AN34" s="168"/>
      <c r="AO34" s="168"/>
      <c r="AP34" s="168"/>
      <c r="AQ34" s="168"/>
      <c r="AR34" s="168"/>
      <c r="AS34" s="168"/>
      <c r="AT34" s="168"/>
      <c r="AU34" s="168"/>
      <c r="AV34" s="191"/>
      <c r="AW34" s="191"/>
      <c r="AX34" s="191"/>
      <c r="AY34" s="191"/>
    </row>
    <row r="35" spans="1:51">
      <c r="A35" s="16" t="s">
        <v>30</v>
      </c>
      <c r="B35" s="163">
        <v>41201</v>
      </c>
      <c r="C35" s="107" t="s">
        <v>73</v>
      </c>
      <c r="D35" s="23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2">
        <v>0</v>
      </c>
      <c r="N35" s="23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2">
        <v>0</v>
      </c>
      <c r="X35" s="23">
        <v>0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0</v>
      </c>
      <c r="AE35" s="24">
        <v>0</v>
      </c>
      <c r="AF35" s="24">
        <v>0</v>
      </c>
      <c r="AG35" s="22">
        <v>0</v>
      </c>
      <c r="AH35" s="203">
        <f t="shared" si="0"/>
        <v>0</v>
      </c>
      <c r="AI35" s="204">
        <f t="shared" si="1"/>
        <v>0</v>
      </c>
      <c r="AJ35" s="205">
        <f t="shared" si="2"/>
        <v>0</v>
      </c>
      <c r="AK35" s="206">
        <f t="shared" si="3"/>
        <v>0</v>
      </c>
      <c r="AL35" s="168"/>
      <c r="AM35" s="168"/>
      <c r="AN35" s="168"/>
      <c r="AO35" s="168"/>
      <c r="AP35" s="168"/>
      <c r="AQ35" s="168"/>
      <c r="AR35" s="168"/>
      <c r="AS35" s="168"/>
      <c r="AT35" s="168"/>
      <c r="AU35" s="168"/>
      <c r="AV35" s="191"/>
      <c r="AW35" s="191"/>
      <c r="AX35" s="191"/>
      <c r="AY35" s="191"/>
    </row>
    <row r="36" spans="1:51">
      <c r="A36" s="16" t="s">
        <v>30</v>
      </c>
      <c r="B36" s="163"/>
      <c r="C36" s="107"/>
      <c r="D36" s="23"/>
      <c r="E36" s="24"/>
      <c r="F36" s="24"/>
      <c r="G36" s="24"/>
      <c r="H36" s="24"/>
      <c r="I36" s="24"/>
      <c r="J36" s="24"/>
      <c r="K36" s="24"/>
      <c r="L36" s="24"/>
      <c r="M36" s="22"/>
      <c r="N36" s="23"/>
      <c r="O36" s="24"/>
      <c r="P36" s="24"/>
      <c r="Q36" s="24"/>
      <c r="R36" s="24"/>
      <c r="S36" s="24"/>
      <c r="T36" s="24"/>
      <c r="U36" s="24"/>
      <c r="V36" s="24"/>
      <c r="W36" s="22"/>
      <c r="X36" s="23"/>
      <c r="Y36" s="24"/>
      <c r="Z36" s="24"/>
      <c r="AA36" s="24"/>
      <c r="AB36" s="24"/>
      <c r="AC36" s="24"/>
      <c r="AD36" s="24"/>
      <c r="AE36" s="24"/>
      <c r="AF36" s="24"/>
      <c r="AG36" s="22"/>
      <c r="AH36" s="203" t="str">
        <f t="shared" si="0"/>
        <v/>
      </c>
      <c r="AI36" s="204" t="str">
        <f t="shared" si="1"/>
        <v/>
      </c>
      <c r="AJ36" s="205" t="str">
        <f t="shared" si="2"/>
        <v/>
      </c>
      <c r="AK36" s="206">
        <f t="shared" si="3"/>
        <v>0</v>
      </c>
      <c r="AL36" s="168"/>
      <c r="AM36" s="168"/>
      <c r="AN36" s="168"/>
      <c r="AO36" s="168"/>
      <c r="AP36" s="168"/>
      <c r="AQ36" s="168"/>
      <c r="AR36" s="168"/>
      <c r="AS36" s="168"/>
      <c r="AT36" s="168"/>
      <c r="AU36" s="168"/>
      <c r="AV36" s="191"/>
      <c r="AW36" s="191"/>
      <c r="AX36" s="191"/>
      <c r="AY36" s="191"/>
    </row>
    <row r="37" spans="1:51">
      <c r="A37" s="16" t="s">
        <v>30</v>
      </c>
      <c r="B37" s="163"/>
      <c r="C37" s="107"/>
      <c r="D37" s="23"/>
      <c r="E37" s="24"/>
      <c r="F37" s="24"/>
      <c r="G37" s="24"/>
      <c r="H37" s="24"/>
      <c r="I37" s="24"/>
      <c r="J37" s="24"/>
      <c r="K37" s="24"/>
      <c r="L37" s="24"/>
      <c r="M37" s="22"/>
      <c r="N37" s="23"/>
      <c r="O37" s="24"/>
      <c r="P37" s="24"/>
      <c r="Q37" s="24"/>
      <c r="R37" s="24"/>
      <c r="S37" s="24"/>
      <c r="T37" s="24"/>
      <c r="U37" s="24"/>
      <c r="V37" s="24"/>
      <c r="W37" s="22"/>
      <c r="X37" s="23"/>
      <c r="Y37" s="24"/>
      <c r="Z37" s="24"/>
      <c r="AA37" s="24"/>
      <c r="AB37" s="24"/>
      <c r="AC37" s="24"/>
      <c r="AD37" s="24"/>
      <c r="AE37" s="24"/>
      <c r="AF37" s="24"/>
      <c r="AG37" s="22"/>
      <c r="AH37" s="203" t="str">
        <f t="shared" si="0"/>
        <v/>
      </c>
      <c r="AI37" s="204" t="str">
        <f t="shared" si="1"/>
        <v/>
      </c>
      <c r="AJ37" s="205" t="str">
        <f t="shared" si="2"/>
        <v/>
      </c>
      <c r="AK37" s="206">
        <f t="shared" si="3"/>
        <v>0</v>
      </c>
      <c r="AL37" s="168"/>
      <c r="AM37" s="168"/>
      <c r="AN37" s="168"/>
      <c r="AO37" s="168"/>
      <c r="AP37" s="168"/>
      <c r="AQ37" s="168"/>
      <c r="AR37" s="168"/>
      <c r="AS37" s="168"/>
      <c r="AT37" s="168"/>
      <c r="AU37" s="168"/>
      <c r="AV37" s="191"/>
      <c r="AW37" s="191"/>
      <c r="AX37" s="191"/>
      <c r="AY37" s="191"/>
    </row>
    <row r="38" spans="1:51">
      <c r="A38" s="16" t="s">
        <v>30</v>
      </c>
      <c r="B38" s="163"/>
      <c r="C38" s="107"/>
      <c r="D38" s="23"/>
      <c r="E38" s="24"/>
      <c r="F38" s="24"/>
      <c r="G38" s="24"/>
      <c r="H38" s="24"/>
      <c r="I38" s="24"/>
      <c r="J38" s="24"/>
      <c r="K38" s="24"/>
      <c r="L38" s="24"/>
      <c r="M38" s="22"/>
      <c r="N38" s="23"/>
      <c r="O38" s="24"/>
      <c r="P38" s="24"/>
      <c r="Q38" s="24"/>
      <c r="R38" s="24"/>
      <c r="S38" s="24"/>
      <c r="T38" s="24"/>
      <c r="U38" s="24"/>
      <c r="V38" s="24"/>
      <c r="W38" s="22"/>
      <c r="X38" s="23"/>
      <c r="Y38" s="24"/>
      <c r="Z38" s="24"/>
      <c r="AA38" s="24"/>
      <c r="AB38" s="24"/>
      <c r="AC38" s="24"/>
      <c r="AD38" s="24"/>
      <c r="AE38" s="24"/>
      <c r="AF38" s="24"/>
      <c r="AG38" s="22"/>
      <c r="AH38" s="203" t="str">
        <f t="shared" si="0"/>
        <v/>
      </c>
      <c r="AI38" s="204" t="str">
        <f t="shared" si="1"/>
        <v/>
      </c>
      <c r="AJ38" s="205" t="str">
        <f t="shared" si="2"/>
        <v/>
      </c>
      <c r="AK38" s="206">
        <f t="shared" si="3"/>
        <v>0</v>
      </c>
      <c r="AL38" s="168"/>
      <c r="AM38" s="168"/>
      <c r="AN38" s="168"/>
      <c r="AO38" s="168"/>
      <c r="AP38" s="168"/>
      <c r="AQ38" s="168"/>
      <c r="AR38" s="168"/>
      <c r="AS38" s="168"/>
      <c r="AT38" s="168"/>
      <c r="AU38" s="168"/>
      <c r="AV38" s="191"/>
      <c r="AW38" s="191"/>
      <c r="AX38" s="191"/>
      <c r="AY38" s="191"/>
    </row>
    <row r="39" spans="1:51">
      <c r="A39" s="16" t="s">
        <v>30</v>
      </c>
      <c r="B39" s="163"/>
      <c r="C39" s="107"/>
      <c r="D39" s="23"/>
      <c r="E39" s="24"/>
      <c r="F39" s="24"/>
      <c r="G39" s="24"/>
      <c r="H39" s="24"/>
      <c r="I39" s="24"/>
      <c r="J39" s="24"/>
      <c r="K39" s="24"/>
      <c r="L39" s="24"/>
      <c r="M39" s="22"/>
      <c r="N39" s="23"/>
      <c r="O39" s="24"/>
      <c r="P39" s="24"/>
      <c r="Q39" s="24"/>
      <c r="R39" s="24"/>
      <c r="S39" s="24"/>
      <c r="T39" s="24"/>
      <c r="U39" s="24"/>
      <c r="V39" s="24"/>
      <c r="W39" s="22"/>
      <c r="X39" s="23"/>
      <c r="Y39" s="24"/>
      <c r="Z39" s="24"/>
      <c r="AA39" s="24"/>
      <c r="AB39" s="24"/>
      <c r="AC39" s="24"/>
      <c r="AD39" s="24"/>
      <c r="AE39" s="24"/>
      <c r="AF39" s="24"/>
      <c r="AG39" s="22"/>
      <c r="AH39" s="203" t="str">
        <f t="shared" si="0"/>
        <v/>
      </c>
      <c r="AI39" s="204" t="str">
        <f t="shared" si="1"/>
        <v/>
      </c>
      <c r="AJ39" s="205" t="str">
        <f t="shared" si="2"/>
        <v/>
      </c>
      <c r="AK39" s="206">
        <f t="shared" si="3"/>
        <v>0</v>
      </c>
      <c r="AL39" s="168"/>
      <c r="AM39" s="168"/>
      <c r="AN39" s="168"/>
      <c r="AO39" s="168"/>
      <c r="AP39" s="168"/>
      <c r="AQ39" s="168"/>
      <c r="AR39" s="168"/>
      <c r="AS39" s="168"/>
      <c r="AT39" s="168"/>
      <c r="AU39" s="168"/>
      <c r="AV39" s="191"/>
      <c r="AW39" s="191"/>
      <c r="AX39" s="191"/>
      <c r="AY39" s="191"/>
    </row>
    <row r="40" spans="1:51">
      <c r="A40" s="16" t="s">
        <v>30</v>
      </c>
      <c r="B40" s="163"/>
      <c r="C40" s="107"/>
      <c r="D40" s="23"/>
      <c r="E40" s="24"/>
      <c r="F40" s="24"/>
      <c r="G40" s="24"/>
      <c r="H40" s="24"/>
      <c r="I40" s="24"/>
      <c r="J40" s="24"/>
      <c r="K40" s="24"/>
      <c r="L40" s="24"/>
      <c r="M40" s="22"/>
      <c r="N40" s="23"/>
      <c r="O40" s="24"/>
      <c r="P40" s="24"/>
      <c r="Q40" s="24"/>
      <c r="R40" s="24"/>
      <c r="S40" s="24"/>
      <c r="T40" s="24"/>
      <c r="U40" s="24"/>
      <c r="V40" s="24"/>
      <c r="W40" s="22"/>
      <c r="X40" s="23"/>
      <c r="Y40" s="24"/>
      <c r="Z40" s="24"/>
      <c r="AA40" s="24"/>
      <c r="AB40" s="24"/>
      <c r="AC40" s="24"/>
      <c r="AD40" s="24"/>
      <c r="AE40" s="24"/>
      <c r="AF40" s="24"/>
      <c r="AG40" s="22"/>
      <c r="AH40" s="203" t="str">
        <f t="shared" si="0"/>
        <v/>
      </c>
      <c r="AI40" s="204" t="str">
        <f t="shared" si="1"/>
        <v/>
      </c>
      <c r="AJ40" s="205" t="str">
        <f t="shared" si="2"/>
        <v/>
      </c>
      <c r="AK40" s="206">
        <f t="shared" si="3"/>
        <v>0</v>
      </c>
      <c r="AL40" s="168"/>
      <c r="AM40" s="168"/>
      <c r="AN40" s="168"/>
      <c r="AO40" s="168"/>
      <c r="AP40" s="168"/>
      <c r="AQ40" s="168"/>
      <c r="AR40" s="168"/>
      <c r="AS40" s="168"/>
      <c r="AT40" s="168"/>
      <c r="AU40" s="168"/>
      <c r="AV40" s="191"/>
      <c r="AW40" s="191"/>
      <c r="AX40" s="191"/>
      <c r="AY40" s="191"/>
    </row>
    <row r="41" spans="1:51">
      <c r="A41" s="16" t="s">
        <v>30</v>
      </c>
      <c r="B41" s="163"/>
      <c r="C41" s="107"/>
      <c r="D41" s="23"/>
      <c r="E41" s="24"/>
      <c r="F41" s="24"/>
      <c r="G41" s="24"/>
      <c r="H41" s="24"/>
      <c r="I41" s="24"/>
      <c r="J41" s="24"/>
      <c r="K41" s="24"/>
      <c r="L41" s="24"/>
      <c r="M41" s="22"/>
      <c r="N41" s="23"/>
      <c r="O41" s="24"/>
      <c r="P41" s="24"/>
      <c r="Q41" s="24"/>
      <c r="R41" s="24"/>
      <c r="S41" s="24"/>
      <c r="T41" s="24"/>
      <c r="U41" s="24"/>
      <c r="V41" s="24"/>
      <c r="W41" s="22"/>
      <c r="X41" s="23"/>
      <c r="Y41" s="24"/>
      <c r="Z41" s="24"/>
      <c r="AA41" s="24"/>
      <c r="AB41" s="24"/>
      <c r="AC41" s="24"/>
      <c r="AD41" s="24"/>
      <c r="AE41" s="24"/>
      <c r="AF41" s="24"/>
      <c r="AG41" s="22"/>
      <c r="AH41" s="203" t="str">
        <f t="shared" si="0"/>
        <v/>
      </c>
      <c r="AI41" s="204" t="str">
        <f t="shared" si="1"/>
        <v/>
      </c>
      <c r="AJ41" s="205" t="str">
        <f t="shared" si="2"/>
        <v/>
      </c>
      <c r="AK41" s="206">
        <f t="shared" si="3"/>
        <v>0</v>
      </c>
      <c r="AL41" s="168"/>
      <c r="AM41" s="168"/>
      <c r="AN41" s="168"/>
      <c r="AO41" s="168"/>
      <c r="AP41" s="168"/>
      <c r="AQ41" s="168"/>
      <c r="AR41" s="168"/>
      <c r="AS41" s="168"/>
      <c r="AT41" s="168"/>
      <c r="AU41" s="168"/>
      <c r="AV41" s="191"/>
      <c r="AW41" s="191"/>
      <c r="AX41" s="191"/>
      <c r="AY41" s="191"/>
    </row>
    <row r="42" spans="1:51" ht="13" thickBot="1">
      <c r="A42" s="17" t="s">
        <v>30</v>
      </c>
      <c r="B42" s="164"/>
      <c r="C42" s="117"/>
      <c r="D42" s="31"/>
      <c r="E42" s="32"/>
      <c r="F42" s="32"/>
      <c r="G42" s="32"/>
      <c r="H42" s="32"/>
      <c r="I42" s="32"/>
      <c r="J42" s="32"/>
      <c r="K42" s="32"/>
      <c r="L42" s="32"/>
      <c r="M42" s="30"/>
      <c r="N42" s="31"/>
      <c r="O42" s="32"/>
      <c r="P42" s="32"/>
      <c r="Q42" s="32"/>
      <c r="R42" s="32"/>
      <c r="S42" s="32"/>
      <c r="T42" s="32"/>
      <c r="U42" s="32"/>
      <c r="V42" s="32"/>
      <c r="W42" s="30"/>
      <c r="X42" s="31"/>
      <c r="Y42" s="32"/>
      <c r="Z42" s="32"/>
      <c r="AA42" s="32"/>
      <c r="AB42" s="32"/>
      <c r="AC42" s="32"/>
      <c r="AD42" s="32"/>
      <c r="AE42" s="32"/>
      <c r="AF42" s="32"/>
      <c r="AG42" s="30"/>
      <c r="AH42" s="207" t="str">
        <f t="shared" si="0"/>
        <v/>
      </c>
      <c r="AI42" s="208" t="str">
        <f t="shared" si="1"/>
        <v/>
      </c>
      <c r="AJ42" s="185" t="str">
        <f t="shared" si="2"/>
        <v/>
      </c>
      <c r="AK42" s="209">
        <f t="shared" si="3"/>
        <v>0</v>
      </c>
      <c r="AL42" s="168"/>
      <c r="AM42" s="168"/>
      <c r="AN42" s="168"/>
      <c r="AO42" s="168"/>
      <c r="AP42" s="168"/>
      <c r="AQ42" s="168"/>
      <c r="AR42" s="168"/>
      <c r="AS42" s="168"/>
      <c r="AT42" s="168"/>
      <c r="AU42" s="168"/>
      <c r="AV42" s="191"/>
      <c r="AW42" s="191"/>
      <c r="AX42" s="191"/>
      <c r="AY42" s="191"/>
    </row>
    <row r="43" spans="1:51" ht="13" thickBot="1">
      <c r="A43" s="294" t="s">
        <v>31</v>
      </c>
      <c r="B43" s="154"/>
      <c r="C43" s="154"/>
      <c r="D43" s="92"/>
      <c r="E43" s="93"/>
      <c r="F43" s="93"/>
      <c r="G43" s="93"/>
      <c r="H43" s="93"/>
      <c r="I43" s="93"/>
      <c r="J43" s="93"/>
      <c r="K43" s="93"/>
      <c r="L43" s="93"/>
      <c r="M43" s="96"/>
      <c r="N43" s="92"/>
      <c r="O43" s="93"/>
      <c r="P43" s="93"/>
      <c r="Q43" s="93"/>
      <c r="R43" s="93"/>
      <c r="S43" s="93"/>
      <c r="T43" s="93"/>
      <c r="U43" s="93"/>
      <c r="V43" s="93"/>
      <c r="W43" s="96"/>
      <c r="X43" s="354"/>
      <c r="Y43" s="355"/>
      <c r="Z43" s="355"/>
      <c r="AA43" s="355"/>
      <c r="AB43" s="355"/>
      <c r="AC43" s="355"/>
      <c r="AD43" s="355"/>
      <c r="AE43" s="355"/>
      <c r="AF43" s="355"/>
      <c r="AG43" s="356"/>
      <c r="AH43" s="304" t="s">
        <v>49</v>
      </c>
      <c r="AI43" s="305" t="s">
        <v>50</v>
      </c>
      <c r="AJ43" s="305" t="s">
        <v>51</v>
      </c>
      <c r="AK43" s="210"/>
      <c r="AL43" s="168"/>
      <c r="AM43" s="168"/>
      <c r="AN43" s="168"/>
      <c r="AO43" s="168"/>
      <c r="AP43" s="168"/>
      <c r="AQ43" s="168"/>
      <c r="AR43" s="168"/>
      <c r="AS43" s="168"/>
      <c r="AT43" s="168"/>
      <c r="AU43" s="168"/>
      <c r="AV43" s="191"/>
      <c r="AW43" s="191"/>
      <c r="AX43" s="191"/>
      <c r="AY43" s="191"/>
    </row>
    <row r="44" spans="1:51">
      <c r="A44" s="15" t="s">
        <v>31</v>
      </c>
      <c r="B44" s="163"/>
      <c r="C44" s="350"/>
      <c r="D44" s="23"/>
      <c r="E44" s="24"/>
      <c r="F44" s="24"/>
      <c r="G44" s="24"/>
      <c r="H44" s="24"/>
      <c r="I44" s="24"/>
      <c r="J44" s="24"/>
      <c r="K44" s="24"/>
      <c r="L44" s="24"/>
      <c r="M44" s="22"/>
      <c r="N44" s="23"/>
      <c r="O44" s="24"/>
      <c r="P44" s="24"/>
      <c r="Q44" s="24"/>
      <c r="R44" s="24"/>
      <c r="S44" s="24"/>
      <c r="T44" s="24"/>
      <c r="U44" s="24"/>
      <c r="V44" s="24"/>
      <c r="W44" s="22"/>
      <c r="X44" s="23"/>
      <c r="Y44" s="24"/>
      <c r="Z44" s="24"/>
      <c r="AA44" s="24"/>
      <c r="AB44" s="24"/>
      <c r="AC44" s="24"/>
      <c r="AD44" s="24"/>
      <c r="AE44" s="24"/>
      <c r="AF44" s="24"/>
      <c r="AG44" s="22"/>
      <c r="AH44" s="199" t="str">
        <f t="shared" ref="AH44:AH73" si="4">IF(COUNT(D44:M44)=0,"",AVERAGE(D44:M44))</f>
        <v/>
      </c>
      <c r="AI44" s="204" t="str">
        <f t="shared" ref="AI44:AI73" si="5">IF(COUNT(N44:W44)=0,"",AVERAGE(N44:W44))</f>
        <v/>
      </c>
      <c r="AJ44" s="204" t="str">
        <f t="shared" ref="AJ44:AJ73" si="6">IF(COUNT(X44:AG44)=0,"",AVERAGE(X44:AG44))</f>
        <v/>
      </c>
      <c r="AK44" s="202">
        <f t="shared" ref="AK44:AK73" si="7">IF(ISNUMBER(AH44),AH44,0)+IF(ISNUMBER(AI44),AI44,0)+IF(ISNUMBER(AJ44),AJ44,0)</f>
        <v>0</v>
      </c>
      <c r="AL44" s="168"/>
      <c r="AM44" s="168"/>
      <c r="AN44" s="168"/>
      <c r="AO44" s="168"/>
      <c r="AP44" s="168"/>
      <c r="AQ44" s="168"/>
      <c r="AR44" s="168"/>
      <c r="AS44" s="168"/>
      <c r="AT44" s="168"/>
      <c r="AU44" s="168"/>
      <c r="AV44" s="168"/>
      <c r="AW44" s="168"/>
      <c r="AX44" s="168"/>
      <c r="AY44" s="168"/>
    </row>
    <row r="45" spans="1:51">
      <c r="A45" s="16" t="s">
        <v>31</v>
      </c>
      <c r="B45" s="163">
        <v>41050</v>
      </c>
      <c r="C45" s="350" t="s">
        <v>81</v>
      </c>
      <c r="D45" s="23">
        <v>0</v>
      </c>
      <c r="E45" s="24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4">
        <v>0</v>
      </c>
      <c r="M45" s="22">
        <v>10</v>
      </c>
      <c r="N45" s="23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2">
        <v>0</v>
      </c>
      <c r="X45" s="23"/>
      <c r="Y45" s="24"/>
      <c r="Z45" s="24"/>
      <c r="AA45" s="24"/>
      <c r="AB45" s="24"/>
      <c r="AC45" s="24"/>
      <c r="AD45" s="24"/>
      <c r="AE45" s="24"/>
      <c r="AF45" s="24"/>
      <c r="AG45" s="22"/>
      <c r="AH45" s="203">
        <f t="shared" si="4"/>
        <v>1</v>
      </c>
      <c r="AI45" s="204">
        <f t="shared" si="5"/>
        <v>0</v>
      </c>
      <c r="AJ45" s="205" t="str">
        <f t="shared" si="6"/>
        <v/>
      </c>
      <c r="AK45" s="206">
        <f t="shared" si="7"/>
        <v>1</v>
      </c>
      <c r="AL45" s="168"/>
      <c r="AM45" s="168"/>
      <c r="AN45" s="168"/>
      <c r="AO45" s="168"/>
      <c r="AP45" s="168"/>
      <c r="AQ45" s="168"/>
      <c r="AR45" s="168"/>
      <c r="AS45" s="168"/>
      <c r="AT45" s="168"/>
      <c r="AU45" s="168"/>
      <c r="AV45" s="168"/>
      <c r="AW45" s="168"/>
      <c r="AX45" s="168"/>
      <c r="AY45" s="168"/>
    </row>
    <row r="46" spans="1:51">
      <c r="A46" s="16" t="s">
        <v>31</v>
      </c>
      <c r="B46" s="163">
        <v>41054</v>
      </c>
      <c r="C46" s="107" t="s">
        <v>72</v>
      </c>
      <c r="D46" s="23">
        <v>190</v>
      </c>
      <c r="E46" s="24">
        <v>132</v>
      </c>
      <c r="F46" s="24">
        <v>4</v>
      </c>
      <c r="G46" s="24">
        <v>101</v>
      </c>
      <c r="H46" s="24">
        <v>17</v>
      </c>
      <c r="I46" s="24">
        <v>29</v>
      </c>
      <c r="J46" s="24">
        <v>127</v>
      </c>
      <c r="K46" s="24">
        <v>68</v>
      </c>
      <c r="L46" s="24">
        <v>32</v>
      </c>
      <c r="M46" s="22">
        <v>175</v>
      </c>
      <c r="N46" s="23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2">
        <v>0</v>
      </c>
      <c r="X46" s="23"/>
      <c r="Y46" s="24"/>
      <c r="Z46" s="24"/>
      <c r="AA46" s="24"/>
      <c r="AB46" s="24"/>
      <c r="AC46" s="24"/>
      <c r="AD46" s="24"/>
      <c r="AE46" s="24"/>
      <c r="AF46" s="24"/>
      <c r="AG46" s="22"/>
      <c r="AH46" s="203">
        <f t="shared" si="4"/>
        <v>87.5</v>
      </c>
      <c r="AI46" s="204">
        <f t="shared" si="5"/>
        <v>0</v>
      </c>
      <c r="AJ46" s="205" t="str">
        <f t="shared" si="6"/>
        <v/>
      </c>
      <c r="AK46" s="206">
        <f t="shared" si="7"/>
        <v>87.5</v>
      </c>
      <c r="AL46" s="168"/>
      <c r="AM46" s="168"/>
      <c r="AN46" s="168"/>
      <c r="AO46" s="168"/>
      <c r="AP46" s="168"/>
      <c r="AQ46" s="168"/>
      <c r="AR46" s="168"/>
      <c r="AS46" s="168"/>
      <c r="AT46" s="168"/>
      <c r="AU46" s="168"/>
      <c r="AV46" s="168"/>
      <c r="AW46" s="168"/>
      <c r="AX46" s="168"/>
      <c r="AY46" s="168"/>
    </row>
    <row r="47" spans="1:51">
      <c r="A47" s="16" t="s">
        <v>31</v>
      </c>
      <c r="B47" s="163">
        <v>41061</v>
      </c>
      <c r="C47" s="107" t="s">
        <v>72</v>
      </c>
      <c r="D47" s="23">
        <v>58</v>
      </c>
      <c r="E47" s="24">
        <v>149</v>
      </c>
      <c r="F47" s="24">
        <v>10</v>
      </c>
      <c r="G47" s="24">
        <v>85</v>
      </c>
      <c r="H47" s="24">
        <v>31</v>
      </c>
      <c r="I47" s="24">
        <v>71</v>
      </c>
      <c r="J47" s="24">
        <v>90</v>
      </c>
      <c r="K47" s="24">
        <v>87</v>
      </c>
      <c r="L47" s="24">
        <v>46</v>
      </c>
      <c r="M47" s="22">
        <v>116</v>
      </c>
      <c r="N47" s="23">
        <v>8</v>
      </c>
      <c r="O47" s="24">
        <v>39</v>
      </c>
      <c r="P47" s="24">
        <v>2</v>
      </c>
      <c r="Q47" s="24">
        <v>53</v>
      </c>
      <c r="R47" s="24">
        <v>2</v>
      </c>
      <c r="S47" s="24">
        <v>9</v>
      </c>
      <c r="T47" s="24">
        <v>50</v>
      </c>
      <c r="U47" s="24">
        <v>16</v>
      </c>
      <c r="V47" s="24">
        <v>7</v>
      </c>
      <c r="W47" s="22">
        <v>68</v>
      </c>
      <c r="X47" s="23"/>
      <c r="Y47" s="24"/>
      <c r="Z47" s="24"/>
      <c r="AA47" s="24"/>
      <c r="AB47" s="24"/>
      <c r="AC47" s="24"/>
      <c r="AD47" s="24"/>
      <c r="AE47" s="24"/>
      <c r="AF47" s="24"/>
      <c r="AG47" s="22"/>
      <c r="AH47" s="203">
        <f t="shared" si="4"/>
        <v>74.3</v>
      </c>
      <c r="AI47" s="204">
        <f t="shared" si="5"/>
        <v>25.4</v>
      </c>
      <c r="AJ47" s="205" t="str">
        <f t="shared" si="6"/>
        <v/>
      </c>
      <c r="AK47" s="206">
        <f t="shared" si="7"/>
        <v>99.699999999999989</v>
      </c>
      <c r="AL47" s="168"/>
      <c r="AM47" s="168"/>
      <c r="AN47" s="168"/>
      <c r="AO47" s="168"/>
      <c r="AP47" s="168"/>
      <c r="AQ47" s="168"/>
      <c r="AR47" s="168"/>
      <c r="AS47" s="168"/>
      <c r="AT47" s="168"/>
      <c r="AU47" s="168"/>
      <c r="AV47" s="168"/>
      <c r="AW47" s="168"/>
      <c r="AX47" s="168"/>
      <c r="AY47" s="168"/>
    </row>
    <row r="48" spans="1:51">
      <c r="A48" s="16" t="s">
        <v>31</v>
      </c>
      <c r="B48" s="163">
        <v>41067</v>
      </c>
      <c r="C48" s="107" t="s">
        <v>72</v>
      </c>
      <c r="D48" s="23">
        <v>46</v>
      </c>
      <c r="E48" s="24">
        <v>39</v>
      </c>
      <c r="F48" s="24">
        <v>9</v>
      </c>
      <c r="G48" s="24">
        <v>30</v>
      </c>
      <c r="H48" s="24">
        <v>4</v>
      </c>
      <c r="I48" s="24">
        <v>47</v>
      </c>
      <c r="J48" s="24">
        <v>39</v>
      </c>
      <c r="K48" s="24">
        <v>36</v>
      </c>
      <c r="L48" s="24">
        <v>11</v>
      </c>
      <c r="M48" s="22">
        <v>36</v>
      </c>
      <c r="N48" s="23">
        <v>53</v>
      </c>
      <c r="O48" s="24">
        <v>130</v>
      </c>
      <c r="P48" s="24">
        <v>4</v>
      </c>
      <c r="Q48" s="24">
        <v>102</v>
      </c>
      <c r="R48" s="24">
        <v>24</v>
      </c>
      <c r="S48" s="24">
        <v>44</v>
      </c>
      <c r="T48" s="24">
        <v>144</v>
      </c>
      <c r="U48" s="24">
        <v>77</v>
      </c>
      <c r="V48" s="24">
        <v>43</v>
      </c>
      <c r="W48" s="22">
        <v>138</v>
      </c>
      <c r="X48" s="23"/>
      <c r="Y48" s="24"/>
      <c r="Z48" s="24"/>
      <c r="AA48" s="24"/>
      <c r="AB48" s="24"/>
      <c r="AC48" s="24"/>
      <c r="AD48" s="24"/>
      <c r="AE48" s="24"/>
      <c r="AF48" s="24"/>
      <c r="AG48" s="22"/>
      <c r="AH48" s="203">
        <f t="shared" si="4"/>
        <v>29.7</v>
      </c>
      <c r="AI48" s="204">
        <f t="shared" si="5"/>
        <v>75.900000000000006</v>
      </c>
      <c r="AJ48" s="205" t="str">
        <f t="shared" si="6"/>
        <v/>
      </c>
      <c r="AK48" s="206">
        <f t="shared" si="7"/>
        <v>105.60000000000001</v>
      </c>
      <c r="AL48" s="168"/>
      <c r="AM48" s="168"/>
      <c r="AN48" s="168"/>
      <c r="AO48" s="168"/>
      <c r="AP48" s="168"/>
      <c r="AQ48" s="168"/>
      <c r="AR48" s="168"/>
      <c r="AS48" s="168"/>
      <c r="AT48" s="168"/>
      <c r="AU48" s="168"/>
      <c r="AV48" s="168"/>
      <c r="AW48" s="168"/>
      <c r="AX48" s="168"/>
      <c r="AY48" s="168"/>
    </row>
    <row r="49" spans="1:51">
      <c r="A49" s="16" t="s">
        <v>31</v>
      </c>
      <c r="B49" s="163">
        <v>41075</v>
      </c>
      <c r="C49" s="107" t="s">
        <v>72</v>
      </c>
      <c r="D49" s="23">
        <v>6</v>
      </c>
      <c r="E49" s="24">
        <v>3</v>
      </c>
      <c r="F49" s="24">
        <v>2</v>
      </c>
      <c r="G49" s="24">
        <v>1</v>
      </c>
      <c r="H49" s="24">
        <v>1</v>
      </c>
      <c r="I49" s="24">
        <v>5</v>
      </c>
      <c r="J49" s="24">
        <v>3</v>
      </c>
      <c r="K49" s="24">
        <v>2</v>
      </c>
      <c r="L49" s="24">
        <v>0</v>
      </c>
      <c r="M49" s="22">
        <v>0</v>
      </c>
      <c r="N49" s="23">
        <v>75</v>
      </c>
      <c r="O49" s="24">
        <v>156</v>
      </c>
      <c r="P49" s="24">
        <v>6</v>
      </c>
      <c r="Q49" s="24">
        <v>136</v>
      </c>
      <c r="R49" s="24">
        <v>26</v>
      </c>
      <c r="S49" s="24">
        <v>92</v>
      </c>
      <c r="T49" s="24">
        <v>62</v>
      </c>
      <c r="U49" s="24">
        <v>100</v>
      </c>
      <c r="V49" s="24">
        <v>51</v>
      </c>
      <c r="W49" s="22">
        <v>163</v>
      </c>
      <c r="X49" s="23"/>
      <c r="Y49" s="24"/>
      <c r="Z49" s="24"/>
      <c r="AA49" s="24"/>
      <c r="AB49" s="24"/>
      <c r="AC49" s="24"/>
      <c r="AD49" s="24"/>
      <c r="AE49" s="24"/>
      <c r="AF49" s="24"/>
      <c r="AG49" s="22"/>
      <c r="AH49" s="203">
        <f t="shared" si="4"/>
        <v>2.2999999999999998</v>
      </c>
      <c r="AI49" s="204">
        <f t="shared" si="5"/>
        <v>86.7</v>
      </c>
      <c r="AJ49" s="205" t="str">
        <f t="shared" si="6"/>
        <v/>
      </c>
      <c r="AK49" s="206">
        <f t="shared" si="7"/>
        <v>89</v>
      </c>
      <c r="AL49" s="168"/>
      <c r="AM49" s="168"/>
      <c r="AN49" s="168"/>
      <c r="AO49" s="168"/>
      <c r="AP49" s="168"/>
      <c r="AQ49" s="168"/>
      <c r="AR49" s="168"/>
      <c r="AS49" s="168"/>
      <c r="AT49" s="168"/>
      <c r="AU49" s="168"/>
      <c r="AV49" s="168"/>
      <c r="AW49" s="168"/>
      <c r="AX49" s="168"/>
      <c r="AY49" s="168"/>
    </row>
    <row r="50" spans="1:51">
      <c r="A50" s="16" t="s">
        <v>31</v>
      </c>
      <c r="B50" s="163">
        <v>41086</v>
      </c>
      <c r="C50" s="107" t="s">
        <v>80</v>
      </c>
      <c r="D50" s="23">
        <v>0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2">
        <v>1</v>
      </c>
      <c r="N50" s="23">
        <v>18</v>
      </c>
      <c r="O50" s="24">
        <v>52</v>
      </c>
      <c r="P50" s="24">
        <v>10</v>
      </c>
      <c r="Q50" s="24">
        <v>46</v>
      </c>
      <c r="R50" s="24">
        <v>12</v>
      </c>
      <c r="S50" s="24">
        <v>49</v>
      </c>
      <c r="T50" s="24">
        <v>45</v>
      </c>
      <c r="U50" s="24">
        <v>61</v>
      </c>
      <c r="V50" s="24">
        <v>57</v>
      </c>
      <c r="W50" s="22">
        <v>112</v>
      </c>
      <c r="X50" s="23"/>
      <c r="Y50" s="24"/>
      <c r="Z50" s="24"/>
      <c r="AA50" s="24"/>
      <c r="AB50" s="24"/>
      <c r="AC50" s="24"/>
      <c r="AD50" s="24"/>
      <c r="AE50" s="24"/>
      <c r="AF50" s="24"/>
      <c r="AG50" s="22"/>
      <c r="AH50" s="203">
        <f t="shared" si="4"/>
        <v>0.1</v>
      </c>
      <c r="AI50" s="204">
        <f t="shared" si="5"/>
        <v>46.2</v>
      </c>
      <c r="AJ50" s="205" t="str">
        <f t="shared" si="6"/>
        <v/>
      </c>
      <c r="AK50" s="206">
        <f t="shared" si="7"/>
        <v>46.300000000000004</v>
      </c>
      <c r="AL50" s="168"/>
      <c r="AM50" s="168"/>
      <c r="AN50" s="168"/>
      <c r="AO50" s="168"/>
      <c r="AP50" s="168"/>
      <c r="AQ50" s="168"/>
      <c r="AR50" s="168"/>
      <c r="AS50" s="168"/>
      <c r="AT50" s="168"/>
      <c r="AU50" s="168"/>
      <c r="AV50" s="168"/>
      <c r="AW50" s="168"/>
      <c r="AX50" s="168"/>
      <c r="AY50" s="168"/>
    </row>
    <row r="51" spans="1:51">
      <c r="A51" s="16" t="s">
        <v>31</v>
      </c>
      <c r="B51" s="163">
        <v>41098</v>
      </c>
      <c r="C51" s="107" t="s">
        <v>72</v>
      </c>
      <c r="D51" s="23">
        <v>0</v>
      </c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24">
        <v>0</v>
      </c>
      <c r="K51" s="24">
        <v>0</v>
      </c>
      <c r="L51" s="24">
        <v>0</v>
      </c>
      <c r="M51" s="22">
        <v>0</v>
      </c>
      <c r="N51" s="23">
        <v>45</v>
      </c>
      <c r="O51" s="24">
        <v>98</v>
      </c>
      <c r="P51" s="24">
        <v>9</v>
      </c>
      <c r="Q51" s="24">
        <v>87</v>
      </c>
      <c r="R51" s="24">
        <v>16</v>
      </c>
      <c r="S51" s="24">
        <v>71</v>
      </c>
      <c r="T51" s="24">
        <v>47</v>
      </c>
      <c r="U51" s="24">
        <v>30</v>
      </c>
      <c r="V51" s="24">
        <v>22</v>
      </c>
      <c r="W51" s="22">
        <v>76</v>
      </c>
      <c r="X51" s="23"/>
      <c r="Y51" s="24"/>
      <c r="Z51" s="24"/>
      <c r="AA51" s="24"/>
      <c r="AB51" s="24"/>
      <c r="AC51" s="24"/>
      <c r="AD51" s="24"/>
      <c r="AE51" s="24"/>
      <c r="AF51" s="24"/>
      <c r="AG51" s="22"/>
      <c r="AH51" s="203">
        <f t="shared" si="4"/>
        <v>0</v>
      </c>
      <c r="AI51" s="204">
        <f t="shared" si="5"/>
        <v>50.1</v>
      </c>
      <c r="AJ51" s="205" t="str">
        <f t="shared" si="6"/>
        <v/>
      </c>
      <c r="AK51" s="206">
        <f t="shared" si="7"/>
        <v>50.1</v>
      </c>
      <c r="AL51" s="168"/>
      <c r="AM51" s="168"/>
      <c r="AN51" s="168"/>
      <c r="AO51" s="168"/>
      <c r="AP51" s="168"/>
      <c r="AQ51" s="168"/>
      <c r="AR51" s="168"/>
      <c r="AS51" s="168"/>
      <c r="AT51" s="168"/>
      <c r="AU51" s="168"/>
      <c r="AV51" s="168"/>
      <c r="AW51" s="168"/>
      <c r="AX51" s="168"/>
      <c r="AY51" s="168"/>
    </row>
    <row r="52" spans="1:51">
      <c r="A52" s="16" t="s">
        <v>31</v>
      </c>
      <c r="B52" s="163">
        <v>41105</v>
      </c>
      <c r="C52" s="107" t="s">
        <v>72</v>
      </c>
      <c r="D52" s="23">
        <v>0</v>
      </c>
      <c r="E52" s="24">
        <v>0</v>
      </c>
      <c r="F52" s="24">
        <v>0</v>
      </c>
      <c r="G52" s="24">
        <v>0</v>
      </c>
      <c r="H52" s="24">
        <v>0</v>
      </c>
      <c r="I52" s="24">
        <v>0</v>
      </c>
      <c r="J52" s="24">
        <v>0</v>
      </c>
      <c r="K52" s="24">
        <v>0</v>
      </c>
      <c r="L52" s="24">
        <v>0</v>
      </c>
      <c r="M52" s="22">
        <v>0</v>
      </c>
      <c r="N52" s="23">
        <v>40</v>
      </c>
      <c r="O52" s="24">
        <v>77</v>
      </c>
      <c r="P52" s="24">
        <v>11</v>
      </c>
      <c r="Q52" s="24">
        <v>73</v>
      </c>
      <c r="R52" s="24">
        <v>17</v>
      </c>
      <c r="S52" s="24">
        <v>68</v>
      </c>
      <c r="T52" s="24">
        <v>50</v>
      </c>
      <c r="U52" s="24">
        <v>29</v>
      </c>
      <c r="V52" s="24">
        <v>26</v>
      </c>
      <c r="W52" s="22">
        <v>56</v>
      </c>
      <c r="X52" s="23">
        <v>1</v>
      </c>
      <c r="Y52" s="24">
        <v>2</v>
      </c>
      <c r="Z52" s="24">
        <v>0</v>
      </c>
      <c r="AA52" s="24">
        <v>2</v>
      </c>
      <c r="AB52" s="24">
        <v>0</v>
      </c>
      <c r="AC52" s="24">
        <v>0</v>
      </c>
      <c r="AD52" s="24">
        <v>2</v>
      </c>
      <c r="AE52" s="24">
        <v>0</v>
      </c>
      <c r="AF52" s="24">
        <v>1</v>
      </c>
      <c r="AG52" s="22">
        <v>1</v>
      </c>
      <c r="AH52" s="203">
        <f t="shared" si="4"/>
        <v>0</v>
      </c>
      <c r="AI52" s="204">
        <f t="shared" si="5"/>
        <v>44.7</v>
      </c>
      <c r="AJ52" s="205">
        <f t="shared" si="6"/>
        <v>0.9</v>
      </c>
      <c r="AK52" s="206">
        <f t="shared" si="7"/>
        <v>45.6</v>
      </c>
      <c r="AL52" s="168"/>
      <c r="AM52" s="168"/>
      <c r="AN52" s="168"/>
      <c r="AO52" s="168"/>
      <c r="AP52" s="168"/>
      <c r="AQ52" s="168"/>
      <c r="AR52" s="168"/>
      <c r="AS52" s="168"/>
      <c r="AT52" s="168"/>
      <c r="AU52" s="168"/>
      <c r="AV52" s="168"/>
      <c r="AW52" s="168"/>
      <c r="AX52" s="168"/>
      <c r="AY52" s="168"/>
    </row>
    <row r="53" spans="1:51">
      <c r="A53" s="16" t="s">
        <v>31</v>
      </c>
      <c r="B53" s="163">
        <v>41113</v>
      </c>
      <c r="C53" s="107" t="s">
        <v>72</v>
      </c>
      <c r="D53" s="23">
        <v>0</v>
      </c>
      <c r="E53" s="24">
        <v>0</v>
      </c>
      <c r="F53" s="24">
        <v>0</v>
      </c>
      <c r="G53" s="24">
        <v>0</v>
      </c>
      <c r="H53" s="24">
        <v>0</v>
      </c>
      <c r="I53" s="24">
        <v>0</v>
      </c>
      <c r="J53" s="24">
        <v>0</v>
      </c>
      <c r="K53" s="24">
        <v>0</v>
      </c>
      <c r="L53" s="24">
        <v>0</v>
      </c>
      <c r="M53" s="22">
        <v>0</v>
      </c>
      <c r="N53" s="23">
        <v>34</v>
      </c>
      <c r="O53" s="24">
        <v>48</v>
      </c>
      <c r="P53" s="24">
        <v>10</v>
      </c>
      <c r="Q53" s="24">
        <v>21</v>
      </c>
      <c r="R53" s="24">
        <v>10</v>
      </c>
      <c r="S53" s="24">
        <v>59</v>
      </c>
      <c r="T53" s="24">
        <v>38</v>
      </c>
      <c r="U53" s="24">
        <v>32</v>
      </c>
      <c r="V53" s="24">
        <v>13</v>
      </c>
      <c r="W53" s="22">
        <v>50</v>
      </c>
      <c r="X53" s="23">
        <v>6</v>
      </c>
      <c r="Y53" s="24">
        <v>25</v>
      </c>
      <c r="Z53" s="24">
        <v>3</v>
      </c>
      <c r="AA53" s="24">
        <v>25</v>
      </c>
      <c r="AB53" s="24">
        <v>4</v>
      </c>
      <c r="AC53" s="24">
        <v>1</v>
      </c>
      <c r="AD53" s="24">
        <v>10</v>
      </c>
      <c r="AE53" s="24">
        <v>0</v>
      </c>
      <c r="AF53" s="24">
        <v>7</v>
      </c>
      <c r="AG53" s="22">
        <v>10</v>
      </c>
      <c r="AH53" s="203">
        <f t="shared" si="4"/>
        <v>0</v>
      </c>
      <c r="AI53" s="204">
        <f t="shared" si="5"/>
        <v>31.5</v>
      </c>
      <c r="AJ53" s="205">
        <f t="shared" si="6"/>
        <v>9.1</v>
      </c>
      <c r="AK53" s="206">
        <f t="shared" si="7"/>
        <v>40.6</v>
      </c>
      <c r="AL53" s="168"/>
      <c r="AM53" s="168"/>
      <c r="AN53" s="168"/>
      <c r="AO53" s="168"/>
      <c r="AP53" s="168"/>
      <c r="AQ53" s="168"/>
      <c r="AR53" s="168"/>
      <c r="AS53" s="168"/>
      <c r="AT53" s="168"/>
      <c r="AU53" s="168"/>
      <c r="AV53" s="168"/>
      <c r="AW53" s="168"/>
      <c r="AX53" s="168"/>
      <c r="AY53" s="168"/>
    </row>
    <row r="54" spans="1:51">
      <c r="A54" s="16" t="s">
        <v>31</v>
      </c>
      <c r="B54" s="163">
        <v>41120</v>
      </c>
      <c r="C54" s="107" t="s">
        <v>72</v>
      </c>
      <c r="D54" s="23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2">
        <v>0</v>
      </c>
      <c r="N54" s="23">
        <v>7</v>
      </c>
      <c r="O54" s="24">
        <v>3</v>
      </c>
      <c r="P54" s="24">
        <v>0</v>
      </c>
      <c r="Q54" s="24">
        <v>5</v>
      </c>
      <c r="R54" s="24">
        <v>1</v>
      </c>
      <c r="S54" s="24">
        <v>14</v>
      </c>
      <c r="T54" s="24">
        <v>11</v>
      </c>
      <c r="U54" s="24">
        <v>7</v>
      </c>
      <c r="V54" s="24">
        <v>3</v>
      </c>
      <c r="W54" s="22">
        <v>11</v>
      </c>
      <c r="X54" s="23">
        <v>30</v>
      </c>
      <c r="Y54" s="24">
        <v>53</v>
      </c>
      <c r="Z54" s="24">
        <v>7</v>
      </c>
      <c r="AA54" s="24">
        <v>50</v>
      </c>
      <c r="AB54" s="24">
        <v>14</v>
      </c>
      <c r="AC54" s="24">
        <v>38</v>
      </c>
      <c r="AD54" s="24">
        <v>24</v>
      </c>
      <c r="AE54" s="24">
        <v>17</v>
      </c>
      <c r="AF54" s="24">
        <v>14</v>
      </c>
      <c r="AG54" s="22">
        <v>30</v>
      </c>
      <c r="AH54" s="203">
        <f t="shared" si="4"/>
        <v>0</v>
      </c>
      <c r="AI54" s="204">
        <f t="shared" si="5"/>
        <v>6.2</v>
      </c>
      <c r="AJ54" s="205">
        <f t="shared" si="6"/>
        <v>27.7</v>
      </c>
      <c r="AK54" s="206">
        <f t="shared" si="7"/>
        <v>33.9</v>
      </c>
      <c r="AL54" s="168"/>
      <c r="AM54" s="168"/>
      <c r="AN54" s="168"/>
      <c r="AO54" s="168"/>
      <c r="AP54" s="168"/>
      <c r="AQ54" s="168"/>
      <c r="AR54" s="168"/>
      <c r="AS54" s="168"/>
      <c r="AT54" s="168"/>
      <c r="AU54" s="168"/>
      <c r="AV54" s="168"/>
      <c r="AW54" s="168"/>
      <c r="AX54" s="168"/>
      <c r="AY54" s="168"/>
    </row>
    <row r="55" spans="1:51">
      <c r="A55" s="16" t="s">
        <v>31</v>
      </c>
      <c r="B55" s="163">
        <v>41127</v>
      </c>
      <c r="C55" s="107" t="s">
        <v>72</v>
      </c>
      <c r="D55" s="23">
        <v>0</v>
      </c>
      <c r="E55" s="24">
        <v>0</v>
      </c>
      <c r="F55" s="24">
        <v>0</v>
      </c>
      <c r="G55" s="24">
        <v>0</v>
      </c>
      <c r="H55" s="24">
        <v>0</v>
      </c>
      <c r="I55" s="24">
        <v>0</v>
      </c>
      <c r="J55" s="24">
        <v>0</v>
      </c>
      <c r="K55" s="24">
        <v>0</v>
      </c>
      <c r="L55" s="24">
        <v>0</v>
      </c>
      <c r="M55" s="22">
        <v>0</v>
      </c>
      <c r="N55" s="23">
        <v>1</v>
      </c>
      <c r="O55" s="24">
        <v>1</v>
      </c>
      <c r="P55" s="24">
        <v>1</v>
      </c>
      <c r="Q55" s="24">
        <v>1</v>
      </c>
      <c r="R55" s="24">
        <v>0</v>
      </c>
      <c r="S55" s="24">
        <v>5</v>
      </c>
      <c r="T55" s="24">
        <v>6</v>
      </c>
      <c r="U55" s="24">
        <v>4</v>
      </c>
      <c r="V55" s="24">
        <v>2</v>
      </c>
      <c r="W55" s="22">
        <v>3</v>
      </c>
      <c r="X55" s="23">
        <v>31</v>
      </c>
      <c r="Y55" s="24">
        <v>49</v>
      </c>
      <c r="Z55" s="24">
        <v>7</v>
      </c>
      <c r="AA55" s="24">
        <v>58</v>
      </c>
      <c r="AB55" s="24">
        <v>14</v>
      </c>
      <c r="AC55" s="24">
        <v>45</v>
      </c>
      <c r="AD55" s="24">
        <v>26</v>
      </c>
      <c r="AE55" s="24">
        <v>9</v>
      </c>
      <c r="AF55" s="24">
        <v>9</v>
      </c>
      <c r="AG55" s="22">
        <v>37</v>
      </c>
      <c r="AH55" s="203">
        <f t="shared" si="4"/>
        <v>0</v>
      </c>
      <c r="AI55" s="204">
        <f t="shared" si="5"/>
        <v>2.4</v>
      </c>
      <c r="AJ55" s="205">
        <f t="shared" si="6"/>
        <v>28.5</v>
      </c>
      <c r="AK55" s="206">
        <f t="shared" si="7"/>
        <v>30.9</v>
      </c>
      <c r="AL55" s="168"/>
      <c r="AM55" s="168"/>
      <c r="AN55" s="168"/>
      <c r="AO55" s="168"/>
      <c r="AP55" s="168"/>
      <c r="AQ55" s="168"/>
      <c r="AR55" s="168"/>
      <c r="AS55" s="168"/>
      <c r="AT55" s="168"/>
      <c r="AU55" s="168"/>
      <c r="AV55" s="168"/>
      <c r="AW55" s="168"/>
      <c r="AX55" s="168"/>
      <c r="AY55" s="168"/>
    </row>
    <row r="56" spans="1:51">
      <c r="A56" s="16" t="s">
        <v>31</v>
      </c>
      <c r="B56" s="163">
        <v>41134</v>
      </c>
      <c r="C56" s="107" t="s">
        <v>72</v>
      </c>
      <c r="D56" s="23"/>
      <c r="E56" s="24"/>
      <c r="F56" s="24"/>
      <c r="G56" s="24"/>
      <c r="H56" s="24"/>
      <c r="I56" s="24"/>
      <c r="J56" s="24"/>
      <c r="K56" s="24"/>
      <c r="L56" s="24"/>
      <c r="M56" s="22"/>
      <c r="N56" s="23"/>
      <c r="O56" s="24"/>
      <c r="P56" s="24"/>
      <c r="Q56" s="24"/>
      <c r="R56" s="24"/>
      <c r="S56" s="24"/>
      <c r="T56" s="24"/>
      <c r="U56" s="24"/>
      <c r="V56" s="24"/>
      <c r="W56" s="22"/>
      <c r="X56" s="23">
        <v>30</v>
      </c>
      <c r="Y56" s="24">
        <v>44</v>
      </c>
      <c r="Z56" s="24">
        <v>8</v>
      </c>
      <c r="AA56" s="24">
        <v>52</v>
      </c>
      <c r="AB56" s="24">
        <v>10</v>
      </c>
      <c r="AC56" s="24">
        <v>47</v>
      </c>
      <c r="AD56" s="24">
        <v>34</v>
      </c>
      <c r="AE56" s="24">
        <v>13</v>
      </c>
      <c r="AF56" s="24">
        <v>9</v>
      </c>
      <c r="AG56" s="22">
        <v>38</v>
      </c>
      <c r="AH56" s="203" t="str">
        <f t="shared" si="4"/>
        <v/>
      </c>
      <c r="AI56" s="204" t="str">
        <f t="shared" si="5"/>
        <v/>
      </c>
      <c r="AJ56" s="205">
        <f t="shared" si="6"/>
        <v>28.5</v>
      </c>
      <c r="AK56" s="206">
        <f t="shared" si="7"/>
        <v>28.5</v>
      </c>
      <c r="AL56" s="168"/>
      <c r="AM56" s="168"/>
      <c r="AN56" s="168"/>
      <c r="AO56" s="168"/>
      <c r="AP56" s="168"/>
      <c r="AQ56" s="168"/>
      <c r="AR56" s="168"/>
      <c r="AS56" s="168"/>
      <c r="AT56" s="168"/>
      <c r="AU56" s="168"/>
      <c r="AV56" s="168"/>
      <c r="AW56" s="168"/>
      <c r="AX56" s="168"/>
      <c r="AY56" s="168"/>
    </row>
    <row r="57" spans="1:51">
      <c r="A57" s="16" t="s">
        <v>31</v>
      </c>
      <c r="B57" s="163">
        <v>41141</v>
      </c>
      <c r="C57" s="107" t="s">
        <v>72</v>
      </c>
      <c r="D57" s="23"/>
      <c r="E57" s="24"/>
      <c r="F57" s="24"/>
      <c r="G57" s="24"/>
      <c r="H57" s="24"/>
      <c r="I57" s="24"/>
      <c r="J57" s="24"/>
      <c r="K57" s="24"/>
      <c r="L57" s="24"/>
      <c r="M57" s="22"/>
      <c r="N57" s="23"/>
      <c r="O57" s="24"/>
      <c r="P57" s="24"/>
      <c r="Q57" s="24"/>
      <c r="R57" s="24"/>
      <c r="S57" s="24"/>
      <c r="T57" s="24"/>
      <c r="U57" s="24"/>
      <c r="V57" s="24"/>
      <c r="W57" s="22"/>
      <c r="X57" s="23">
        <v>25</v>
      </c>
      <c r="Y57" s="24">
        <v>48</v>
      </c>
      <c r="Z57" s="24">
        <v>5</v>
      </c>
      <c r="AA57" s="24">
        <v>56</v>
      </c>
      <c r="AB57" s="24">
        <v>12</v>
      </c>
      <c r="AC57" s="24">
        <v>39</v>
      </c>
      <c r="AD57" s="24">
        <v>29</v>
      </c>
      <c r="AE57" s="24">
        <v>13</v>
      </c>
      <c r="AF57" s="24">
        <v>9</v>
      </c>
      <c r="AG57" s="22">
        <v>33</v>
      </c>
      <c r="AH57" s="203" t="str">
        <f t="shared" si="4"/>
        <v/>
      </c>
      <c r="AI57" s="204" t="str">
        <f t="shared" si="5"/>
        <v/>
      </c>
      <c r="AJ57" s="205">
        <f t="shared" si="6"/>
        <v>26.9</v>
      </c>
      <c r="AK57" s="206">
        <f t="shared" si="7"/>
        <v>26.9</v>
      </c>
      <c r="AL57" s="168"/>
      <c r="AM57" s="168"/>
      <c r="AN57" s="168"/>
      <c r="AO57" s="168"/>
      <c r="AP57" s="168"/>
      <c r="AQ57" s="168"/>
      <c r="AR57" s="168"/>
      <c r="AS57" s="168"/>
      <c r="AT57" s="168"/>
      <c r="AU57" s="168"/>
      <c r="AV57" s="168"/>
      <c r="AW57" s="168"/>
      <c r="AX57" s="168"/>
      <c r="AY57" s="168"/>
    </row>
    <row r="58" spans="1:51">
      <c r="A58" s="16" t="s">
        <v>31</v>
      </c>
      <c r="B58" s="163">
        <v>41150</v>
      </c>
      <c r="C58" s="107" t="s">
        <v>72</v>
      </c>
      <c r="D58" s="23"/>
      <c r="E58" s="24"/>
      <c r="F58" s="24"/>
      <c r="G58" s="24"/>
      <c r="H58" s="24"/>
      <c r="I58" s="24"/>
      <c r="J58" s="24"/>
      <c r="K58" s="24"/>
      <c r="L58" s="24"/>
      <c r="M58" s="22"/>
      <c r="N58" s="23"/>
      <c r="O58" s="24"/>
      <c r="P58" s="24"/>
      <c r="Q58" s="24"/>
      <c r="R58" s="24"/>
      <c r="S58" s="24"/>
      <c r="T58" s="24"/>
      <c r="U58" s="24"/>
      <c r="V58" s="24"/>
      <c r="W58" s="22"/>
      <c r="X58" s="23">
        <v>22</v>
      </c>
      <c r="Y58" s="24">
        <v>37</v>
      </c>
      <c r="Z58" s="24">
        <v>6</v>
      </c>
      <c r="AA58" s="24">
        <v>35</v>
      </c>
      <c r="AB58" s="24">
        <v>10</v>
      </c>
      <c r="AC58" s="24">
        <v>35</v>
      </c>
      <c r="AD58" s="24">
        <v>26</v>
      </c>
      <c r="AE58" s="24">
        <v>9</v>
      </c>
      <c r="AF58" s="24">
        <v>12</v>
      </c>
      <c r="AG58" s="22">
        <v>19</v>
      </c>
      <c r="AH58" s="203" t="str">
        <f t="shared" si="4"/>
        <v/>
      </c>
      <c r="AI58" s="204" t="str">
        <f t="shared" si="5"/>
        <v/>
      </c>
      <c r="AJ58" s="205">
        <f t="shared" si="6"/>
        <v>21.1</v>
      </c>
      <c r="AK58" s="206">
        <f t="shared" si="7"/>
        <v>21.1</v>
      </c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</row>
    <row r="59" spans="1:51">
      <c r="A59" s="16" t="s">
        <v>31</v>
      </c>
      <c r="B59" s="163">
        <v>41158</v>
      </c>
      <c r="C59" s="107"/>
      <c r="D59" s="23"/>
      <c r="E59" s="24"/>
      <c r="F59" s="24"/>
      <c r="G59" s="24"/>
      <c r="H59" s="24"/>
      <c r="I59" s="24"/>
      <c r="J59" s="24"/>
      <c r="K59" s="24"/>
      <c r="L59" s="24"/>
      <c r="M59" s="22"/>
      <c r="N59" s="23"/>
      <c r="O59" s="24"/>
      <c r="P59" s="24"/>
      <c r="Q59" s="24"/>
      <c r="R59" s="24"/>
      <c r="S59" s="24"/>
      <c r="T59" s="24"/>
      <c r="U59" s="24"/>
      <c r="V59" s="24"/>
      <c r="W59" s="22"/>
      <c r="X59" s="23">
        <v>21</v>
      </c>
      <c r="Y59" s="24">
        <v>28</v>
      </c>
      <c r="Z59" s="24">
        <v>5</v>
      </c>
      <c r="AA59" s="24">
        <v>25</v>
      </c>
      <c r="AB59" s="24">
        <v>10</v>
      </c>
      <c r="AC59" s="24">
        <v>25</v>
      </c>
      <c r="AD59" s="24">
        <v>26</v>
      </c>
      <c r="AE59" s="24">
        <v>8</v>
      </c>
      <c r="AF59" s="24">
        <v>10</v>
      </c>
      <c r="AG59" s="22">
        <v>20</v>
      </c>
      <c r="AH59" s="203" t="str">
        <f t="shared" si="4"/>
        <v/>
      </c>
      <c r="AI59" s="204" t="str">
        <f t="shared" si="5"/>
        <v/>
      </c>
      <c r="AJ59" s="205">
        <f t="shared" si="6"/>
        <v>17.8</v>
      </c>
      <c r="AK59" s="206">
        <f t="shared" si="7"/>
        <v>17.8</v>
      </c>
      <c r="AL59" s="168"/>
      <c r="AM59" s="168"/>
      <c r="AN59" s="168"/>
      <c r="AO59" s="168"/>
      <c r="AP59" s="168"/>
      <c r="AQ59" s="168"/>
      <c r="AR59" s="168"/>
      <c r="AS59" s="168"/>
      <c r="AT59" s="168"/>
      <c r="AU59" s="168"/>
      <c r="AV59" s="168"/>
      <c r="AW59" s="168"/>
      <c r="AX59" s="168"/>
      <c r="AY59" s="168"/>
    </row>
    <row r="60" spans="1:51">
      <c r="A60" s="16" t="s">
        <v>31</v>
      </c>
      <c r="B60" s="163"/>
      <c r="C60" s="107"/>
      <c r="D60" s="23"/>
      <c r="E60" s="24"/>
      <c r="F60" s="24"/>
      <c r="G60" s="24"/>
      <c r="H60" s="24"/>
      <c r="I60" s="24"/>
      <c r="J60" s="24"/>
      <c r="K60" s="24"/>
      <c r="L60" s="24"/>
      <c r="M60" s="22"/>
      <c r="N60" s="23"/>
      <c r="O60" s="24"/>
      <c r="P60" s="24"/>
      <c r="Q60" s="24"/>
      <c r="R60" s="24"/>
      <c r="S60" s="24"/>
      <c r="T60" s="24"/>
      <c r="U60" s="24"/>
      <c r="V60" s="24"/>
      <c r="W60" s="22"/>
      <c r="X60" s="23"/>
      <c r="Y60" s="24"/>
      <c r="Z60" s="24"/>
      <c r="AA60" s="24"/>
      <c r="AB60" s="24"/>
      <c r="AC60" s="24"/>
      <c r="AD60" s="24"/>
      <c r="AE60" s="24"/>
      <c r="AF60" s="24"/>
      <c r="AG60" s="22"/>
      <c r="AH60" s="203" t="str">
        <f t="shared" si="4"/>
        <v/>
      </c>
      <c r="AI60" s="204" t="str">
        <f t="shared" si="5"/>
        <v/>
      </c>
      <c r="AJ60" s="205" t="str">
        <f t="shared" si="6"/>
        <v/>
      </c>
      <c r="AK60" s="206">
        <f t="shared" si="7"/>
        <v>0</v>
      </c>
      <c r="AL60" s="168"/>
      <c r="AM60" s="168"/>
      <c r="AN60" s="168"/>
      <c r="AO60" s="168"/>
      <c r="AP60" s="168"/>
      <c r="AQ60" s="168"/>
      <c r="AR60" s="168"/>
      <c r="AS60" s="168"/>
      <c r="AT60" s="168"/>
      <c r="AU60" s="168"/>
      <c r="AV60" s="168"/>
      <c r="AW60" s="168"/>
      <c r="AX60" s="168"/>
      <c r="AY60" s="168"/>
    </row>
    <row r="61" spans="1:51">
      <c r="A61" s="16" t="s">
        <v>31</v>
      </c>
      <c r="B61" s="163"/>
      <c r="C61" s="107"/>
      <c r="D61" s="23"/>
      <c r="E61" s="24"/>
      <c r="F61" s="24"/>
      <c r="G61" s="24"/>
      <c r="H61" s="24"/>
      <c r="I61" s="24"/>
      <c r="J61" s="24"/>
      <c r="K61" s="24"/>
      <c r="L61" s="24"/>
      <c r="M61" s="22"/>
      <c r="N61" s="23"/>
      <c r="O61" s="24"/>
      <c r="P61" s="24"/>
      <c r="Q61" s="24"/>
      <c r="R61" s="24"/>
      <c r="S61" s="24"/>
      <c r="T61" s="24"/>
      <c r="U61" s="24"/>
      <c r="V61" s="24"/>
      <c r="W61" s="22"/>
      <c r="X61" s="23"/>
      <c r="Y61" s="24"/>
      <c r="Z61" s="24"/>
      <c r="AA61" s="24"/>
      <c r="AB61" s="24"/>
      <c r="AC61" s="24"/>
      <c r="AD61" s="24"/>
      <c r="AE61" s="24"/>
      <c r="AF61" s="24"/>
      <c r="AG61" s="22"/>
      <c r="AH61" s="203" t="str">
        <f t="shared" si="4"/>
        <v/>
      </c>
      <c r="AI61" s="204" t="str">
        <f t="shared" si="5"/>
        <v/>
      </c>
      <c r="AJ61" s="205" t="str">
        <f t="shared" si="6"/>
        <v/>
      </c>
      <c r="AK61" s="206">
        <f t="shared" si="7"/>
        <v>0</v>
      </c>
      <c r="AL61" s="168"/>
      <c r="AM61" s="168"/>
      <c r="AN61" s="168"/>
      <c r="AO61" s="168"/>
      <c r="AP61" s="168"/>
      <c r="AQ61" s="168"/>
      <c r="AR61" s="168"/>
      <c r="AS61" s="168"/>
      <c r="AT61" s="168"/>
      <c r="AU61" s="168"/>
      <c r="AV61" s="168"/>
      <c r="AW61" s="168"/>
      <c r="AX61" s="168"/>
      <c r="AY61" s="168"/>
    </row>
    <row r="62" spans="1:51">
      <c r="A62" s="16" t="s">
        <v>31</v>
      </c>
      <c r="B62" s="163"/>
      <c r="C62" s="107"/>
      <c r="D62" s="23"/>
      <c r="E62" s="24"/>
      <c r="F62" s="24"/>
      <c r="G62" s="24"/>
      <c r="H62" s="24"/>
      <c r="I62" s="24"/>
      <c r="J62" s="24"/>
      <c r="K62" s="24"/>
      <c r="L62" s="24"/>
      <c r="M62" s="22"/>
      <c r="N62" s="23"/>
      <c r="O62" s="24"/>
      <c r="P62" s="24"/>
      <c r="Q62" s="24"/>
      <c r="R62" s="24"/>
      <c r="S62" s="24"/>
      <c r="T62" s="24"/>
      <c r="U62" s="24"/>
      <c r="V62" s="24"/>
      <c r="W62" s="22"/>
      <c r="X62" s="23"/>
      <c r="Y62" s="24"/>
      <c r="Z62" s="24"/>
      <c r="AA62" s="24"/>
      <c r="AB62" s="24"/>
      <c r="AC62" s="24"/>
      <c r="AD62" s="24"/>
      <c r="AE62" s="24"/>
      <c r="AF62" s="24"/>
      <c r="AG62" s="22"/>
      <c r="AH62" s="203" t="str">
        <f t="shared" si="4"/>
        <v/>
      </c>
      <c r="AI62" s="204" t="str">
        <f t="shared" si="5"/>
        <v/>
      </c>
      <c r="AJ62" s="205" t="str">
        <f t="shared" si="6"/>
        <v/>
      </c>
      <c r="AK62" s="206">
        <f t="shared" si="7"/>
        <v>0</v>
      </c>
      <c r="AL62" s="168"/>
      <c r="AM62" s="168"/>
      <c r="AN62" s="168"/>
      <c r="AO62" s="168"/>
      <c r="AP62" s="168"/>
      <c r="AQ62" s="168"/>
      <c r="AR62" s="168"/>
      <c r="AS62" s="168"/>
      <c r="AT62" s="168"/>
      <c r="AU62" s="168"/>
      <c r="AV62" s="168"/>
      <c r="AW62" s="168"/>
      <c r="AX62" s="168"/>
      <c r="AY62" s="168"/>
    </row>
    <row r="63" spans="1:51">
      <c r="A63" s="16" t="s">
        <v>31</v>
      </c>
      <c r="B63" s="163"/>
      <c r="C63" s="107"/>
      <c r="D63" s="23"/>
      <c r="E63" s="24"/>
      <c r="F63" s="24"/>
      <c r="G63" s="24"/>
      <c r="H63" s="24"/>
      <c r="I63" s="24"/>
      <c r="J63" s="24"/>
      <c r="K63" s="24"/>
      <c r="L63" s="24"/>
      <c r="M63" s="22"/>
      <c r="N63" s="23"/>
      <c r="O63" s="24"/>
      <c r="P63" s="24"/>
      <c r="Q63" s="24"/>
      <c r="R63" s="24"/>
      <c r="S63" s="24"/>
      <c r="T63" s="24"/>
      <c r="U63" s="24"/>
      <c r="V63" s="24"/>
      <c r="W63" s="22"/>
      <c r="X63" s="23"/>
      <c r="Y63" s="24"/>
      <c r="Z63" s="24"/>
      <c r="AA63" s="24"/>
      <c r="AB63" s="24"/>
      <c r="AC63" s="24"/>
      <c r="AD63" s="24"/>
      <c r="AE63" s="24"/>
      <c r="AF63" s="24"/>
      <c r="AG63" s="22"/>
      <c r="AH63" s="203" t="str">
        <f t="shared" si="4"/>
        <v/>
      </c>
      <c r="AI63" s="204" t="str">
        <f t="shared" si="5"/>
        <v/>
      </c>
      <c r="AJ63" s="205" t="str">
        <f t="shared" si="6"/>
        <v/>
      </c>
      <c r="AK63" s="206">
        <f t="shared" si="7"/>
        <v>0</v>
      </c>
      <c r="AL63" s="168"/>
      <c r="AM63" s="168"/>
      <c r="AN63" s="168"/>
      <c r="AO63" s="168"/>
      <c r="AP63" s="168"/>
      <c r="AQ63" s="168"/>
      <c r="AR63" s="168"/>
      <c r="AS63" s="168"/>
      <c r="AT63" s="168"/>
      <c r="AU63" s="168"/>
      <c r="AV63" s="168"/>
      <c r="AW63" s="168"/>
      <c r="AX63" s="168"/>
      <c r="AY63" s="168"/>
    </row>
    <row r="64" spans="1:51">
      <c r="A64" s="16" t="s">
        <v>31</v>
      </c>
      <c r="B64" s="163"/>
      <c r="C64" s="107"/>
      <c r="D64" s="23"/>
      <c r="E64" s="24"/>
      <c r="F64" s="24"/>
      <c r="G64" s="24"/>
      <c r="H64" s="24"/>
      <c r="I64" s="24"/>
      <c r="J64" s="24"/>
      <c r="K64" s="24"/>
      <c r="L64" s="24"/>
      <c r="M64" s="22"/>
      <c r="N64" s="23"/>
      <c r="O64" s="24"/>
      <c r="P64" s="24"/>
      <c r="Q64" s="24"/>
      <c r="R64" s="24"/>
      <c r="S64" s="24"/>
      <c r="T64" s="24"/>
      <c r="U64" s="24"/>
      <c r="V64" s="24"/>
      <c r="W64" s="22"/>
      <c r="X64" s="23"/>
      <c r="Y64" s="24"/>
      <c r="Z64" s="24"/>
      <c r="AA64" s="24"/>
      <c r="AB64" s="24"/>
      <c r="AC64" s="24"/>
      <c r="AD64" s="24"/>
      <c r="AE64" s="24"/>
      <c r="AF64" s="24"/>
      <c r="AG64" s="22"/>
      <c r="AH64" s="203" t="str">
        <f t="shared" si="4"/>
        <v/>
      </c>
      <c r="AI64" s="204" t="str">
        <f t="shared" si="5"/>
        <v/>
      </c>
      <c r="AJ64" s="205" t="str">
        <f t="shared" si="6"/>
        <v/>
      </c>
      <c r="AK64" s="206">
        <f t="shared" si="7"/>
        <v>0</v>
      </c>
      <c r="AL64" s="168"/>
      <c r="AM64" s="168"/>
      <c r="AN64" s="168"/>
      <c r="AO64" s="168"/>
      <c r="AP64" s="168"/>
      <c r="AQ64" s="168"/>
      <c r="AR64" s="168"/>
      <c r="AS64" s="168"/>
      <c r="AT64" s="168"/>
      <c r="AU64" s="168"/>
      <c r="AV64" s="168"/>
      <c r="AW64" s="168"/>
      <c r="AX64" s="168"/>
      <c r="AY64" s="168"/>
    </row>
    <row r="65" spans="1:51">
      <c r="A65" s="16" t="s">
        <v>31</v>
      </c>
      <c r="B65" s="163"/>
      <c r="C65" s="107"/>
      <c r="D65" s="23"/>
      <c r="E65" s="24"/>
      <c r="F65" s="24"/>
      <c r="G65" s="24"/>
      <c r="H65" s="24"/>
      <c r="I65" s="24"/>
      <c r="J65" s="24"/>
      <c r="K65" s="24"/>
      <c r="L65" s="24"/>
      <c r="M65" s="22"/>
      <c r="N65" s="23"/>
      <c r="O65" s="24"/>
      <c r="P65" s="24"/>
      <c r="Q65" s="24"/>
      <c r="R65" s="24"/>
      <c r="S65" s="24"/>
      <c r="T65" s="24"/>
      <c r="U65" s="24"/>
      <c r="V65" s="24"/>
      <c r="W65" s="22"/>
      <c r="X65" s="23"/>
      <c r="Y65" s="24"/>
      <c r="Z65" s="24"/>
      <c r="AA65" s="24"/>
      <c r="AB65" s="24"/>
      <c r="AC65" s="24"/>
      <c r="AD65" s="24"/>
      <c r="AE65" s="24"/>
      <c r="AF65" s="24"/>
      <c r="AG65" s="22"/>
      <c r="AH65" s="203" t="str">
        <f t="shared" si="4"/>
        <v/>
      </c>
      <c r="AI65" s="204" t="str">
        <f t="shared" si="5"/>
        <v/>
      </c>
      <c r="AJ65" s="205" t="str">
        <f t="shared" si="6"/>
        <v/>
      </c>
      <c r="AK65" s="206">
        <f t="shared" si="7"/>
        <v>0</v>
      </c>
      <c r="AL65" s="168"/>
      <c r="AM65" s="168"/>
      <c r="AN65" s="168"/>
      <c r="AO65" s="168"/>
      <c r="AP65" s="168"/>
      <c r="AQ65" s="168"/>
      <c r="AR65" s="168"/>
      <c r="AS65" s="168"/>
      <c r="AT65" s="168"/>
      <c r="AU65" s="168"/>
      <c r="AV65" s="168"/>
      <c r="AW65" s="168"/>
      <c r="AX65" s="168"/>
      <c r="AY65" s="168"/>
    </row>
    <row r="66" spans="1:51">
      <c r="A66" s="16" t="s">
        <v>31</v>
      </c>
      <c r="B66" s="163"/>
      <c r="C66" s="107"/>
      <c r="D66" s="23"/>
      <c r="E66" s="24"/>
      <c r="F66" s="24"/>
      <c r="G66" s="24"/>
      <c r="H66" s="24"/>
      <c r="I66" s="24"/>
      <c r="J66" s="24"/>
      <c r="K66" s="24"/>
      <c r="L66" s="24"/>
      <c r="M66" s="22"/>
      <c r="N66" s="23"/>
      <c r="O66" s="24"/>
      <c r="P66" s="24"/>
      <c r="Q66" s="24"/>
      <c r="R66" s="24"/>
      <c r="S66" s="24"/>
      <c r="T66" s="24"/>
      <c r="U66" s="24"/>
      <c r="V66" s="24"/>
      <c r="W66" s="22"/>
      <c r="X66" s="23"/>
      <c r="Y66" s="24"/>
      <c r="Z66" s="24"/>
      <c r="AA66" s="24"/>
      <c r="AB66" s="24"/>
      <c r="AC66" s="24"/>
      <c r="AD66" s="24"/>
      <c r="AE66" s="24"/>
      <c r="AF66" s="24"/>
      <c r="AG66" s="22"/>
      <c r="AH66" s="203" t="str">
        <f t="shared" si="4"/>
        <v/>
      </c>
      <c r="AI66" s="204" t="str">
        <f t="shared" si="5"/>
        <v/>
      </c>
      <c r="AJ66" s="205" t="str">
        <f t="shared" si="6"/>
        <v/>
      </c>
      <c r="AK66" s="206">
        <f t="shared" si="7"/>
        <v>0</v>
      </c>
      <c r="AL66" s="168"/>
      <c r="AM66" s="168"/>
      <c r="AN66" s="168"/>
      <c r="AO66" s="168"/>
      <c r="AP66" s="168"/>
      <c r="AQ66" s="168"/>
      <c r="AR66" s="168"/>
      <c r="AS66" s="168"/>
      <c r="AT66" s="168"/>
      <c r="AU66" s="168"/>
      <c r="AV66" s="168"/>
      <c r="AW66" s="168"/>
      <c r="AX66" s="168"/>
      <c r="AY66" s="168"/>
    </row>
    <row r="67" spans="1:51">
      <c r="A67" s="16" t="s">
        <v>31</v>
      </c>
      <c r="B67" s="163"/>
      <c r="C67" s="107"/>
      <c r="D67" s="23"/>
      <c r="E67" s="24"/>
      <c r="F67" s="24"/>
      <c r="G67" s="24"/>
      <c r="H67" s="24"/>
      <c r="I67" s="24"/>
      <c r="J67" s="24"/>
      <c r="K67" s="24"/>
      <c r="L67" s="24"/>
      <c r="M67" s="22"/>
      <c r="N67" s="23"/>
      <c r="O67" s="24"/>
      <c r="P67" s="24"/>
      <c r="Q67" s="24"/>
      <c r="R67" s="24"/>
      <c r="S67" s="24"/>
      <c r="T67" s="24"/>
      <c r="U67" s="24"/>
      <c r="V67" s="24"/>
      <c r="W67" s="22"/>
      <c r="X67" s="23"/>
      <c r="Y67" s="24"/>
      <c r="Z67" s="24"/>
      <c r="AA67" s="24"/>
      <c r="AB67" s="24"/>
      <c r="AC67" s="24"/>
      <c r="AD67" s="24"/>
      <c r="AE67" s="24"/>
      <c r="AF67" s="24"/>
      <c r="AG67" s="22"/>
      <c r="AH67" s="203" t="str">
        <f t="shared" si="4"/>
        <v/>
      </c>
      <c r="AI67" s="204" t="str">
        <f t="shared" si="5"/>
        <v/>
      </c>
      <c r="AJ67" s="205" t="str">
        <f t="shared" si="6"/>
        <v/>
      </c>
      <c r="AK67" s="206">
        <f t="shared" si="7"/>
        <v>0</v>
      </c>
      <c r="AL67" s="168"/>
      <c r="AM67" s="168"/>
      <c r="AN67" s="168"/>
      <c r="AO67" s="168"/>
      <c r="AP67" s="168"/>
      <c r="AQ67" s="168"/>
      <c r="AR67" s="168"/>
      <c r="AS67" s="168"/>
      <c r="AT67" s="168"/>
      <c r="AU67" s="168"/>
      <c r="AV67" s="168"/>
      <c r="AW67" s="168"/>
      <c r="AX67" s="168"/>
      <c r="AY67" s="168"/>
    </row>
    <row r="68" spans="1:51">
      <c r="A68" s="16" t="s">
        <v>31</v>
      </c>
      <c r="B68" s="163"/>
      <c r="C68" s="107"/>
      <c r="D68" s="23"/>
      <c r="E68" s="24"/>
      <c r="F68" s="24"/>
      <c r="G68" s="24"/>
      <c r="H68" s="24"/>
      <c r="I68" s="24"/>
      <c r="J68" s="24"/>
      <c r="K68" s="24"/>
      <c r="L68" s="24"/>
      <c r="M68" s="22"/>
      <c r="N68" s="23"/>
      <c r="O68" s="24"/>
      <c r="P68" s="24"/>
      <c r="Q68" s="24"/>
      <c r="R68" s="24"/>
      <c r="S68" s="24"/>
      <c r="T68" s="24"/>
      <c r="U68" s="24"/>
      <c r="V68" s="24"/>
      <c r="W68" s="22"/>
      <c r="X68" s="23"/>
      <c r="Y68" s="24"/>
      <c r="Z68" s="24"/>
      <c r="AA68" s="24"/>
      <c r="AB68" s="24"/>
      <c r="AC68" s="24"/>
      <c r="AD68" s="24"/>
      <c r="AE68" s="24"/>
      <c r="AF68" s="24"/>
      <c r="AG68" s="22"/>
      <c r="AH68" s="203" t="str">
        <f t="shared" si="4"/>
        <v/>
      </c>
      <c r="AI68" s="204" t="str">
        <f t="shared" si="5"/>
        <v/>
      </c>
      <c r="AJ68" s="205" t="str">
        <f t="shared" si="6"/>
        <v/>
      </c>
      <c r="AK68" s="206">
        <f t="shared" si="7"/>
        <v>0</v>
      </c>
      <c r="AL68" s="168"/>
      <c r="AM68" s="168"/>
      <c r="AN68" s="168"/>
      <c r="AO68" s="168"/>
      <c r="AP68" s="168"/>
      <c r="AQ68" s="168"/>
      <c r="AR68" s="168"/>
      <c r="AS68" s="168"/>
      <c r="AT68" s="168"/>
      <c r="AU68" s="168"/>
      <c r="AV68" s="168"/>
      <c r="AW68" s="168"/>
      <c r="AX68" s="168"/>
      <c r="AY68" s="168"/>
    </row>
    <row r="69" spans="1:51">
      <c r="A69" s="16" t="s">
        <v>31</v>
      </c>
      <c r="B69" s="163"/>
      <c r="C69" s="107"/>
      <c r="D69" s="23"/>
      <c r="E69" s="24"/>
      <c r="F69" s="24"/>
      <c r="G69" s="24"/>
      <c r="H69" s="24"/>
      <c r="I69" s="24"/>
      <c r="J69" s="24"/>
      <c r="K69" s="24"/>
      <c r="L69" s="24"/>
      <c r="M69" s="22"/>
      <c r="N69" s="23"/>
      <c r="O69" s="24"/>
      <c r="P69" s="24"/>
      <c r="Q69" s="24"/>
      <c r="R69" s="24"/>
      <c r="S69" s="24"/>
      <c r="T69" s="24"/>
      <c r="U69" s="24"/>
      <c r="V69" s="24"/>
      <c r="W69" s="22"/>
      <c r="X69" s="23"/>
      <c r="Y69" s="24"/>
      <c r="Z69" s="24"/>
      <c r="AA69" s="24"/>
      <c r="AB69" s="24"/>
      <c r="AC69" s="24"/>
      <c r="AD69" s="24"/>
      <c r="AE69" s="24"/>
      <c r="AF69" s="24"/>
      <c r="AG69" s="22"/>
      <c r="AH69" s="203" t="str">
        <f t="shared" si="4"/>
        <v/>
      </c>
      <c r="AI69" s="204" t="str">
        <f t="shared" si="5"/>
        <v/>
      </c>
      <c r="AJ69" s="205" t="str">
        <f t="shared" si="6"/>
        <v/>
      </c>
      <c r="AK69" s="206">
        <f t="shared" si="7"/>
        <v>0</v>
      </c>
      <c r="AL69" s="168"/>
      <c r="AM69" s="168"/>
      <c r="AN69" s="168"/>
      <c r="AO69" s="168"/>
      <c r="AP69" s="168"/>
      <c r="AQ69" s="168"/>
      <c r="AR69" s="168"/>
      <c r="AS69" s="168"/>
      <c r="AT69" s="168"/>
      <c r="AU69" s="168"/>
      <c r="AV69" s="168"/>
      <c r="AW69" s="168"/>
      <c r="AX69" s="168"/>
      <c r="AY69" s="168"/>
    </row>
    <row r="70" spans="1:51">
      <c r="A70" s="16" t="s">
        <v>31</v>
      </c>
      <c r="B70" s="163"/>
      <c r="C70" s="107"/>
      <c r="D70" s="23"/>
      <c r="E70" s="24"/>
      <c r="F70" s="24"/>
      <c r="G70" s="24"/>
      <c r="H70" s="24"/>
      <c r="I70" s="24"/>
      <c r="J70" s="24"/>
      <c r="K70" s="24"/>
      <c r="L70" s="24"/>
      <c r="M70" s="22"/>
      <c r="N70" s="23"/>
      <c r="O70" s="24"/>
      <c r="P70" s="24"/>
      <c r="Q70" s="24"/>
      <c r="R70" s="24"/>
      <c r="S70" s="24"/>
      <c r="T70" s="24"/>
      <c r="U70" s="24"/>
      <c r="V70" s="24"/>
      <c r="W70" s="22"/>
      <c r="X70" s="23"/>
      <c r="Y70" s="24"/>
      <c r="Z70" s="24"/>
      <c r="AA70" s="24"/>
      <c r="AB70" s="24"/>
      <c r="AC70" s="24"/>
      <c r="AD70" s="24"/>
      <c r="AE70" s="24"/>
      <c r="AF70" s="24"/>
      <c r="AG70" s="22"/>
      <c r="AH70" s="203" t="str">
        <f t="shared" si="4"/>
        <v/>
      </c>
      <c r="AI70" s="204" t="str">
        <f t="shared" si="5"/>
        <v/>
      </c>
      <c r="AJ70" s="205" t="str">
        <f t="shared" si="6"/>
        <v/>
      </c>
      <c r="AK70" s="206">
        <f t="shared" si="7"/>
        <v>0</v>
      </c>
      <c r="AL70" s="168"/>
      <c r="AM70" s="168"/>
      <c r="AN70" s="168"/>
      <c r="AO70" s="168"/>
      <c r="AP70" s="168"/>
      <c r="AQ70" s="168"/>
      <c r="AR70" s="168"/>
      <c r="AS70" s="168"/>
      <c r="AT70" s="168"/>
      <c r="AU70" s="168"/>
      <c r="AV70" s="168"/>
      <c r="AW70" s="168"/>
      <c r="AX70" s="168"/>
      <c r="AY70" s="168"/>
    </row>
    <row r="71" spans="1:51">
      <c r="A71" s="16" t="s">
        <v>31</v>
      </c>
      <c r="B71" s="163"/>
      <c r="C71" s="107"/>
      <c r="D71" s="23"/>
      <c r="E71" s="24"/>
      <c r="F71" s="24"/>
      <c r="G71" s="24"/>
      <c r="H71" s="24"/>
      <c r="I71" s="24"/>
      <c r="J71" s="24"/>
      <c r="K71" s="24"/>
      <c r="L71" s="24"/>
      <c r="M71" s="22"/>
      <c r="N71" s="23"/>
      <c r="O71" s="24"/>
      <c r="P71" s="24"/>
      <c r="Q71" s="24"/>
      <c r="R71" s="24"/>
      <c r="S71" s="24"/>
      <c r="T71" s="24"/>
      <c r="U71" s="24"/>
      <c r="V71" s="24"/>
      <c r="W71" s="22"/>
      <c r="X71" s="23"/>
      <c r="Y71" s="24"/>
      <c r="Z71" s="24"/>
      <c r="AA71" s="24"/>
      <c r="AB71" s="24"/>
      <c r="AC71" s="24"/>
      <c r="AD71" s="24"/>
      <c r="AE71" s="24"/>
      <c r="AF71" s="24"/>
      <c r="AG71" s="22"/>
      <c r="AH71" s="203" t="str">
        <f t="shared" si="4"/>
        <v/>
      </c>
      <c r="AI71" s="204" t="str">
        <f t="shared" si="5"/>
        <v/>
      </c>
      <c r="AJ71" s="205" t="str">
        <f t="shared" si="6"/>
        <v/>
      </c>
      <c r="AK71" s="206">
        <f t="shared" si="7"/>
        <v>0</v>
      </c>
      <c r="AL71" s="168"/>
      <c r="AM71" s="168"/>
      <c r="AN71" s="168"/>
      <c r="AO71" s="168"/>
      <c r="AP71" s="168"/>
      <c r="AQ71" s="168"/>
      <c r="AR71" s="168"/>
      <c r="AS71" s="168"/>
      <c r="AT71" s="168"/>
      <c r="AU71" s="168"/>
      <c r="AV71" s="168"/>
      <c r="AW71" s="168"/>
      <c r="AX71" s="168"/>
      <c r="AY71" s="168"/>
    </row>
    <row r="72" spans="1:51">
      <c r="A72" s="16" t="s">
        <v>31</v>
      </c>
      <c r="B72" s="163"/>
      <c r="C72" s="107"/>
      <c r="D72" s="23"/>
      <c r="E72" s="24"/>
      <c r="F72" s="24"/>
      <c r="G72" s="24"/>
      <c r="H72" s="24"/>
      <c r="I72" s="24"/>
      <c r="J72" s="24"/>
      <c r="K72" s="24"/>
      <c r="L72" s="24"/>
      <c r="M72" s="22"/>
      <c r="N72" s="23"/>
      <c r="O72" s="24"/>
      <c r="P72" s="24"/>
      <c r="Q72" s="24"/>
      <c r="R72" s="24"/>
      <c r="S72" s="24"/>
      <c r="T72" s="24"/>
      <c r="U72" s="24"/>
      <c r="V72" s="24"/>
      <c r="W72" s="22"/>
      <c r="X72" s="23"/>
      <c r="Y72" s="24"/>
      <c r="Z72" s="24"/>
      <c r="AA72" s="24"/>
      <c r="AB72" s="24"/>
      <c r="AC72" s="24"/>
      <c r="AD72" s="24"/>
      <c r="AE72" s="24"/>
      <c r="AF72" s="24"/>
      <c r="AG72" s="22"/>
      <c r="AH72" s="203" t="str">
        <f t="shared" si="4"/>
        <v/>
      </c>
      <c r="AI72" s="204" t="str">
        <f t="shared" si="5"/>
        <v/>
      </c>
      <c r="AJ72" s="205" t="str">
        <f t="shared" si="6"/>
        <v/>
      </c>
      <c r="AK72" s="206">
        <f t="shared" si="7"/>
        <v>0</v>
      </c>
      <c r="AL72" s="168"/>
      <c r="AM72" s="168"/>
      <c r="AN72" s="168"/>
      <c r="AO72" s="168"/>
      <c r="AP72" s="168"/>
      <c r="AQ72" s="168"/>
      <c r="AR72" s="168"/>
      <c r="AS72" s="168"/>
      <c r="AT72" s="168"/>
      <c r="AU72" s="168"/>
      <c r="AV72" s="168"/>
      <c r="AW72" s="168"/>
      <c r="AX72" s="168"/>
      <c r="AY72" s="168"/>
    </row>
    <row r="73" spans="1:51" ht="13" thickBot="1">
      <c r="A73" s="17" t="s">
        <v>31</v>
      </c>
      <c r="B73" s="163"/>
      <c r="C73" s="107"/>
      <c r="D73" s="23"/>
      <c r="E73" s="24"/>
      <c r="F73" s="24"/>
      <c r="G73" s="24"/>
      <c r="H73" s="24"/>
      <c r="I73" s="24"/>
      <c r="J73" s="24"/>
      <c r="K73" s="24"/>
      <c r="L73" s="24"/>
      <c r="M73" s="22"/>
      <c r="N73" s="23"/>
      <c r="O73" s="24"/>
      <c r="P73" s="24"/>
      <c r="Q73" s="24"/>
      <c r="R73" s="24"/>
      <c r="S73" s="24"/>
      <c r="T73" s="24"/>
      <c r="U73" s="24"/>
      <c r="V73" s="24"/>
      <c r="W73" s="22"/>
      <c r="X73" s="31"/>
      <c r="Y73" s="32"/>
      <c r="Z73" s="32"/>
      <c r="AA73" s="32"/>
      <c r="AB73" s="32"/>
      <c r="AC73" s="32"/>
      <c r="AD73" s="32"/>
      <c r="AE73" s="32"/>
      <c r="AF73" s="32"/>
      <c r="AG73" s="30"/>
      <c r="AH73" s="207" t="str">
        <f t="shared" si="4"/>
        <v/>
      </c>
      <c r="AI73" s="208" t="str">
        <f t="shared" si="5"/>
        <v/>
      </c>
      <c r="AJ73" s="185" t="str">
        <f t="shared" si="6"/>
        <v/>
      </c>
      <c r="AK73" s="209">
        <f t="shared" si="7"/>
        <v>0</v>
      </c>
      <c r="AL73" s="168"/>
      <c r="AM73" s="168"/>
      <c r="AN73" s="168"/>
      <c r="AO73" s="168"/>
      <c r="AP73" s="168"/>
      <c r="AQ73" s="168"/>
      <c r="AR73" s="168"/>
      <c r="AS73" s="168"/>
      <c r="AT73" s="168"/>
      <c r="AU73" s="168"/>
      <c r="AV73" s="168"/>
      <c r="AW73" s="168"/>
      <c r="AX73" s="168"/>
      <c r="AY73" s="168"/>
    </row>
    <row r="74" spans="1:51" ht="13" thickBot="1">
      <c r="A74" s="294" t="s">
        <v>32</v>
      </c>
      <c r="B74" s="154"/>
      <c r="C74" s="154"/>
      <c r="D74" s="92"/>
      <c r="E74" s="93"/>
      <c r="F74" s="93"/>
      <c r="G74" s="93"/>
      <c r="H74" s="93"/>
      <c r="I74" s="93"/>
      <c r="J74" s="93"/>
      <c r="K74" s="93"/>
      <c r="L74" s="93"/>
      <c r="M74" s="96"/>
      <c r="N74" s="92"/>
      <c r="O74" s="93"/>
      <c r="P74" s="93"/>
      <c r="Q74" s="93"/>
      <c r="R74" s="93"/>
      <c r="S74" s="93"/>
      <c r="T74" s="93"/>
      <c r="U74" s="93"/>
      <c r="V74" s="93"/>
      <c r="W74" s="96"/>
      <c r="X74" s="354"/>
      <c r="Y74" s="355"/>
      <c r="Z74" s="355"/>
      <c r="AA74" s="355"/>
      <c r="AB74" s="355"/>
      <c r="AC74" s="355"/>
      <c r="AD74" s="355"/>
      <c r="AE74" s="355"/>
      <c r="AF74" s="355"/>
      <c r="AG74" s="356"/>
      <c r="AH74" s="304" t="s">
        <v>49</v>
      </c>
      <c r="AI74" s="305" t="s">
        <v>50</v>
      </c>
      <c r="AJ74" s="305" t="s">
        <v>51</v>
      </c>
      <c r="AK74" s="210"/>
      <c r="AL74" s="168"/>
      <c r="AM74" s="168"/>
      <c r="AN74" s="168"/>
      <c r="AO74" s="168"/>
      <c r="AP74" s="168"/>
      <c r="AQ74" s="168"/>
      <c r="AR74" s="168"/>
      <c r="AS74" s="168"/>
      <c r="AT74" s="168"/>
      <c r="AU74" s="168"/>
      <c r="AV74" s="168"/>
      <c r="AW74" s="168"/>
      <c r="AX74" s="168"/>
      <c r="AY74" s="168"/>
    </row>
    <row r="75" spans="1:51">
      <c r="A75" s="15" t="s">
        <v>32</v>
      </c>
      <c r="B75" s="130">
        <v>41022</v>
      </c>
      <c r="C75" s="83" t="s">
        <v>83</v>
      </c>
      <c r="D75" s="23">
        <v>0</v>
      </c>
      <c r="E75" s="24">
        <v>0</v>
      </c>
      <c r="F75" s="24">
        <v>0</v>
      </c>
      <c r="G75" s="24">
        <v>0</v>
      </c>
      <c r="H75" s="24">
        <v>0</v>
      </c>
      <c r="I75" s="24">
        <v>0</v>
      </c>
      <c r="J75" s="24">
        <v>0</v>
      </c>
      <c r="K75" s="24">
        <v>0</v>
      </c>
      <c r="L75" s="24">
        <v>0</v>
      </c>
      <c r="M75" s="22">
        <v>0</v>
      </c>
      <c r="N75" s="23"/>
      <c r="O75" s="24"/>
      <c r="P75" s="24"/>
      <c r="Q75" s="24"/>
      <c r="R75" s="24"/>
      <c r="S75" s="24"/>
      <c r="T75" s="24"/>
      <c r="U75" s="24"/>
      <c r="V75" s="24"/>
      <c r="W75" s="22"/>
      <c r="X75" s="23"/>
      <c r="Y75" s="24"/>
      <c r="Z75" s="24"/>
      <c r="AA75" s="24"/>
      <c r="AB75" s="24"/>
      <c r="AC75" s="24"/>
      <c r="AD75" s="24"/>
      <c r="AE75" s="24"/>
      <c r="AF75" s="24"/>
      <c r="AG75" s="22"/>
      <c r="AH75" s="199">
        <f>IF(COUNT(D75:M75)=0,"",AVERAGE(D75:M75))</f>
        <v>0</v>
      </c>
      <c r="AI75" s="200" t="str">
        <f t="shared" ref="AI75:AI104" si="8">IF(COUNT(N75:W75)=0,"",AVERAGE(N75:W75))</f>
        <v/>
      </c>
      <c r="AJ75" s="184" t="str">
        <f t="shared" ref="AJ75:AJ104" si="9">IF(COUNT(X75:AG75)=0,"",AVERAGE(X75:AG75))</f>
        <v/>
      </c>
      <c r="AK75" s="202">
        <f t="shared" ref="AK75:AK104" si="10">IF(ISNUMBER(AH75),AH75,0)+IF(ISNUMBER(AI75),AI75,0)+IF(ISNUMBER(AJ75),AJ75,0)</f>
        <v>0</v>
      </c>
      <c r="AL75" s="168"/>
      <c r="AM75" s="168"/>
      <c r="AN75" s="168"/>
      <c r="AO75" s="168"/>
      <c r="AP75" s="168"/>
      <c r="AQ75" s="168"/>
      <c r="AR75" s="168"/>
      <c r="AS75" s="168"/>
      <c r="AT75" s="168"/>
      <c r="AU75" s="168"/>
      <c r="AV75" s="168"/>
      <c r="AW75" s="168"/>
      <c r="AX75" s="168"/>
      <c r="AY75" s="168"/>
    </row>
    <row r="76" spans="1:51">
      <c r="A76" s="16" t="s">
        <v>32</v>
      </c>
      <c r="B76" s="131">
        <v>41026</v>
      </c>
      <c r="C76" s="83" t="s">
        <v>82</v>
      </c>
      <c r="D76" s="23">
        <v>0</v>
      </c>
      <c r="E76" s="24">
        <v>0</v>
      </c>
      <c r="F76" s="24">
        <v>0</v>
      </c>
      <c r="G76" s="24">
        <v>0</v>
      </c>
      <c r="H76" s="24">
        <v>0</v>
      </c>
      <c r="I76" s="24">
        <v>0</v>
      </c>
      <c r="J76" s="24">
        <v>0</v>
      </c>
      <c r="K76" s="24">
        <v>0</v>
      </c>
      <c r="L76" s="24">
        <v>0</v>
      </c>
      <c r="M76" s="22">
        <v>0</v>
      </c>
      <c r="N76" s="23"/>
      <c r="O76" s="24"/>
      <c r="P76" s="24"/>
      <c r="Q76" s="24"/>
      <c r="R76" s="24"/>
      <c r="S76" s="24"/>
      <c r="T76" s="24"/>
      <c r="U76" s="24"/>
      <c r="V76" s="24"/>
      <c r="W76" s="22"/>
      <c r="X76" s="23"/>
      <c r="Y76" s="24"/>
      <c r="Z76" s="24"/>
      <c r="AA76" s="24"/>
      <c r="AB76" s="24"/>
      <c r="AC76" s="24"/>
      <c r="AD76" s="24"/>
      <c r="AE76" s="24"/>
      <c r="AF76" s="24"/>
      <c r="AG76" s="22"/>
      <c r="AH76" s="203">
        <f t="shared" ref="AH76:AH104" si="11">IF(COUNT(D76:M76)=0,"",AVERAGE(D76:M76))</f>
        <v>0</v>
      </c>
      <c r="AI76" s="204" t="str">
        <f t="shared" si="8"/>
        <v/>
      </c>
      <c r="AJ76" s="205" t="str">
        <f t="shared" si="9"/>
        <v/>
      </c>
      <c r="AK76" s="206">
        <f t="shared" si="10"/>
        <v>0</v>
      </c>
      <c r="AL76" s="168"/>
      <c r="AM76" s="168"/>
      <c r="AN76" s="168"/>
      <c r="AO76" s="168"/>
      <c r="AP76" s="168"/>
      <c r="AQ76" s="168"/>
      <c r="AR76" s="168"/>
      <c r="AS76" s="168"/>
      <c r="AT76" s="168"/>
      <c r="AU76" s="168"/>
      <c r="AV76" s="168"/>
      <c r="AW76" s="168"/>
      <c r="AX76" s="168"/>
      <c r="AY76" s="168"/>
    </row>
    <row r="77" spans="1:51">
      <c r="A77" s="16" t="s">
        <v>32</v>
      </c>
      <c r="B77" s="131">
        <v>41031</v>
      </c>
      <c r="C77" s="83" t="s">
        <v>82</v>
      </c>
      <c r="D77" s="23">
        <v>0</v>
      </c>
      <c r="E77" s="24">
        <v>0</v>
      </c>
      <c r="F77" s="24">
        <v>0</v>
      </c>
      <c r="G77" s="24">
        <v>0</v>
      </c>
      <c r="H77" s="24">
        <v>0</v>
      </c>
      <c r="I77" s="24">
        <v>0</v>
      </c>
      <c r="J77" s="24">
        <v>0</v>
      </c>
      <c r="K77" s="24">
        <v>0</v>
      </c>
      <c r="L77" s="24">
        <v>0</v>
      </c>
      <c r="M77" s="22">
        <v>0</v>
      </c>
      <c r="N77" s="23"/>
      <c r="O77" s="24"/>
      <c r="P77" s="24"/>
      <c r="Q77" s="24"/>
      <c r="R77" s="24"/>
      <c r="S77" s="24"/>
      <c r="T77" s="24"/>
      <c r="U77" s="24"/>
      <c r="V77" s="24"/>
      <c r="W77" s="22"/>
      <c r="X77" s="23"/>
      <c r="Y77" s="24"/>
      <c r="Z77" s="24"/>
      <c r="AA77" s="24"/>
      <c r="AB77" s="24"/>
      <c r="AC77" s="24"/>
      <c r="AD77" s="24"/>
      <c r="AE77" s="24"/>
      <c r="AF77" s="24"/>
      <c r="AG77" s="22"/>
      <c r="AH77" s="203">
        <f t="shared" si="11"/>
        <v>0</v>
      </c>
      <c r="AI77" s="204" t="str">
        <f t="shared" si="8"/>
        <v/>
      </c>
      <c r="AJ77" s="205" t="str">
        <f t="shared" si="9"/>
        <v/>
      </c>
      <c r="AK77" s="206">
        <f t="shared" si="10"/>
        <v>0</v>
      </c>
      <c r="AL77" s="168"/>
      <c r="AM77" s="168"/>
      <c r="AN77" s="168"/>
      <c r="AO77" s="168"/>
      <c r="AP77" s="168"/>
      <c r="AQ77" s="168"/>
      <c r="AR77" s="168"/>
      <c r="AS77" s="168"/>
      <c r="AT77" s="168"/>
      <c r="AU77" s="168"/>
      <c r="AV77" s="168"/>
      <c r="AW77" s="168"/>
      <c r="AX77" s="168"/>
      <c r="AY77" s="168"/>
    </row>
    <row r="78" spans="1:51">
      <c r="A78" s="16" t="s">
        <v>32</v>
      </c>
      <c r="B78" s="131">
        <v>41036</v>
      </c>
      <c r="C78" s="83" t="s">
        <v>83</v>
      </c>
      <c r="D78" s="23">
        <v>7</v>
      </c>
      <c r="E78" s="24">
        <v>0</v>
      </c>
      <c r="F78" s="24">
        <v>0</v>
      </c>
      <c r="G78" s="24">
        <v>0</v>
      </c>
      <c r="H78" s="24">
        <v>0</v>
      </c>
      <c r="I78" s="24">
        <v>0</v>
      </c>
      <c r="J78" s="24">
        <v>2</v>
      </c>
      <c r="K78" s="24">
        <v>0</v>
      </c>
      <c r="L78" s="24">
        <v>0</v>
      </c>
      <c r="M78" s="22">
        <v>0</v>
      </c>
      <c r="N78" s="23"/>
      <c r="O78" s="24"/>
      <c r="P78" s="24"/>
      <c r="Q78" s="24"/>
      <c r="R78" s="24"/>
      <c r="S78" s="24"/>
      <c r="T78" s="24"/>
      <c r="U78" s="24"/>
      <c r="V78" s="24"/>
      <c r="W78" s="22"/>
      <c r="X78" s="23"/>
      <c r="Y78" s="24"/>
      <c r="Z78" s="24"/>
      <c r="AA78" s="24"/>
      <c r="AB78" s="24"/>
      <c r="AC78" s="24"/>
      <c r="AD78" s="24"/>
      <c r="AE78" s="24"/>
      <c r="AF78" s="24"/>
      <c r="AG78" s="22"/>
      <c r="AH78" s="203">
        <f t="shared" si="11"/>
        <v>0.9</v>
      </c>
      <c r="AI78" s="204" t="str">
        <f t="shared" si="8"/>
        <v/>
      </c>
      <c r="AJ78" s="205" t="str">
        <f t="shared" si="9"/>
        <v/>
      </c>
      <c r="AK78" s="206">
        <f t="shared" si="10"/>
        <v>0.9</v>
      </c>
      <c r="AL78" s="168"/>
      <c r="AM78" s="168"/>
      <c r="AN78" s="168"/>
      <c r="AO78" s="168"/>
      <c r="AP78" s="168"/>
      <c r="AQ78" s="168"/>
      <c r="AR78" s="168"/>
      <c r="AS78" s="168"/>
      <c r="AT78" s="168"/>
      <c r="AU78" s="168"/>
      <c r="AV78" s="168"/>
      <c r="AW78" s="168"/>
      <c r="AX78" s="168"/>
      <c r="AY78" s="168"/>
    </row>
    <row r="79" spans="1:51">
      <c r="A79" s="16" t="s">
        <v>32</v>
      </c>
      <c r="B79" s="131">
        <v>41039</v>
      </c>
      <c r="C79" s="83" t="s">
        <v>83</v>
      </c>
      <c r="D79" s="23">
        <v>22</v>
      </c>
      <c r="E79" s="24">
        <v>14</v>
      </c>
      <c r="F79" s="24">
        <v>4</v>
      </c>
      <c r="G79" s="24">
        <v>12</v>
      </c>
      <c r="H79" s="24">
        <v>12</v>
      </c>
      <c r="I79" s="24">
        <v>11</v>
      </c>
      <c r="J79" s="24">
        <v>65</v>
      </c>
      <c r="K79" s="24">
        <v>0</v>
      </c>
      <c r="L79" s="24">
        <v>5</v>
      </c>
      <c r="M79" s="22">
        <v>11</v>
      </c>
      <c r="N79" s="23"/>
      <c r="O79" s="24"/>
      <c r="P79" s="24"/>
      <c r="Q79" s="24"/>
      <c r="R79" s="24"/>
      <c r="S79" s="24"/>
      <c r="T79" s="24"/>
      <c r="U79" s="24"/>
      <c r="V79" s="24"/>
      <c r="W79" s="22"/>
      <c r="X79" s="23"/>
      <c r="Y79" s="24"/>
      <c r="Z79" s="24"/>
      <c r="AA79" s="24"/>
      <c r="AB79" s="24"/>
      <c r="AC79" s="24"/>
      <c r="AD79" s="24"/>
      <c r="AE79" s="24"/>
      <c r="AF79" s="24"/>
      <c r="AG79" s="22"/>
      <c r="AH79" s="203">
        <f t="shared" si="11"/>
        <v>15.6</v>
      </c>
      <c r="AI79" s="204" t="str">
        <f t="shared" si="8"/>
        <v/>
      </c>
      <c r="AJ79" s="205" t="str">
        <f t="shared" si="9"/>
        <v/>
      </c>
      <c r="AK79" s="206">
        <f t="shared" si="10"/>
        <v>15.6</v>
      </c>
      <c r="AL79" s="168"/>
      <c r="AM79" s="168"/>
      <c r="AN79" s="168"/>
      <c r="AO79" s="168"/>
      <c r="AP79" s="168"/>
      <c r="AQ79" s="168"/>
      <c r="AR79" s="168"/>
      <c r="AS79" s="168"/>
      <c r="AT79" s="168"/>
      <c r="AU79" s="168"/>
      <c r="AV79" s="168"/>
      <c r="AW79" s="168"/>
      <c r="AX79" s="168"/>
      <c r="AY79" s="168"/>
    </row>
    <row r="80" spans="1:51">
      <c r="A80" s="16" t="s">
        <v>32</v>
      </c>
      <c r="B80" s="131">
        <v>41044</v>
      </c>
      <c r="C80" s="83" t="s">
        <v>83</v>
      </c>
      <c r="D80" s="23">
        <v>33</v>
      </c>
      <c r="E80" s="24">
        <v>76</v>
      </c>
      <c r="F80" s="24">
        <v>27</v>
      </c>
      <c r="G80" s="24">
        <v>34</v>
      </c>
      <c r="H80" s="24">
        <v>47</v>
      </c>
      <c r="I80" s="24">
        <v>31</v>
      </c>
      <c r="J80" s="24">
        <v>74</v>
      </c>
      <c r="K80" s="24">
        <v>8</v>
      </c>
      <c r="L80" s="24">
        <v>26</v>
      </c>
      <c r="M80" s="22">
        <v>38</v>
      </c>
      <c r="N80" s="23"/>
      <c r="O80" s="24"/>
      <c r="P80" s="24"/>
      <c r="Q80" s="24"/>
      <c r="R80" s="24"/>
      <c r="S80" s="24"/>
      <c r="T80" s="24"/>
      <c r="U80" s="24"/>
      <c r="V80" s="24"/>
      <c r="W80" s="22"/>
      <c r="X80" s="23"/>
      <c r="Y80" s="24"/>
      <c r="Z80" s="24"/>
      <c r="AA80" s="24"/>
      <c r="AB80" s="24"/>
      <c r="AC80" s="24"/>
      <c r="AD80" s="24"/>
      <c r="AE80" s="24"/>
      <c r="AF80" s="24"/>
      <c r="AG80" s="22"/>
      <c r="AH80" s="203">
        <f t="shared" si="11"/>
        <v>39.4</v>
      </c>
      <c r="AI80" s="204" t="str">
        <f t="shared" si="8"/>
        <v/>
      </c>
      <c r="AJ80" s="205" t="str">
        <f t="shared" si="9"/>
        <v/>
      </c>
      <c r="AK80" s="206">
        <f t="shared" si="10"/>
        <v>39.4</v>
      </c>
      <c r="AL80" s="168"/>
      <c r="AM80" s="168"/>
      <c r="AN80" s="168"/>
      <c r="AO80" s="168"/>
      <c r="AP80" s="168"/>
      <c r="AQ80" s="168"/>
      <c r="AR80" s="168"/>
      <c r="AS80" s="168"/>
      <c r="AT80" s="168"/>
      <c r="AU80" s="168"/>
      <c r="AV80" s="168"/>
      <c r="AW80" s="168"/>
      <c r="AX80" s="168"/>
      <c r="AY80" s="168"/>
    </row>
    <row r="81" spans="1:51">
      <c r="A81" s="16" t="s">
        <v>32</v>
      </c>
      <c r="B81" s="131">
        <v>41053</v>
      </c>
      <c r="C81" s="83" t="s">
        <v>83</v>
      </c>
      <c r="D81" s="23">
        <v>17</v>
      </c>
      <c r="E81" s="24">
        <v>18</v>
      </c>
      <c r="F81" s="24">
        <v>11</v>
      </c>
      <c r="G81" s="24">
        <v>28</v>
      </c>
      <c r="H81" s="24">
        <v>10</v>
      </c>
      <c r="I81" s="24">
        <v>7</v>
      </c>
      <c r="J81" s="24">
        <v>5</v>
      </c>
      <c r="K81" s="24">
        <v>12</v>
      </c>
      <c r="L81" s="24">
        <v>18</v>
      </c>
      <c r="M81" s="22">
        <v>30</v>
      </c>
      <c r="N81" s="23">
        <v>28</v>
      </c>
      <c r="O81" s="24">
        <v>25</v>
      </c>
      <c r="P81" s="24">
        <v>24</v>
      </c>
      <c r="Q81" s="24">
        <v>13</v>
      </c>
      <c r="R81" s="24">
        <v>35</v>
      </c>
      <c r="S81" s="24">
        <v>26</v>
      </c>
      <c r="T81" s="24">
        <v>42</v>
      </c>
      <c r="U81" s="24">
        <v>11</v>
      </c>
      <c r="V81" s="24">
        <v>15</v>
      </c>
      <c r="W81" s="22">
        <v>16</v>
      </c>
      <c r="X81" s="23"/>
      <c r="Y81" s="24"/>
      <c r="Z81" s="24"/>
      <c r="AA81" s="24"/>
      <c r="AB81" s="24"/>
      <c r="AC81" s="24"/>
      <c r="AD81" s="24"/>
      <c r="AE81" s="24"/>
      <c r="AF81" s="24"/>
      <c r="AG81" s="22"/>
      <c r="AH81" s="203">
        <f t="shared" si="11"/>
        <v>15.6</v>
      </c>
      <c r="AI81" s="204">
        <f t="shared" si="8"/>
        <v>23.5</v>
      </c>
      <c r="AJ81" s="205" t="str">
        <f t="shared" si="9"/>
        <v/>
      </c>
      <c r="AK81" s="206">
        <f t="shared" si="10"/>
        <v>39.1</v>
      </c>
      <c r="AL81" s="168"/>
      <c r="AM81" s="168"/>
      <c r="AN81" s="168"/>
      <c r="AO81" s="168"/>
      <c r="AP81" s="168"/>
      <c r="AQ81" s="168"/>
      <c r="AR81" s="168"/>
      <c r="AS81" s="168"/>
      <c r="AT81" s="168"/>
      <c r="AU81" s="168"/>
      <c r="AV81" s="168"/>
      <c r="AW81" s="168"/>
      <c r="AX81" s="168"/>
      <c r="AY81" s="168"/>
    </row>
    <row r="82" spans="1:51">
      <c r="A82" s="16" t="s">
        <v>32</v>
      </c>
      <c r="B82" s="131">
        <v>41059</v>
      </c>
      <c r="C82" s="83" t="s">
        <v>83</v>
      </c>
      <c r="D82" s="23">
        <v>3</v>
      </c>
      <c r="E82" s="24">
        <v>0</v>
      </c>
      <c r="F82" s="24">
        <v>1</v>
      </c>
      <c r="G82" s="24">
        <v>0</v>
      </c>
      <c r="H82" s="24">
        <v>2</v>
      </c>
      <c r="I82" s="24">
        <v>2</v>
      </c>
      <c r="J82" s="24">
        <v>0</v>
      </c>
      <c r="K82" s="24">
        <v>0</v>
      </c>
      <c r="L82" s="24">
        <v>4</v>
      </c>
      <c r="M82" s="22">
        <v>10</v>
      </c>
      <c r="N82" s="23">
        <v>27</v>
      </c>
      <c r="O82" s="24">
        <v>50</v>
      </c>
      <c r="P82" s="24">
        <v>31</v>
      </c>
      <c r="Q82" s="24">
        <v>39</v>
      </c>
      <c r="R82" s="24">
        <v>29</v>
      </c>
      <c r="S82" s="24">
        <v>21</v>
      </c>
      <c r="T82" s="24">
        <v>27</v>
      </c>
      <c r="U82" s="24">
        <v>5</v>
      </c>
      <c r="V82" s="24">
        <v>22</v>
      </c>
      <c r="W82" s="22">
        <v>25</v>
      </c>
      <c r="X82" s="23"/>
      <c r="Y82" s="24"/>
      <c r="Z82" s="24"/>
      <c r="AA82" s="24"/>
      <c r="AB82" s="24"/>
      <c r="AC82" s="24"/>
      <c r="AD82" s="24"/>
      <c r="AE82" s="24"/>
      <c r="AF82" s="24"/>
      <c r="AG82" s="22"/>
      <c r="AH82" s="203">
        <f t="shared" si="11"/>
        <v>2.2000000000000002</v>
      </c>
      <c r="AI82" s="204">
        <f t="shared" si="8"/>
        <v>27.6</v>
      </c>
      <c r="AJ82" s="205" t="str">
        <f t="shared" si="9"/>
        <v/>
      </c>
      <c r="AK82" s="206">
        <f t="shared" si="10"/>
        <v>29.8</v>
      </c>
      <c r="AL82" s="168"/>
      <c r="AM82" s="168"/>
      <c r="AN82" s="168"/>
      <c r="AO82" s="168"/>
      <c r="AP82" s="168"/>
      <c r="AQ82" s="168"/>
      <c r="AR82" s="168"/>
      <c r="AS82" s="168"/>
      <c r="AT82" s="168"/>
      <c r="AU82" s="168"/>
      <c r="AV82" s="168"/>
      <c r="AW82" s="168"/>
      <c r="AX82" s="168"/>
      <c r="AY82" s="168"/>
    </row>
    <row r="83" spans="1:51">
      <c r="A83" s="16" t="s">
        <v>32</v>
      </c>
      <c r="B83" s="131">
        <v>41073</v>
      </c>
      <c r="C83" s="83" t="s">
        <v>83</v>
      </c>
      <c r="D83" s="23">
        <v>0</v>
      </c>
      <c r="E83" s="24">
        <v>0</v>
      </c>
      <c r="F83" s="24">
        <v>0</v>
      </c>
      <c r="G83" s="24">
        <v>0</v>
      </c>
      <c r="H83" s="24">
        <v>0</v>
      </c>
      <c r="I83" s="24">
        <v>0</v>
      </c>
      <c r="J83" s="24">
        <v>0</v>
      </c>
      <c r="K83" s="24">
        <v>0</v>
      </c>
      <c r="L83" s="24">
        <v>0</v>
      </c>
      <c r="M83" s="22">
        <v>0</v>
      </c>
      <c r="N83" s="23">
        <v>32</v>
      </c>
      <c r="O83" s="24">
        <v>47</v>
      </c>
      <c r="P83" s="24">
        <v>26</v>
      </c>
      <c r="Q83" s="24">
        <v>48</v>
      </c>
      <c r="R83" s="24">
        <v>28</v>
      </c>
      <c r="S83" s="24">
        <v>39</v>
      </c>
      <c r="T83" s="24">
        <v>36</v>
      </c>
      <c r="U83" s="24">
        <v>19</v>
      </c>
      <c r="V83" s="24">
        <v>31</v>
      </c>
      <c r="W83" s="22">
        <v>29</v>
      </c>
      <c r="X83" s="23"/>
      <c r="Y83" s="24"/>
      <c r="Z83" s="24"/>
      <c r="AA83" s="24"/>
      <c r="AB83" s="24"/>
      <c r="AC83" s="24"/>
      <c r="AD83" s="24"/>
      <c r="AE83" s="24"/>
      <c r="AF83" s="24"/>
      <c r="AG83" s="22"/>
      <c r="AH83" s="203">
        <f t="shared" si="11"/>
        <v>0</v>
      </c>
      <c r="AI83" s="204">
        <f t="shared" si="8"/>
        <v>33.5</v>
      </c>
      <c r="AJ83" s="205" t="str">
        <f t="shared" si="9"/>
        <v/>
      </c>
      <c r="AK83" s="206">
        <f t="shared" si="10"/>
        <v>33.5</v>
      </c>
      <c r="AL83" s="168"/>
      <c r="AM83" s="168"/>
      <c r="AN83" s="168"/>
      <c r="AO83" s="168"/>
      <c r="AP83" s="168"/>
      <c r="AQ83" s="168"/>
      <c r="AR83" s="168"/>
      <c r="AS83" s="168"/>
      <c r="AT83" s="168"/>
      <c r="AU83" s="168"/>
      <c r="AV83" s="168"/>
      <c r="AW83" s="168"/>
      <c r="AX83" s="168"/>
      <c r="AY83" s="168"/>
    </row>
    <row r="84" spans="1:51">
      <c r="A84" s="16" t="s">
        <v>32</v>
      </c>
      <c r="B84" s="163">
        <v>41092</v>
      </c>
      <c r="C84" s="350" t="s">
        <v>82</v>
      </c>
      <c r="D84" s="23">
        <v>0</v>
      </c>
      <c r="E84" s="24">
        <v>0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  <c r="K84" s="24">
        <v>0</v>
      </c>
      <c r="L84" s="24">
        <v>0</v>
      </c>
      <c r="M84" s="22">
        <v>0</v>
      </c>
      <c r="N84" s="23">
        <v>32</v>
      </c>
      <c r="O84" s="24">
        <v>47</v>
      </c>
      <c r="P84" s="24">
        <v>26</v>
      </c>
      <c r="Q84" s="24">
        <v>48</v>
      </c>
      <c r="R84" s="24">
        <v>28</v>
      </c>
      <c r="S84" s="24">
        <v>39</v>
      </c>
      <c r="T84" s="24">
        <v>36</v>
      </c>
      <c r="U84" s="24">
        <v>19</v>
      </c>
      <c r="V84" s="24">
        <v>31</v>
      </c>
      <c r="W84" s="22">
        <v>29</v>
      </c>
      <c r="X84" s="23"/>
      <c r="Y84" s="24"/>
      <c r="Z84" s="24"/>
      <c r="AA84" s="24"/>
      <c r="AB84" s="24"/>
      <c r="AC84" s="24"/>
      <c r="AD84" s="24"/>
      <c r="AE84" s="24"/>
      <c r="AF84" s="24"/>
      <c r="AG84" s="22"/>
      <c r="AH84" s="203">
        <f t="shared" si="11"/>
        <v>0</v>
      </c>
      <c r="AI84" s="204">
        <f t="shared" si="8"/>
        <v>33.5</v>
      </c>
      <c r="AJ84" s="205" t="str">
        <f t="shared" si="9"/>
        <v/>
      </c>
      <c r="AK84" s="206">
        <f t="shared" si="10"/>
        <v>33.5</v>
      </c>
      <c r="AL84" s="168"/>
      <c r="AM84" s="168"/>
      <c r="AN84" s="168"/>
      <c r="AO84" s="168"/>
      <c r="AP84" s="168"/>
      <c r="AQ84" s="168"/>
      <c r="AR84" s="168"/>
      <c r="AS84" s="168"/>
      <c r="AT84" s="168"/>
      <c r="AU84" s="168"/>
      <c r="AV84" s="168"/>
      <c r="AW84" s="168"/>
      <c r="AX84" s="168"/>
      <c r="AY84" s="168"/>
    </row>
    <row r="85" spans="1:51">
      <c r="A85" s="16" t="s">
        <v>32</v>
      </c>
      <c r="B85" s="163"/>
      <c r="C85" s="350"/>
      <c r="D85" s="23"/>
      <c r="E85" s="24"/>
      <c r="F85" s="24"/>
      <c r="G85" s="24"/>
      <c r="H85" s="24"/>
      <c r="I85" s="24"/>
      <c r="J85" s="24"/>
      <c r="K85" s="24"/>
      <c r="L85" s="24"/>
      <c r="M85" s="22"/>
      <c r="N85" s="23"/>
      <c r="O85" s="24"/>
      <c r="P85" s="24"/>
      <c r="Q85" s="24"/>
      <c r="R85" s="24"/>
      <c r="S85" s="24"/>
      <c r="T85" s="24"/>
      <c r="U85" s="24"/>
      <c r="V85" s="24"/>
      <c r="W85" s="22"/>
      <c r="X85" s="23"/>
      <c r="Y85" s="24"/>
      <c r="Z85" s="24"/>
      <c r="AA85" s="24"/>
      <c r="AB85" s="24"/>
      <c r="AC85" s="24"/>
      <c r="AD85" s="24"/>
      <c r="AE85" s="24"/>
      <c r="AF85" s="24"/>
      <c r="AG85" s="22"/>
      <c r="AH85" s="203" t="str">
        <f t="shared" si="11"/>
        <v/>
      </c>
      <c r="AI85" s="204" t="str">
        <f t="shared" si="8"/>
        <v/>
      </c>
      <c r="AJ85" s="205" t="str">
        <f t="shared" si="9"/>
        <v/>
      </c>
      <c r="AK85" s="206">
        <f t="shared" si="10"/>
        <v>0</v>
      </c>
      <c r="AL85" s="168"/>
      <c r="AM85" s="168"/>
      <c r="AN85" s="168"/>
      <c r="AO85" s="168"/>
      <c r="AP85" s="168"/>
      <c r="AQ85" s="168"/>
      <c r="AR85" s="168"/>
      <c r="AS85" s="168"/>
      <c r="AT85" s="168"/>
      <c r="AU85" s="168"/>
      <c r="AV85" s="168"/>
      <c r="AW85" s="168"/>
      <c r="AX85" s="168"/>
      <c r="AY85" s="168"/>
    </row>
    <row r="86" spans="1:51">
      <c r="A86" s="16" t="s">
        <v>32</v>
      </c>
      <c r="B86" s="163"/>
      <c r="C86" s="350"/>
      <c r="D86" s="23"/>
      <c r="E86" s="24"/>
      <c r="F86" s="24"/>
      <c r="G86" s="24"/>
      <c r="H86" s="24"/>
      <c r="I86" s="24"/>
      <c r="J86" s="24"/>
      <c r="K86" s="24"/>
      <c r="L86" s="24"/>
      <c r="M86" s="22"/>
      <c r="N86" s="23"/>
      <c r="O86" s="24"/>
      <c r="P86" s="24"/>
      <c r="Q86" s="24"/>
      <c r="R86" s="24"/>
      <c r="S86" s="24"/>
      <c r="T86" s="24"/>
      <c r="U86" s="24"/>
      <c r="V86" s="24"/>
      <c r="W86" s="22"/>
      <c r="X86" s="23"/>
      <c r="Y86" s="24"/>
      <c r="Z86" s="24"/>
      <c r="AA86" s="24"/>
      <c r="AB86" s="24"/>
      <c r="AC86" s="24"/>
      <c r="AD86" s="24"/>
      <c r="AE86" s="24"/>
      <c r="AF86" s="24"/>
      <c r="AG86" s="22"/>
      <c r="AH86" s="203" t="str">
        <f t="shared" si="11"/>
        <v/>
      </c>
      <c r="AI86" s="204" t="str">
        <f t="shared" si="8"/>
        <v/>
      </c>
      <c r="AJ86" s="205" t="str">
        <f t="shared" si="9"/>
        <v/>
      </c>
      <c r="AK86" s="206">
        <f t="shared" si="10"/>
        <v>0</v>
      </c>
      <c r="AL86" s="168"/>
      <c r="AM86" s="168"/>
      <c r="AN86" s="168"/>
      <c r="AO86" s="168"/>
      <c r="AP86" s="168"/>
      <c r="AQ86" s="168"/>
      <c r="AR86" s="168"/>
      <c r="AS86" s="168"/>
      <c r="AT86" s="168"/>
      <c r="AU86" s="168"/>
      <c r="AV86" s="168"/>
      <c r="AW86" s="168"/>
      <c r="AX86" s="168"/>
      <c r="AY86" s="168"/>
    </row>
    <row r="87" spans="1:51">
      <c r="A87" s="16" t="s">
        <v>32</v>
      </c>
      <c r="B87" s="163"/>
      <c r="C87" s="350"/>
      <c r="D87" s="23"/>
      <c r="E87" s="24"/>
      <c r="F87" s="24"/>
      <c r="G87" s="24"/>
      <c r="H87" s="24"/>
      <c r="I87" s="24"/>
      <c r="J87" s="24"/>
      <c r="K87" s="24"/>
      <c r="L87" s="24"/>
      <c r="M87" s="22"/>
      <c r="N87" s="23"/>
      <c r="O87" s="24"/>
      <c r="P87" s="24"/>
      <c r="Q87" s="24"/>
      <c r="R87" s="24"/>
      <c r="S87" s="24"/>
      <c r="T87" s="24"/>
      <c r="U87" s="24"/>
      <c r="V87" s="24"/>
      <c r="W87" s="22"/>
      <c r="X87" s="23"/>
      <c r="Y87" s="24"/>
      <c r="Z87" s="24"/>
      <c r="AA87" s="24"/>
      <c r="AB87" s="24"/>
      <c r="AC87" s="24"/>
      <c r="AD87" s="24"/>
      <c r="AE87" s="24"/>
      <c r="AF87" s="24"/>
      <c r="AG87" s="22"/>
      <c r="AH87" s="203" t="str">
        <f t="shared" si="11"/>
        <v/>
      </c>
      <c r="AI87" s="204" t="str">
        <f t="shared" si="8"/>
        <v/>
      </c>
      <c r="AJ87" s="205" t="str">
        <f t="shared" si="9"/>
        <v/>
      </c>
      <c r="AK87" s="206">
        <f t="shared" si="10"/>
        <v>0</v>
      </c>
      <c r="AL87" s="168"/>
      <c r="AM87" s="168"/>
      <c r="AN87" s="168"/>
      <c r="AO87" s="168"/>
      <c r="AP87" s="168"/>
      <c r="AQ87" s="168"/>
      <c r="AR87" s="168"/>
      <c r="AS87" s="168"/>
      <c r="AT87" s="168"/>
      <c r="AU87" s="168"/>
      <c r="AV87" s="168"/>
      <c r="AW87" s="168"/>
      <c r="AX87" s="168"/>
      <c r="AY87" s="168"/>
    </row>
    <row r="88" spans="1:51">
      <c r="A88" s="16" t="s">
        <v>32</v>
      </c>
      <c r="B88" s="163"/>
      <c r="C88" s="350"/>
      <c r="D88" s="23"/>
      <c r="E88" s="24"/>
      <c r="F88" s="24"/>
      <c r="G88" s="24"/>
      <c r="H88" s="24"/>
      <c r="I88" s="24"/>
      <c r="J88" s="24"/>
      <c r="K88" s="24"/>
      <c r="L88" s="24"/>
      <c r="M88" s="22"/>
      <c r="N88" s="23"/>
      <c r="O88" s="24"/>
      <c r="P88" s="24"/>
      <c r="Q88" s="24"/>
      <c r="R88" s="24"/>
      <c r="S88" s="24"/>
      <c r="T88" s="24"/>
      <c r="U88" s="24"/>
      <c r="V88" s="24"/>
      <c r="W88" s="22"/>
      <c r="X88" s="23"/>
      <c r="Y88" s="24"/>
      <c r="Z88" s="24"/>
      <c r="AA88" s="24"/>
      <c r="AB88" s="24"/>
      <c r="AC88" s="24"/>
      <c r="AD88" s="24"/>
      <c r="AE88" s="24"/>
      <c r="AF88" s="24"/>
      <c r="AG88" s="22"/>
      <c r="AH88" s="203" t="str">
        <f t="shared" si="11"/>
        <v/>
      </c>
      <c r="AI88" s="204" t="str">
        <f t="shared" si="8"/>
        <v/>
      </c>
      <c r="AJ88" s="205" t="str">
        <f t="shared" si="9"/>
        <v/>
      </c>
      <c r="AK88" s="206">
        <f t="shared" si="10"/>
        <v>0</v>
      </c>
      <c r="AL88" s="168"/>
      <c r="AM88" s="168"/>
      <c r="AN88" s="168"/>
      <c r="AO88" s="168"/>
      <c r="AP88" s="168"/>
      <c r="AQ88" s="168"/>
      <c r="AR88" s="168"/>
      <c r="AS88" s="168"/>
      <c r="AT88" s="168"/>
      <c r="AU88" s="168"/>
      <c r="AV88" s="168"/>
      <c r="AW88" s="168"/>
      <c r="AX88" s="168"/>
      <c r="AY88" s="168"/>
    </row>
    <row r="89" spans="1:51">
      <c r="A89" s="16" t="s">
        <v>32</v>
      </c>
      <c r="B89" s="163"/>
      <c r="C89" s="107"/>
      <c r="D89" s="23"/>
      <c r="E89" s="24"/>
      <c r="F89" s="24"/>
      <c r="G89" s="24"/>
      <c r="H89" s="24"/>
      <c r="I89" s="24"/>
      <c r="J89" s="24"/>
      <c r="K89" s="24"/>
      <c r="L89" s="24"/>
      <c r="M89" s="22"/>
      <c r="N89" s="23"/>
      <c r="O89" s="24"/>
      <c r="P89" s="24"/>
      <c r="Q89" s="24"/>
      <c r="R89" s="24"/>
      <c r="S89" s="24"/>
      <c r="T89" s="24"/>
      <c r="U89" s="24"/>
      <c r="V89" s="24"/>
      <c r="W89" s="22"/>
      <c r="X89" s="23"/>
      <c r="Y89" s="24"/>
      <c r="Z89" s="24"/>
      <c r="AA89" s="24"/>
      <c r="AB89" s="24"/>
      <c r="AC89" s="24"/>
      <c r="AD89" s="24"/>
      <c r="AE89" s="24"/>
      <c r="AF89" s="24"/>
      <c r="AG89" s="22"/>
      <c r="AH89" s="203" t="str">
        <f t="shared" si="11"/>
        <v/>
      </c>
      <c r="AI89" s="204" t="str">
        <f t="shared" si="8"/>
        <v/>
      </c>
      <c r="AJ89" s="205" t="str">
        <f t="shared" si="9"/>
        <v/>
      </c>
      <c r="AK89" s="206">
        <f t="shared" si="10"/>
        <v>0</v>
      </c>
      <c r="AL89" s="168"/>
      <c r="AM89" s="168"/>
      <c r="AN89" s="168"/>
      <c r="AO89" s="168"/>
      <c r="AP89" s="168"/>
      <c r="AQ89" s="168"/>
      <c r="AR89" s="168"/>
      <c r="AS89" s="168"/>
      <c r="AT89" s="168"/>
      <c r="AU89" s="168"/>
      <c r="AV89" s="168"/>
      <c r="AW89" s="168"/>
      <c r="AX89" s="168"/>
      <c r="AY89" s="168"/>
    </row>
    <row r="90" spans="1:51">
      <c r="A90" s="16" t="s">
        <v>32</v>
      </c>
      <c r="B90" s="163"/>
      <c r="C90" s="107"/>
      <c r="D90" s="23"/>
      <c r="E90" s="24"/>
      <c r="F90" s="24"/>
      <c r="G90" s="24"/>
      <c r="H90" s="24"/>
      <c r="I90" s="24"/>
      <c r="J90" s="24"/>
      <c r="K90" s="24"/>
      <c r="L90" s="24"/>
      <c r="M90" s="22"/>
      <c r="N90" s="23"/>
      <c r="O90" s="24"/>
      <c r="P90" s="24"/>
      <c r="Q90" s="24"/>
      <c r="R90" s="24"/>
      <c r="S90" s="24"/>
      <c r="T90" s="24"/>
      <c r="U90" s="24"/>
      <c r="V90" s="24"/>
      <c r="W90" s="22"/>
      <c r="X90" s="23"/>
      <c r="Y90" s="24"/>
      <c r="Z90" s="24"/>
      <c r="AA90" s="24"/>
      <c r="AB90" s="24"/>
      <c r="AC90" s="24"/>
      <c r="AD90" s="24"/>
      <c r="AE90" s="24"/>
      <c r="AF90" s="24"/>
      <c r="AG90" s="22"/>
      <c r="AH90" s="203" t="str">
        <f t="shared" si="11"/>
        <v/>
      </c>
      <c r="AI90" s="204" t="str">
        <f t="shared" si="8"/>
        <v/>
      </c>
      <c r="AJ90" s="205" t="str">
        <f t="shared" si="9"/>
        <v/>
      </c>
      <c r="AK90" s="206">
        <f t="shared" si="10"/>
        <v>0</v>
      </c>
      <c r="AL90" s="168"/>
      <c r="AM90" s="168"/>
      <c r="AN90" s="168"/>
      <c r="AO90" s="168"/>
      <c r="AP90" s="168"/>
      <c r="AQ90" s="168"/>
      <c r="AR90" s="168"/>
      <c r="AS90" s="168"/>
      <c r="AT90" s="168"/>
      <c r="AU90" s="168"/>
      <c r="AV90" s="168"/>
      <c r="AW90" s="168"/>
      <c r="AX90" s="168"/>
      <c r="AY90" s="168"/>
    </row>
    <row r="91" spans="1:51">
      <c r="A91" s="16" t="s">
        <v>32</v>
      </c>
      <c r="B91" s="163"/>
      <c r="C91" s="107"/>
      <c r="D91" s="23"/>
      <c r="E91" s="24"/>
      <c r="F91" s="24"/>
      <c r="G91" s="24"/>
      <c r="H91" s="24"/>
      <c r="I91" s="24"/>
      <c r="J91" s="24"/>
      <c r="K91" s="24"/>
      <c r="L91" s="24"/>
      <c r="M91" s="22"/>
      <c r="N91" s="23"/>
      <c r="O91" s="24"/>
      <c r="P91" s="24"/>
      <c r="Q91" s="24"/>
      <c r="R91" s="24"/>
      <c r="S91" s="24"/>
      <c r="T91" s="24"/>
      <c r="U91" s="24"/>
      <c r="V91" s="24"/>
      <c r="W91" s="22"/>
      <c r="X91" s="23"/>
      <c r="Y91" s="24"/>
      <c r="Z91" s="24"/>
      <c r="AA91" s="24"/>
      <c r="AB91" s="24"/>
      <c r="AC91" s="24"/>
      <c r="AD91" s="24"/>
      <c r="AE91" s="24"/>
      <c r="AF91" s="24"/>
      <c r="AG91" s="22"/>
      <c r="AH91" s="203" t="str">
        <f t="shared" si="11"/>
        <v/>
      </c>
      <c r="AI91" s="204" t="str">
        <f t="shared" si="8"/>
        <v/>
      </c>
      <c r="AJ91" s="205" t="str">
        <f t="shared" si="9"/>
        <v/>
      </c>
      <c r="AK91" s="206">
        <f t="shared" si="10"/>
        <v>0</v>
      </c>
      <c r="AL91" s="168"/>
      <c r="AM91" s="168"/>
      <c r="AN91" s="168"/>
      <c r="AO91" s="168"/>
      <c r="AP91" s="168"/>
      <c r="AQ91" s="168"/>
      <c r="AR91" s="168"/>
      <c r="AS91" s="168"/>
      <c r="AT91" s="168"/>
      <c r="AU91" s="168"/>
      <c r="AV91" s="168"/>
      <c r="AW91" s="168"/>
      <c r="AX91" s="168"/>
      <c r="AY91" s="168"/>
    </row>
    <row r="92" spans="1:51">
      <c r="A92" s="16" t="s">
        <v>32</v>
      </c>
      <c r="B92" s="163"/>
      <c r="C92" s="107"/>
      <c r="D92" s="23"/>
      <c r="E92" s="24"/>
      <c r="F92" s="24"/>
      <c r="G92" s="24"/>
      <c r="H92" s="24"/>
      <c r="I92" s="24"/>
      <c r="J92" s="24"/>
      <c r="K92" s="24"/>
      <c r="L92" s="24"/>
      <c r="M92" s="22"/>
      <c r="N92" s="23"/>
      <c r="O92" s="24"/>
      <c r="P92" s="24"/>
      <c r="Q92" s="24"/>
      <c r="R92" s="24"/>
      <c r="S92" s="24"/>
      <c r="T92" s="24"/>
      <c r="U92" s="24"/>
      <c r="V92" s="24"/>
      <c r="W92" s="22"/>
      <c r="X92" s="23"/>
      <c r="Y92" s="24"/>
      <c r="Z92" s="24"/>
      <c r="AA92" s="24"/>
      <c r="AB92" s="24"/>
      <c r="AC92" s="24"/>
      <c r="AD92" s="24"/>
      <c r="AE92" s="24"/>
      <c r="AF92" s="24"/>
      <c r="AG92" s="22"/>
      <c r="AH92" s="203" t="str">
        <f t="shared" si="11"/>
        <v/>
      </c>
      <c r="AI92" s="204" t="str">
        <f t="shared" si="8"/>
        <v/>
      </c>
      <c r="AJ92" s="205" t="str">
        <f t="shared" si="9"/>
        <v/>
      </c>
      <c r="AK92" s="206">
        <f t="shared" si="10"/>
        <v>0</v>
      </c>
      <c r="AL92" s="168"/>
      <c r="AM92" s="168"/>
      <c r="AN92" s="168"/>
      <c r="AO92" s="168"/>
      <c r="AP92" s="168"/>
      <c r="AQ92" s="168"/>
      <c r="AR92" s="168"/>
      <c r="AS92" s="168"/>
      <c r="AT92" s="168"/>
      <c r="AU92" s="168"/>
      <c r="AV92" s="168"/>
      <c r="AW92" s="168"/>
      <c r="AX92" s="168"/>
      <c r="AY92" s="168"/>
    </row>
    <row r="93" spans="1:51">
      <c r="A93" s="16" t="s">
        <v>32</v>
      </c>
      <c r="B93" s="163"/>
      <c r="C93" s="107"/>
      <c r="D93" s="23"/>
      <c r="E93" s="24"/>
      <c r="F93" s="24"/>
      <c r="G93" s="24"/>
      <c r="H93" s="24"/>
      <c r="I93" s="24"/>
      <c r="J93" s="24"/>
      <c r="K93" s="24"/>
      <c r="L93" s="24"/>
      <c r="M93" s="22"/>
      <c r="N93" s="23"/>
      <c r="O93" s="24"/>
      <c r="P93" s="24"/>
      <c r="Q93" s="24"/>
      <c r="R93" s="24"/>
      <c r="S93" s="24"/>
      <c r="T93" s="24"/>
      <c r="U93" s="24"/>
      <c r="V93" s="24"/>
      <c r="W93" s="22"/>
      <c r="X93" s="23"/>
      <c r="Y93" s="24"/>
      <c r="Z93" s="24"/>
      <c r="AA93" s="24"/>
      <c r="AB93" s="24"/>
      <c r="AC93" s="24"/>
      <c r="AD93" s="24"/>
      <c r="AE93" s="24"/>
      <c r="AF93" s="24"/>
      <c r="AG93" s="22"/>
      <c r="AH93" s="203" t="str">
        <f t="shared" si="11"/>
        <v/>
      </c>
      <c r="AI93" s="204" t="str">
        <f t="shared" si="8"/>
        <v/>
      </c>
      <c r="AJ93" s="205" t="str">
        <f t="shared" si="9"/>
        <v/>
      </c>
      <c r="AK93" s="206">
        <f t="shared" si="10"/>
        <v>0</v>
      </c>
      <c r="AL93" s="168"/>
      <c r="AM93" s="168"/>
      <c r="AN93" s="168"/>
      <c r="AO93" s="168"/>
      <c r="AP93" s="168"/>
      <c r="AQ93" s="168"/>
      <c r="AR93" s="168"/>
      <c r="AS93" s="168"/>
      <c r="AT93" s="168"/>
      <c r="AU93" s="168"/>
      <c r="AV93" s="168"/>
      <c r="AW93" s="168"/>
      <c r="AX93" s="168"/>
      <c r="AY93" s="168"/>
    </row>
    <row r="94" spans="1:51">
      <c r="A94" s="16" t="s">
        <v>32</v>
      </c>
      <c r="B94" s="163"/>
      <c r="C94" s="107"/>
      <c r="D94" s="23"/>
      <c r="E94" s="24"/>
      <c r="F94" s="24"/>
      <c r="G94" s="24"/>
      <c r="H94" s="24"/>
      <c r="I94" s="24"/>
      <c r="J94" s="24"/>
      <c r="K94" s="24"/>
      <c r="L94" s="24"/>
      <c r="M94" s="22"/>
      <c r="N94" s="23"/>
      <c r="O94" s="24"/>
      <c r="P94" s="24"/>
      <c r="Q94" s="24"/>
      <c r="R94" s="24"/>
      <c r="S94" s="24"/>
      <c r="T94" s="24"/>
      <c r="U94" s="24"/>
      <c r="V94" s="24"/>
      <c r="W94" s="22"/>
      <c r="X94" s="23"/>
      <c r="Y94" s="24"/>
      <c r="Z94" s="24"/>
      <c r="AA94" s="24"/>
      <c r="AB94" s="24"/>
      <c r="AC94" s="24"/>
      <c r="AD94" s="24"/>
      <c r="AE94" s="24"/>
      <c r="AF94" s="24"/>
      <c r="AG94" s="22"/>
      <c r="AH94" s="203" t="str">
        <f t="shared" si="11"/>
        <v/>
      </c>
      <c r="AI94" s="204" t="str">
        <f t="shared" si="8"/>
        <v/>
      </c>
      <c r="AJ94" s="205" t="str">
        <f t="shared" si="9"/>
        <v/>
      </c>
      <c r="AK94" s="206">
        <f t="shared" si="10"/>
        <v>0</v>
      </c>
      <c r="AL94" s="168"/>
      <c r="AM94" s="168"/>
      <c r="AN94" s="168"/>
      <c r="AO94" s="168"/>
      <c r="AP94" s="168"/>
      <c r="AQ94" s="168"/>
      <c r="AR94" s="168"/>
      <c r="AS94" s="168"/>
      <c r="AT94" s="168"/>
      <c r="AU94" s="168"/>
      <c r="AV94" s="168"/>
      <c r="AW94" s="168"/>
      <c r="AX94" s="168"/>
      <c r="AY94" s="168"/>
    </row>
    <row r="95" spans="1:51">
      <c r="A95" s="16" t="s">
        <v>32</v>
      </c>
      <c r="B95" s="163"/>
      <c r="C95" s="107"/>
      <c r="D95" s="23"/>
      <c r="E95" s="24"/>
      <c r="F95" s="24"/>
      <c r="G95" s="24"/>
      <c r="H95" s="24"/>
      <c r="I95" s="24"/>
      <c r="J95" s="24"/>
      <c r="K95" s="24"/>
      <c r="L95" s="24"/>
      <c r="M95" s="22"/>
      <c r="N95" s="23"/>
      <c r="O95" s="24"/>
      <c r="P95" s="24"/>
      <c r="Q95" s="24"/>
      <c r="R95" s="24"/>
      <c r="S95" s="24"/>
      <c r="T95" s="24"/>
      <c r="U95" s="24"/>
      <c r="V95" s="24"/>
      <c r="W95" s="22"/>
      <c r="X95" s="23"/>
      <c r="Y95" s="24"/>
      <c r="Z95" s="24"/>
      <c r="AA95" s="24"/>
      <c r="AB95" s="24"/>
      <c r="AC95" s="24"/>
      <c r="AD95" s="24"/>
      <c r="AE95" s="24"/>
      <c r="AF95" s="24"/>
      <c r="AG95" s="22"/>
      <c r="AH95" s="203" t="str">
        <f t="shared" si="11"/>
        <v/>
      </c>
      <c r="AI95" s="204" t="str">
        <f t="shared" si="8"/>
        <v/>
      </c>
      <c r="AJ95" s="205" t="str">
        <f t="shared" si="9"/>
        <v/>
      </c>
      <c r="AK95" s="206">
        <f t="shared" si="10"/>
        <v>0</v>
      </c>
      <c r="AL95" s="168"/>
      <c r="AM95" s="168"/>
      <c r="AN95" s="168"/>
      <c r="AO95" s="168"/>
      <c r="AP95" s="168"/>
      <c r="AQ95" s="168"/>
      <c r="AR95" s="168"/>
      <c r="AS95" s="168"/>
      <c r="AT95" s="168"/>
      <c r="AU95" s="168"/>
      <c r="AV95" s="168"/>
      <c r="AW95" s="168"/>
      <c r="AX95" s="168"/>
      <c r="AY95" s="168"/>
    </row>
    <row r="96" spans="1:51">
      <c r="A96" s="16" t="s">
        <v>32</v>
      </c>
      <c r="B96" s="163"/>
      <c r="C96" s="107"/>
      <c r="D96" s="23"/>
      <c r="E96" s="24"/>
      <c r="F96" s="24"/>
      <c r="G96" s="24"/>
      <c r="H96" s="24"/>
      <c r="I96" s="24"/>
      <c r="J96" s="24"/>
      <c r="K96" s="24"/>
      <c r="L96" s="24"/>
      <c r="M96" s="22"/>
      <c r="N96" s="23"/>
      <c r="O96" s="24"/>
      <c r="P96" s="24"/>
      <c r="Q96" s="24"/>
      <c r="R96" s="24"/>
      <c r="S96" s="24"/>
      <c r="T96" s="24"/>
      <c r="U96" s="24"/>
      <c r="V96" s="24"/>
      <c r="W96" s="22"/>
      <c r="X96" s="23"/>
      <c r="Y96" s="24"/>
      <c r="Z96" s="24"/>
      <c r="AA96" s="24"/>
      <c r="AB96" s="24"/>
      <c r="AC96" s="24"/>
      <c r="AD96" s="24"/>
      <c r="AE96" s="24"/>
      <c r="AF96" s="24"/>
      <c r="AG96" s="22"/>
      <c r="AH96" s="203" t="str">
        <f t="shared" si="11"/>
        <v/>
      </c>
      <c r="AI96" s="204" t="str">
        <f t="shared" si="8"/>
        <v/>
      </c>
      <c r="AJ96" s="205" t="str">
        <f t="shared" si="9"/>
        <v/>
      </c>
      <c r="AK96" s="206">
        <f t="shared" si="10"/>
        <v>0</v>
      </c>
      <c r="AL96" s="168"/>
      <c r="AM96" s="168"/>
      <c r="AN96" s="168"/>
      <c r="AO96" s="168"/>
      <c r="AP96" s="168"/>
      <c r="AQ96" s="168"/>
      <c r="AR96" s="168"/>
      <c r="AS96" s="168"/>
      <c r="AT96" s="168"/>
      <c r="AU96" s="168"/>
      <c r="AV96" s="168"/>
      <c r="AW96" s="168"/>
      <c r="AX96" s="168"/>
      <c r="AY96" s="168"/>
    </row>
    <row r="97" spans="1:51">
      <c r="A97" s="16" t="s">
        <v>32</v>
      </c>
      <c r="B97" s="163"/>
      <c r="C97" s="107"/>
      <c r="D97" s="23"/>
      <c r="E97" s="24"/>
      <c r="F97" s="24"/>
      <c r="G97" s="24"/>
      <c r="H97" s="24"/>
      <c r="I97" s="24"/>
      <c r="J97" s="24"/>
      <c r="K97" s="24"/>
      <c r="L97" s="24"/>
      <c r="M97" s="22"/>
      <c r="N97" s="23"/>
      <c r="O97" s="24"/>
      <c r="P97" s="24"/>
      <c r="Q97" s="24"/>
      <c r="R97" s="24"/>
      <c r="S97" s="24"/>
      <c r="T97" s="24"/>
      <c r="U97" s="24"/>
      <c r="V97" s="24"/>
      <c r="W97" s="22"/>
      <c r="X97" s="23"/>
      <c r="Y97" s="24"/>
      <c r="Z97" s="24"/>
      <c r="AA97" s="24"/>
      <c r="AB97" s="24"/>
      <c r="AC97" s="24"/>
      <c r="AD97" s="24"/>
      <c r="AE97" s="24"/>
      <c r="AF97" s="24"/>
      <c r="AG97" s="22"/>
      <c r="AH97" s="203" t="str">
        <f t="shared" si="11"/>
        <v/>
      </c>
      <c r="AI97" s="204" t="str">
        <f t="shared" si="8"/>
        <v/>
      </c>
      <c r="AJ97" s="205" t="str">
        <f t="shared" si="9"/>
        <v/>
      </c>
      <c r="AK97" s="206">
        <f t="shared" si="10"/>
        <v>0</v>
      </c>
      <c r="AL97" s="168"/>
      <c r="AM97" s="168"/>
      <c r="AN97" s="168"/>
      <c r="AO97" s="168"/>
      <c r="AP97" s="168"/>
      <c r="AQ97" s="168"/>
      <c r="AR97" s="168"/>
      <c r="AS97" s="168"/>
      <c r="AT97" s="168"/>
      <c r="AU97" s="168"/>
      <c r="AV97" s="168"/>
      <c r="AW97" s="168"/>
      <c r="AX97" s="168"/>
      <c r="AY97" s="168"/>
    </row>
    <row r="98" spans="1:51">
      <c r="A98" s="16" t="s">
        <v>32</v>
      </c>
      <c r="B98" s="163"/>
      <c r="C98" s="107"/>
      <c r="D98" s="23"/>
      <c r="E98" s="24"/>
      <c r="F98" s="24"/>
      <c r="G98" s="24"/>
      <c r="H98" s="24"/>
      <c r="I98" s="24"/>
      <c r="J98" s="24"/>
      <c r="K98" s="24"/>
      <c r="L98" s="24"/>
      <c r="M98" s="22"/>
      <c r="N98" s="23"/>
      <c r="O98" s="24"/>
      <c r="P98" s="24"/>
      <c r="Q98" s="24"/>
      <c r="R98" s="24"/>
      <c r="S98" s="24"/>
      <c r="T98" s="24"/>
      <c r="U98" s="24"/>
      <c r="V98" s="24"/>
      <c r="W98" s="22"/>
      <c r="X98" s="23"/>
      <c r="Y98" s="24"/>
      <c r="Z98" s="24"/>
      <c r="AA98" s="24"/>
      <c r="AB98" s="24"/>
      <c r="AC98" s="24"/>
      <c r="AD98" s="24"/>
      <c r="AE98" s="24"/>
      <c r="AF98" s="24"/>
      <c r="AG98" s="22"/>
      <c r="AH98" s="203" t="str">
        <f t="shared" si="11"/>
        <v/>
      </c>
      <c r="AI98" s="204" t="str">
        <f t="shared" si="8"/>
        <v/>
      </c>
      <c r="AJ98" s="205" t="str">
        <f t="shared" si="9"/>
        <v/>
      </c>
      <c r="AK98" s="206">
        <f t="shared" si="10"/>
        <v>0</v>
      </c>
      <c r="AL98" s="168"/>
      <c r="AM98" s="168"/>
      <c r="AN98" s="168"/>
      <c r="AO98" s="168"/>
      <c r="AP98" s="168"/>
      <c r="AQ98" s="168"/>
      <c r="AR98" s="168"/>
      <c r="AS98" s="168"/>
      <c r="AT98" s="168"/>
      <c r="AU98" s="168"/>
      <c r="AV98" s="168"/>
      <c r="AW98" s="168"/>
      <c r="AX98" s="168"/>
      <c r="AY98" s="168"/>
    </row>
    <row r="99" spans="1:51">
      <c r="A99" s="16" t="s">
        <v>32</v>
      </c>
      <c r="B99" s="163"/>
      <c r="C99" s="107"/>
      <c r="D99" s="23"/>
      <c r="E99" s="24"/>
      <c r="F99" s="24"/>
      <c r="G99" s="24"/>
      <c r="H99" s="24"/>
      <c r="I99" s="24"/>
      <c r="J99" s="24"/>
      <c r="K99" s="24"/>
      <c r="L99" s="24"/>
      <c r="M99" s="22"/>
      <c r="N99" s="23"/>
      <c r="O99" s="24"/>
      <c r="P99" s="24"/>
      <c r="Q99" s="24"/>
      <c r="R99" s="24"/>
      <c r="S99" s="24"/>
      <c r="T99" s="24"/>
      <c r="U99" s="24"/>
      <c r="V99" s="24"/>
      <c r="W99" s="22"/>
      <c r="X99" s="23"/>
      <c r="Y99" s="24"/>
      <c r="Z99" s="24"/>
      <c r="AA99" s="24"/>
      <c r="AB99" s="24"/>
      <c r="AC99" s="24"/>
      <c r="AD99" s="24"/>
      <c r="AE99" s="24"/>
      <c r="AF99" s="24"/>
      <c r="AG99" s="22"/>
      <c r="AH99" s="203" t="str">
        <f t="shared" si="11"/>
        <v/>
      </c>
      <c r="AI99" s="204" t="str">
        <f t="shared" si="8"/>
        <v/>
      </c>
      <c r="AJ99" s="205" t="str">
        <f t="shared" si="9"/>
        <v/>
      </c>
      <c r="AK99" s="206">
        <f t="shared" si="10"/>
        <v>0</v>
      </c>
      <c r="AL99" s="168"/>
      <c r="AM99" s="168"/>
      <c r="AN99" s="168"/>
      <c r="AO99" s="168"/>
      <c r="AP99" s="168"/>
      <c r="AQ99" s="168"/>
      <c r="AR99" s="168"/>
      <c r="AS99" s="168"/>
      <c r="AT99" s="168"/>
      <c r="AU99" s="168"/>
      <c r="AV99" s="168"/>
      <c r="AW99" s="168"/>
      <c r="AX99" s="168"/>
      <c r="AY99" s="168"/>
    </row>
    <row r="100" spans="1:51">
      <c r="A100" s="16" t="s">
        <v>32</v>
      </c>
      <c r="B100" s="163"/>
      <c r="C100" s="107"/>
      <c r="D100" s="23"/>
      <c r="E100" s="24"/>
      <c r="F100" s="24"/>
      <c r="G100" s="24"/>
      <c r="H100" s="24"/>
      <c r="I100" s="24"/>
      <c r="J100" s="24"/>
      <c r="K100" s="24"/>
      <c r="L100" s="24"/>
      <c r="M100" s="22"/>
      <c r="N100" s="23"/>
      <c r="O100" s="24"/>
      <c r="P100" s="24"/>
      <c r="Q100" s="24"/>
      <c r="R100" s="24"/>
      <c r="S100" s="24"/>
      <c r="T100" s="24"/>
      <c r="U100" s="24"/>
      <c r="V100" s="24"/>
      <c r="W100" s="22"/>
      <c r="X100" s="23"/>
      <c r="Y100" s="24"/>
      <c r="Z100" s="24"/>
      <c r="AA100" s="24"/>
      <c r="AB100" s="24"/>
      <c r="AC100" s="24"/>
      <c r="AD100" s="24"/>
      <c r="AE100" s="24"/>
      <c r="AF100" s="24"/>
      <c r="AG100" s="22"/>
      <c r="AH100" s="203" t="str">
        <f t="shared" si="11"/>
        <v/>
      </c>
      <c r="AI100" s="204" t="str">
        <f t="shared" si="8"/>
        <v/>
      </c>
      <c r="AJ100" s="205" t="str">
        <f t="shared" si="9"/>
        <v/>
      </c>
      <c r="AK100" s="206">
        <f t="shared" si="10"/>
        <v>0</v>
      </c>
      <c r="AL100" s="168"/>
      <c r="AM100" s="168"/>
      <c r="AN100" s="168"/>
      <c r="AO100" s="168"/>
      <c r="AP100" s="168"/>
      <c r="AQ100" s="168"/>
      <c r="AR100" s="168"/>
      <c r="AS100" s="168"/>
      <c r="AT100" s="168"/>
      <c r="AU100" s="168"/>
      <c r="AV100" s="168"/>
      <c r="AW100" s="168"/>
      <c r="AX100" s="168"/>
      <c r="AY100" s="168"/>
    </row>
    <row r="101" spans="1:51">
      <c r="A101" s="16" t="s">
        <v>32</v>
      </c>
      <c r="B101" s="163"/>
      <c r="C101" s="107"/>
      <c r="D101" s="23"/>
      <c r="E101" s="24"/>
      <c r="F101" s="24"/>
      <c r="G101" s="24"/>
      <c r="H101" s="24"/>
      <c r="I101" s="24"/>
      <c r="J101" s="24"/>
      <c r="K101" s="24"/>
      <c r="L101" s="24"/>
      <c r="M101" s="22"/>
      <c r="N101" s="23"/>
      <c r="O101" s="24"/>
      <c r="P101" s="24"/>
      <c r="Q101" s="24"/>
      <c r="R101" s="24"/>
      <c r="S101" s="24"/>
      <c r="T101" s="24"/>
      <c r="U101" s="24"/>
      <c r="V101" s="24"/>
      <c r="W101" s="22"/>
      <c r="X101" s="23"/>
      <c r="Y101" s="24"/>
      <c r="Z101" s="24"/>
      <c r="AA101" s="24"/>
      <c r="AB101" s="24"/>
      <c r="AC101" s="24"/>
      <c r="AD101" s="24"/>
      <c r="AE101" s="24"/>
      <c r="AF101" s="24"/>
      <c r="AG101" s="22"/>
      <c r="AH101" s="203" t="str">
        <f t="shared" si="11"/>
        <v/>
      </c>
      <c r="AI101" s="204" t="str">
        <f t="shared" si="8"/>
        <v/>
      </c>
      <c r="AJ101" s="205" t="str">
        <f t="shared" si="9"/>
        <v/>
      </c>
      <c r="AK101" s="206">
        <f t="shared" si="10"/>
        <v>0</v>
      </c>
      <c r="AL101" s="168"/>
      <c r="AM101" s="168"/>
      <c r="AN101" s="168"/>
      <c r="AO101" s="168"/>
      <c r="AP101" s="168"/>
      <c r="AQ101" s="168"/>
      <c r="AR101" s="168"/>
      <c r="AS101" s="168"/>
      <c r="AT101" s="168"/>
      <c r="AU101" s="168"/>
      <c r="AV101" s="168"/>
      <c r="AW101" s="168"/>
      <c r="AX101" s="168"/>
      <c r="AY101" s="168"/>
    </row>
    <row r="102" spans="1:51">
      <c r="A102" s="16" t="s">
        <v>32</v>
      </c>
      <c r="B102" s="163"/>
      <c r="C102" s="107"/>
      <c r="D102" s="23"/>
      <c r="E102" s="24"/>
      <c r="F102" s="24"/>
      <c r="G102" s="24"/>
      <c r="H102" s="24"/>
      <c r="I102" s="24"/>
      <c r="J102" s="24"/>
      <c r="K102" s="24"/>
      <c r="L102" s="24"/>
      <c r="M102" s="22"/>
      <c r="N102" s="23"/>
      <c r="O102" s="24"/>
      <c r="P102" s="24"/>
      <c r="Q102" s="24"/>
      <c r="R102" s="24"/>
      <c r="S102" s="24"/>
      <c r="T102" s="24"/>
      <c r="U102" s="24"/>
      <c r="V102" s="24"/>
      <c r="W102" s="22"/>
      <c r="X102" s="23"/>
      <c r="Y102" s="24"/>
      <c r="Z102" s="24"/>
      <c r="AA102" s="24"/>
      <c r="AB102" s="24"/>
      <c r="AC102" s="24"/>
      <c r="AD102" s="24"/>
      <c r="AE102" s="24"/>
      <c r="AF102" s="24"/>
      <c r="AG102" s="22"/>
      <c r="AH102" s="203" t="str">
        <f t="shared" si="11"/>
        <v/>
      </c>
      <c r="AI102" s="204" t="str">
        <f t="shared" si="8"/>
        <v/>
      </c>
      <c r="AJ102" s="205" t="str">
        <f t="shared" si="9"/>
        <v/>
      </c>
      <c r="AK102" s="206">
        <f t="shared" si="10"/>
        <v>0</v>
      </c>
      <c r="AL102" s="168"/>
      <c r="AM102" s="168"/>
      <c r="AN102" s="168"/>
      <c r="AO102" s="168"/>
      <c r="AP102" s="168"/>
      <c r="AQ102" s="168"/>
      <c r="AR102" s="168"/>
      <c r="AS102" s="168"/>
      <c r="AT102" s="168"/>
      <c r="AU102" s="168"/>
      <c r="AV102" s="168"/>
      <c r="AW102" s="168"/>
      <c r="AX102" s="168"/>
      <c r="AY102" s="168"/>
    </row>
    <row r="103" spans="1:51">
      <c r="A103" s="16" t="s">
        <v>32</v>
      </c>
      <c r="B103" s="163"/>
      <c r="C103" s="107"/>
      <c r="D103" s="23"/>
      <c r="E103" s="24"/>
      <c r="F103" s="24"/>
      <c r="G103" s="24"/>
      <c r="H103" s="24"/>
      <c r="I103" s="24"/>
      <c r="J103" s="24"/>
      <c r="K103" s="24"/>
      <c r="L103" s="24"/>
      <c r="M103" s="22"/>
      <c r="N103" s="23"/>
      <c r="O103" s="24"/>
      <c r="P103" s="24"/>
      <c r="Q103" s="24"/>
      <c r="R103" s="24"/>
      <c r="S103" s="24"/>
      <c r="T103" s="24"/>
      <c r="U103" s="24"/>
      <c r="V103" s="24"/>
      <c r="W103" s="22"/>
      <c r="X103" s="23"/>
      <c r="Y103" s="24"/>
      <c r="Z103" s="24"/>
      <c r="AA103" s="24"/>
      <c r="AB103" s="24"/>
      <c r="AC103" s="24"/>
      <c r="AD103" s="24"/>
      <c r="AE103" s="24"/>
      <c r="AF103" s="24"/>
      <c r="AG103" s="22"/>
      <c r="AH103" s="203" t="str">
        <f t="shared" si="11"/>
        <v/>
      </c>
      <c r="AI103" s="204" t="str">
        <f t="shared" si="8"/>
        <v/>
      </c>
      <c r="AJ103" s="205" t="str">
        <f t="shared" si="9"/>
        <v/>
      </c>
      <c r="AK103" s="206">
        <f t="shared" si="10"/>
        <v>0</v>
      </c>
      <c r="AL103" s="168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8"/>
      <c r="AW103" s="168"/>
      <c r="AX103" s="168"/>
      <c r="AY103" s="168"/>
    </row>
    <row r="104" spans="1:51" ht="13" thickBot="1">
      <c r="A104" s="17" t="s">
        <v>32</v>
      </c>
      <c r="B104" s="164"/>
      <c r="C104" s="117"/>
      <c r="D104" s="31"/>
      <c r="E104" s="32"/>
      <c r="F104" s="32"/>
      <c r="G104" s="32"/>
      <c r="H104" s="32"/>
      <c r="I104" s="32"/>
      <c r="J104" s="32"/>
      <c r="K104" s="32"/>
      <c r="L104" s="32"/>
      <c r="M104" s="30"/>
      <c r="N104" s="31"/>
      <c r="O104" s="32"/>
      <c r="P104" s="32"/>
      <c r="Q104" s="32"/>
      <c r="R104" s="32"/>
      <c r="S104" s="32"/>
      <c r="T104" s="32"/>
      <c r="U104" s="32"/>
      <c r="V104" s="32"/>
      <c r="W104" s="30"/>
      <c r="X104" s="31"/>
      <c r="Y104" s="32"/>
      <c r="Z104" s="32"/>
      <c r="AA104" s="32"/>
      <c r="AB104" s="32"/>
      <c r="AC104" s="32"/>
      <c r="AD104" s="32"/>
      <c r="AE104" s="32"/>
      <c r="AF104" s="32"/>
      <c r="AG104" s="30"/>
      <c r="AH104" s="207" t="str">
        <f t="shared" si="11"/>
        <v/>
      </c>
      <c r="AI104" s="208" t="str">
        <f t="shared" si="8"/>
        <v/>
      </c>
      <c r="AJ104" s="185" t="str">
        <f t="shared" si="9"/>
        <v/>
      </c>
      <c r="AK104" s="209">
        <f t="shared" si="10"/>
        <v>0</v>
      </c>
      <c r="AL104" s="168"/>
      <c r="AM104" s="168"/>
      <c r="AN104" s="168"/>
      <c r="AO104" s="168"/>
      <c r="AP104" s="168"/>
      <c r="AQ104" s="168"/>
      <c r="AR104" s="168"/>
      <c r="AS104" s="168"/>
      <c r="AT104" s="168"/>
      <c r="AU104" s="168"/>
      <c r="AV104" s="168"/>
      <c r="AW104" s="168"/>
      <c r="AX104" s="168"/>
      <c r="AY104" s="168"/>
    </row>
    <row r="105" spans="1:51" ht="13" thickBot="1">
      <c r="A105" s="294" t="s">
        <v>34</v>
      </c>
      <c r="B105" s="154"/>
      <c r="C105" s="154"/>
      <c r="D105" s="92"/>
      <c r="E105" s="93"/>
      <c r="F105" s="93"/>
      <c r="G105" s="93"/>
      <c r="H105" s="93"/>
      <c r="I105" s="93"/>
      <c r="J105" s="93"/>
      <c r="K105" s="93"/>
      <c r="L105" s="93"/>
      <c r="M105" s="96"/>
      <c r="N105" s="92"/>
      <c r="O105" s="93"/>
      <c r="P105" s="93"/>
      <c r="Q105" s="93"/>
      <c r="R105" s="93"/>
      <c r="S105" s="93"/>
      <c r="T105" s="93"/>
      <c r="U105" s="93"/>
      <c r="V105" s="93"/>
      <c r="W105" s="96"/>
      <c r="X105" s="354"/>
      <c r="Y105" s="355"/>
      <c r="Z105" s="355"/>
      <c r="AA105" s="355"/>
      <c r="AB105" s="355"/>
      <c r="AC105" s="355"/>
      <c r="AD105" s="355"/>
      <c r="AE105" s="355"/>
      <c r="AF105" s="355"/>
      <c r="AG105" s="356"/>
      <c r="AH105" s="304" t="s">
        <v>49</v>
      </c>
      <c r="AI105" s="305" t="s">
        <v>50</v>
      </c>
      <c r="AJ105" s="308" t="s">
        <v>51</v>
      </c>
      <c r="AK105" s="210"/>
      <c r="AL105" s="168"/>
      <c r="AM105" s="168"/>
      <c r="AN105" s="168"/>
      <c r="AO105" s="168"/>
      <c r="AP105" s="168"/>
      <c r="AQ105" s="168"/>
      <c r="AR105" s="168"/>
      <c r="AS105" s="168"/>
      <c r="AT105" s="168"/>
      <c r="AU105" s="168"/>
      <c r="AV105" s="168"/>
      <c r="AW105" s="168"/>
      <c r="AX105" s="168"/>
      <c r="AY105" s="168"/>
    </row>
    <row r="106" spans="1:51">
      <c r="A106" s="15" t="s">
        <v>34</v>
      </c>
      <c r="B106" s="368">
        <v>41057</v>
      </c>
      <c r="C106" s="107" t="s">
        <v>95</v>
      </c>
      <c r="D106" s="23">
        <v>7</v>
      </c>
      <c r="E106" s="24">
        <v>12</v>
      </c>
      <c r="F106" s="24">
        <v>21</v>
      </c>
      <c r="G106" s="24">
        <v>84</v>
      </c>
      <c r="H106" s="24">
        <v>47</v>
      </c>
      <c r="I106" s="24">
        <v>80</v>
      </c>
      <c r="J106" s="24">
        <v>92</v>
      </c>
      <c r="K106" s="24">
        <v>68</v>
      </c>
      <c r="L106" s="24">
        <v>8</v>
      </c>
      <c r="M106" s="22">
        <v>86</v>
      </c>
      <c r="N106" s="23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2">
        <v>0</v>
      </c>
      <c r="X106" s="23"/>
      <c r="Y106" s="24"/>
      <c r="Z106" s="24"/>
      <c r="AA106" s="24"/>
      <c r="AB106" s="24"/>
      <c r="AC106" s="24"/>
      <c r="AD106" s="24"/>
      <c r="AE106" s="24"/>
      <c r="AF106" s="24"/>
      <c r="AG106" s="22"/>
      <c r="AH106" s="199">
        <f>IF(COUNT(D106:M106)=0,"",AVERAGE(D106:M106))</f>
        <v>50.5</v>
      </c>
      <c r="AI106" s="200">
        <f>IF(COUNT(N106:W106)=0,"",AVERAGE(N106:W106))</f>
        <v>0</v>
      </c>
      <c r="AJ106" s="200" t="str">
        <f>IF(COUNT(X106:AG106)=0,"",AVERAGE(X106:AG106))</f>
        <v/>
      </c>
      <c r="AK106" s="202">
        <f t="shared" ref="AK106:AK135" si="12">IF(ISNUMBER(AH106),AH106,0)+IF(ISNUMBER(AI106),AI106,0)+IF(ISNUMBER(AJ106),AJ106,0)</f>
        <v>50.5</v>
      </c>
      <c r="AL106" s="168"/>
      <c r="AM106" s="168"/>
      <c r="AN106" s="168"/>
      <c r="AO106" s="168"/>
      <c r="AP106" s="168"/>
      <c r="AQ106" s="168"/>
      <c r="AR106" s="168"/>
      <c r="AS106" s="168"/>
      <c r="AT106" s="168"/>
      <c r="AU106" s="168"/>
      <c r="AV106" s="168"/>
      <c r="AW106" s="168"/>
      <c r="AX106" s="168"/>
      <c r="AY106" s="168"/>
    </row>
    <row r="107" spans="1:51">
      <c r="A107" s="16" t="s">
        <v>34</v>
      </c>
      <c r="B107" s="163">
        <v>41064</v>
      </c>
      <c r="C107" s="107" t="s">
        <v>95</v>
      </c>
      <c r="D107" s="23">
        <v>7</v>
      </c>
      <c r="E107" s="24">
        <v>13</v>
      </c>
      <c r="F107" s="24">
        <v>21</v>
      </c>
      <c r="G107" s="24">
        <v>144</v>
      </c>
      <c r="H107" s="24">
        <v>75</v>
      </c>
      <c r="I107" s="24">
        <v>137</v>
      </c>
      <c r="J107" s="24">
        <v>102</v>
      </c>
      <c r="K107" s="24">
        <v>89</v>
      </c>
      <c r="L107" s="24">
        <v>12</v>
      </c>
      <c r="M107" s="22">
        <v>169</v>
      </c>
      <c r="N107" s="23">
        <v>2</v>
      </c>
      <c r="O107" s="24">
        <v>1</v>
      </c>
      <c r="P107" s="24">
        <v>1</v>
      </c>
      <c r="Q107" s="24">
        <v>11</v>
      </c>
      <c r="R107" s="24">
        <v>2</v>
      </c>
      <c r="S107" s="24">
        <v>7</v>
      </c>
      <c r="T107" s="24">
        <v>20</v>
      </c>
      <c r="U107" s="24">
        <v>8</v>
      </c>
      <c r="V107" s="24">
        <v>0</v>
      </c>
      <c r="W107" s="22">
        <v>5</v>
      </c>
      <c r="X107" s="23"/>
      <c r="Y107" s="24"/>
      <c r="Z107" s="24"/>
      <c r="AA107" s="24"/>
      <c r="AB107" s="24"/>
      <c r="AC107" s="24"/>
      <c r="AD107" s="24"/>
      <c r="AE107" s="24"/>
      <c r="AF107" s="24"/>
      <c r="AG107" s="22"/>
      <c r="AH107" s="203">
        <f t="shared" ref="AH107:AH135" si="13">IF(COUNT(D107:M107)=0,"",AVERAGE(D107:M107))</f>
        <v>76.900000000000006</v>
      </c>
      <c r="AI107" s="204">
        <f>IF(COUNT(N107:W107)=0,"",AVERAGE(N107:W107))</f>
        <v>5.7</v>
      </c>
      <c r="AJ107" s="205" t="str">
        <f t="shared" ref="AJ107:AJ135" si="14">IF(COUNT(X107:AG107)=0,"",AVERAGE(X107:AG107))</f>
        <v/>
      </c>
      <c r="AK107" s="206">
        <f t="shared" si="12"/>
        <v>82.600000000000009</v>
      </c>
      <c r="AL107" s="168"/>
      <c r="AM107" s="168"/>
      <c r="AN107" s="168"/>
      <c r="AO107" s="168"/>
      <c r="AP107" s="168"/>
      <c r="AQ107" s="168"/>
      <c r="AR107" s="168"/>
      <c r="AS107" s="168"/>
      <c r="AT107" s="168"/>
      <c r="AU107" s="168"/>
      <c r="AV107" s="168"/>
      <c r="AW107" s="168"/>
      <c r="AX107" s="168"/>
      <c r="AY107" s="168"/>
    </row>
    <row r="108" spans="1:51">
      <c r="A108" s="16" t="s">
        <v>34</v>
      </c>
      <c r="B108" s="163">
        <v>41072</v>
      </c>
      <c r="C108" s="107" t="s">
        <v>95</v>
      </c>
      <c r="D108" s="23">
        <v>0</v>
      </c>
      <c r="E108" s="24">
        <v>3</v>
      </c>
      <c r="F108" s="24">
        <v>5</v>
      </c>
      <c r="G108" s="24">
        <v>38</v>
      </c>
      <c r="H108" s="24">
        <v>3</v>
      </c>
      <c r="I108" s="24">
        <v>28</v>
      </c>
      <c r="J108" s="24">
        <v>4</v>
      </c>
      <c r="K108" s="24">
        <v>6</v>
      </c>
      <c r="L108" s="24">
        <v>2</v>
      </c>
      <c r="M108" s="22">
        <v>15</v>
      </c>
      <c r="N108" s="23">
        <v>8</v>
      </c>
      <c r="O108" s="24">
        <v>6</v>
      </c>
      <c r="P108" s="24">
        <v>15</v>
      </c>
      <c r="Q108" s="24">
        <v>73</v>
      </c>
      <c r="R108" s="24">
        <v>56</v>
      </c>
      <c r="S108" s="24">
        <v>62</v>
      </c>
      <c r="T108" s="24">
        <v>51</v>
      </c>
      <c r="U108" s="24">
        <v>87</v>
      </c>
      <c r="V108" s="24">
        <v>8</v>
      </c>
      <c r="W108" s="22">
        <v>120</v>
      </c>
      <c r="X108" s="23"/>
      <c r="Y108" s="24"/>
      <c r="Z108" s="24"/>
      <c r="AA108" s="24"/>
      <c r="AB108" s="24"/>
      <c r="AC108" s="24"/>
      <c r="AD108" s="24"/>
      <c r="AE108" s="24"/>
      <c r="AF108" s="24"/>
      <c r="AG108" s="22"/>
      <c r="AH108" s="203">
        <f t="shared" si="13"/>
        <v>10.4</v>
      </c>
      <c r="AI108" s="204">
        <f>IF(COUNT(N108:W108)=0,"",AVERAGE(N108:W108))</f>
        <v>48.6</v>
      </c>
      <c r="AJ108" s="205" t="str">
        <f t="shared" si="14"/>
        <v/>
      </c>
      <c r="AK108" s="206">
        <f t="shared" si="12"/>
        <v>59</v>
      </c>
      <c r="AL108" s="168"/>
      <c r="AM108" s="168"/>
      <c r="AN108" s="168"/>
      <c r="AO108" s="168"/>
      <c r="AP108" s="168"/>
      <c r="AQ108" s="168"/>
      <c r="AR108" s="168"/>
      <c r="AS108" s="168"/>
      <c r="AT108" s="168"/>
      <c r="AU108" s="168"/>
      <c r="AV108" s="168"/>
      <c r="AW108" s="168"/>
      <c r="AX108" s="168"/>
      <c r="AY108" s="168"/>
    </row>
    <row r="109" spans="1:51">
      <c r="A109" s="16" t="s">
        <v>34</v>
      </c>
      <c r="B109" s="163">
        <v>41078</v>
      </c>
      <c r="C109" s="107" t="s">
        <v>95</v>
      </c>
      <c r="D109" s="23">
        <v>1</v>
      </c>
      <c r="E109" s="24">
        <v>0</v>
      </c>
      <c r="F109" s="24">
        <v>0</v>
      </c>
      <c r="G109" s="24">
        <v>0</v>
      </c>
      <c r="H109" s="24">
        <v>1</v>
      </c>
      <c r="I109" s="24">
        <v>0</v>
      </c>
      <c r="J109" s="24">
        <v>0</v>
      </c>
      <c r="K109" s="24">
        <v>0</v>
      </c>
      <c r="L109" s="24">
        <v>0</v>
      </c>
      <c r="M109" s="22">
        <v>0</v>
      </c>
      <c r="N109" s="23">
        <v>7</v>
      </c>
      <c r="O109" s="24">
        <v>6</v>
      </c>
      <c r="P109" s="24">
        <v>27</v>
      </c>
      <c r="Q109" s="24">
        <v>105</v>
      </c>
      <c r="R109" s="24">
        <v>63</v>
      </c>
      <c r="S109" s="24">
        <v>69</v>
      </c>
      <c r="T109" s="24">
        <v>58</v>
      </c>
      <c r="U109" s="24">
        <v>92</v>
      </c>
      <c r="V109" s="24">
        <v>4</v>
      </c>
      <c r="W109" s="22">
        <v>99</v>
      </c>
      <c r="X109" s="23"/>
      <c r="Y109" s="24"/>
      <c r="Z109" s="24"/>
      <c r="AA109" s="24"/>
      <c r="AB109" s="24"/>
      <c r="AC109" s="24"/>
      <c r="AD109" s="24"/>
      <c r="AE109" s="24"/>
      <c r="AF109" s="24"/>
      <c r="AG109" s="22"/>
      <c r="AH109" s="203">
        <f t="shared" si="13"/>
        <v>0.2</v>
      </c>
      <c r="AI109" s="204">
        <f>IF(COUNT(N109:W109)=0,"",AVERAGE(N109:W109))</f>
        <v>53</v>
      </c>
      <c r="AJ109" s="205" t="str">
        <f t="shared" si="14"/>
        <v/>
      </c>
      <c r="AK109" s="206">
        <f t="shared" si="12"/>
        <v>53.2</v>
      </c>
      <c r="AL109" s="168"/>
      <c r="AM109" s="168"/>
      <c r="AN109" s="168"/>
      <c r="AO109" s="168"/>
      <c r="AP109" s="168"/>
      <c r="AQ109" s="168"/>
      <c r="AR109" s="168"/>
      <c r="AS109" s="168"/>
      <c r="AT109" s="168"/>
      <c r="AU109" s="168"/>
      <c r="AV109" s="168"/>
      <c r="AW109" s="168"/>
      <c r="AX109" s="168"/>
      <c r="AY109" s="168"/>
    </row>
    <row r="110" spans="1:51">
      <c r="A110" s="16" t="s">
        <v>34</v>
      </c>
      <c r="B110" s="163"/>
      <c r="C110" s="107"/>
      <c r="D110" s="23"/>
      <c r="E110" s="24"/>
      <c r="F110" s="24"/>
      <c r="G110" s="24"/>
      <c r="H110" s="24"/>
      <c r="I110" s="24"/>
      <c r="J110" s="24"/>
      <c r="K110" s="24"/>
      <c r="L110" s="24"/>
      <c r="M110" s="22"/>
      <c r="N110" s="23"/>
      <c r="O110" s="24"/>
      <c r="P110" s="24"/>
      <c r="Q110" s="24"/>
      <c r="R110" s="24"/>
      <c r="S110" s="24"/>
      <c r="T110" s="24"/>
      <c r="U110" s="24"/>
      <c r="V110" s="24"/>
      <c r="W110" s="22"/>
      <c r="X110" s="23"/>
      <c r="Y110" s="24"/>
      <c r="Z110" s="24"/>
      <c r="AA110" s="24"/>
      <c r="AB110" s="24"/>
      <c r="AC110" s="24"/>
      <c r="AD110" s="24"/>
      <c r="AE110" s="24"/>
      <c r="AF110" s="24"/>
      <c r="AG110" s="22"/>
      <c r="AH110" s="203" t="str">
        <f t="shared" si="13"/>
        <v/>
      </c>
      <c r="AI110" s="204" t="str">
        <f t="shared" ref="AI110:AI135" si="15">IF(COUNT(N110:W110)=0,"",AVERAGE(N110:W110))</f>
        <v/>
      </c>
      <c r="AJ110" s="205" t="str">
        <f t="shared" si="14"/>
        <v/>
      </c>
      <c r="AK110" s="206">
        <f t="shared" si="12"/>
        <v>0</v>
      </c>
      <c r="AL110" s="168"/>
      <c r="AM110" s="168"/>
      <c r="AN110" s="168"/>
      <c r="AO110" s="168"/>
      <c r="AP110" s="168"/>
      <c r="AQ110" s="168"/>
      <c r="AR110" s="168"/>
      <c r="AS110" s="168"/>
      <c r="AT110" s="168"/>
      <c r="AU110" s="168"/>
      <c r="AV110" s="168"/>
      <c r="AW110" s="168"/>
      <c r="AX110" s="168"/>
      <c r="AY110" s="168"/>
    </row>
    <row r="111" spans="1:51">
      <c r="A111" s="16" t="s">
        <v>34</v>
      </c>
      <c r="B111" s="163"/>
      <c r="C111" s="107"/>
      <c r="D111" s="23"/>
      <c r="E111" s="24"/>
      <c r="F111" s="24"/>
      <c r="G111" s="24"/>
      <c r="H111" s="24"/>
      <c r="I111" s="24"/>
      <c r="J111" s="24"/>
      <c r="K111" s="24"/>
      <c r="L111" s="24"/>
      <c r="M111" s="22"/>
      <c r="N111" s="23"/>
      <c r="O111" s="24"/>
      <c r="P111" s="24"/>
      <c r="Q111" s="24"/>
      <c r="R111" s="24"/>
      <c r="S111" s="24"/>
      <c r="T111" s="24"/>
      <c r="U111" s="24"/>
      <c r="V111" s="24"/>
      <c r="W111" s="22"/>
      <c r="X111" s="23"/>
      <c r="Y111" s="24"/>
      <c r="Z111" s="24"/>
      <c r="AA111" s="24"/>
      <c r="AB111" s="24"/>
      <c r="AC111" s="24"/>
      <c r="AD111" s="24"/>
      <c r="AE111" s="24"/>
      <c r="AF111" s="24"/>
      <c r="AG111" s="22"/>
      <c r="AH111" s="203" t="str">
        <f t="shared" si="13"/>
        <v/>
      </c>
      <c r="AI111" s="204" t="str">
        <f t="shared" si="15"/>
        <v/>
      </c>
      <c r="AJ111" s="205" t="str">
        <f t="shared" si="14"/>
        <v/>
      </c>
      <c r="AK111" s="206">
        <f t="shared" si="12"/>
        <v>0</v>
      </c>
      <c r="AL111" s="168"/>
      <c r="AM111" s="168"/>
      <c r="AN111" s="168"/>
      <c r="AO111" s="168"/>
      <c r="AP111" s="168"/>
      <c r="AQ111" s="168"/>
      <c r="AR111" s="168"/>
      <c r="AS111" s="168"/>
      <c r="AT111" s="168"/>
      <c r="AU111" s="168"/>
      <c r="AV111" s="168"/>
      <c r="AW111" s="168"/>
      <c r="AX111" s="168"/>
      <c r="AY111" s="168"/>
    </row>
    <row r="112" spans="1:51">
      <c r="A112" s="16" t="s">
        <v>34</v>
      </c>
      <c r="B112" s="163"/>
      <c r="C112" s="107"/>
      <c r="D112" s="23"/>
      <c r="E112" s="24"/>
      <c r="F112" s="24"/>
      <c r="G112" s="24"/>
      <c r="H112" s="24"/>
      <c r="I112" s="24"/>
      <c r="J112" s="24"/>
      <c r="K112" s="24"/>
      <c r="L112" s="24"/>
      <c r="M112" s="22"/>
      <c r="N112" s="23"/>
      <c r="O112" s="24"/>
      <c r="P112" s="24"/>
      <c r="Q112" s="24"/>
      <c r="R112" s="357"/>
      <c r="S112" s="24"/>
      <c r="T112" s="24"/>
      <c r="U112" s="24"/>
      <c r="V112" s="24"/>
      <c r="W112" s="24"/>
      <c r="X112" s="23"/>
      <c r="Y112" s="24"/>
      <c r="Z112" s="24"/>
      <c r="AA112" s="24"/>
      <c r="AB112" s="24"/>
      <c r="AC112" s="24"/>
      <c r="AD112" s="24"/>
      <c r="AE112" s="24"/>
      <c r="AF112" s="24"/>
      <c r="AG112" s="22"/>
      <c r="AH112" s="203" t="str">
        <f t="shared" si="13"/>
        <v/>
      </c>
      <c r="AI112" s="204" t="str">
        <f>IF(COUNT(N112:W112)=0,"",AVERAGE(N112:W112))</f>
        <v/>
      </c>
      <c r="AJ112" s="205" t="str">
        <f t="shared" si="14"/>
        <v/>
      </c>
      <c r="AK112" s="206">
        <f t="shared" si="12"/>
        <v>0</v>
      </c>
      <c r="AL112" s="168"/>
      <c r="AM112" s="168"/>
      <c r="AN112" s="168"/>
      <c r="AO112" s="168"/>
      <c r="AP112" s="168"/>
      <c r="AQ112" s="168"/>
      <c r="AR112" s="168"/>
      <c r="AS112" s="168"/>
      <c r="AT112" s="168"/>
      <c r="AU112" s="168"/>
      <c r="AV112" s="168"/>
      <c r="AW112" s="168"/>
      <c r="AX112" s="168"/>
      <c r="AY112" s="168"/>
    </row>
    <row r="113" spans="1:51">
      <c r="A113" s="16" t="s">
        <v>34</v>
      </c>
      <c r="B113" s="163"/>
      <c r="C113" s="107"/>
      <c r="D113" s="23"/>
      <c r="E113" s="24"/>
      <c r="F113" s="24"/>
      <c r="G113" s="24"/>
      <c r="H113" s="24"/>
      <c r="I113" s="24"/>
      <c r="J113" s="24"/>
      <c r="K113" s="24"/>
      <c r="L113" s="24"/>
      <c r="M113" s="22"/>
      <c r="N113" s="23"/>
      <c r="O113" s="24"/>
      <c r="P113" s="24"/>
      <c r="Q113" s="24"/>
      <c r="R113" s="24"/>
      <c r="S113" s="24"/>
      <c r="T113" s="24"/>
      <c r="U113" s="24"/>
      <c r="V113" s="24"/>
      <c r="W113" s="22"/>
      <c r="X113" s="23"/>
      <c r="Y113" s="24"/>
      <c r="Z113" s="24"/>
      <c r="AA113" s="24"/>
      <c r="AB113" s="24"/>
      <c r="AC113" s="24"/>
      <c r="AD113" s="24"/>
      <c r="AE113" s="24"/>
      <c r="AF113" s="24"/>
      <c r="AG113" s="22"/>
      <c r="AH113" s="203" t="str">
        <f t="shared" si="13"/>
        <v/>
      </c>
      <c r="AI113" s="204" t="str">
        <f t="shared" si="15"/>
        <v/>
      </c>
      <c r="AJ113" s="205" t="str">
        <f t="shared" si="14"/>
        <v/>
      </c>
      <c r="AK113" s="206">
        <f t="shared" si="12"/>
        <v>0</v>
      </c>
      <c r="AL113" s="168"/>
      <c r="AM113" s="168"/>
      <c r="AN113" s="168"/>
      <c r="AO113" s="168"/>
      <c r="AP113" s="168"/>
      <c r="AQ113" s="168"/>
      <c r="AR113" s="168"/>
      <c r="AS113" s="168"/>
      <c r="AT113" s="168"/>
      <c r="AU113" s="168"/>
      <c r="AV113" s="168"/>
      <c r="AW113" s="168"/>
      <c r="AX113" s="168"/>
      <c r="AY113" s="168"/>
    </row>
    <row r="114" spans="1:51">
      <c r="A114" s="16" t="s">
        <v>34</v>
      </c>
      <c r="B114" s="163"/>
      <c r="C114" s="107"/>
      <c r="D114" s="23"/>
      <c r="E114" s="24"/>
      <c r="F114" s="24"/>
      <c r="G114" s="24"/>
      <c r="H114" s="24"/>
      <c r="I114" s="24"/>
      <c r="J114" s="24"/>
      <c r="K114" s="24"/>
      <c r="L114" s="24"/>
      <c r="M114" s="22"/>
      <c r="N114" s="23"/>
      <c r="O114" s="24"/>
      <c r="P114" s="24"/>
      <c r="Q114" s="24"/>
      <c r="R114" s="24"/>
      <c r="S114" s="24"/>
      <c r="T114" s="24"/>
      <c r="U114" s="24"/>
      <c r="V114" s="24"/>
      <c r="W114" s="22"/>
      <c r="X114" s="23"/>
      <c r="Y114" s="24"/>
      <c r="Z114" s="24"/>
      <c r="AA114" s="24"/>
      <c r="AB114" s="24"/>
      <c r="AC114" s="24"/>
      <c r="AD114" s="24"/>
      <c r="AE114" s="24"/>
      <c r="AF114" s="24"/>
      <c r="AG114" s="22"/>
      <c r="AH114" s="203" t="str">
        <f t="shared" si="13"/>
        <v/>
      </c>
      <c r="AI114" s="204" t="str">
        <f t="shared" si="15"/>
        <v/>
      </c>
      <c r="AJ114" s="205" t="str">
        <f t="shared" si="14"/>
        <v/>
      </c>
      <c r="AK114" s="206">
        <f t="shared" si="12"/>
        <v>0</v>
      </c>
      <c r="AL114" s="168"/>
      <c r="AM114" s="168"/>
      <c r="AN114" s="168"/>
      <c r="AO114" s="168"/>
      <c r="AP114" s="168"/>
      <c r="AQ114" s="168"/>
      <c r="AR114" s="168"/>
      <c r="AS114" s="168"/>
      <c r="AT114" s="168"/>
      <c r="AU114" s="168"/>
      <c r="AV114" s="168"/>
      <c r="AW114" s="168"/>
      <c r="AX114" s="168"/>
      <c r="AY114" s="168"/>
    </row>
    <row r="115" spans="1:51">
      <c r="A115" s="16" t="s">
        <v>34</v>
      </c>
      <c r="B115" s="163"/>
      <c r="C115" s="107"/>
      <c r="D115" s="23"/>
      <c r="E115" s="24"/>
      <c r="F115" s="24"/>
      <c r="G115" s="24"/>
      <c r="H115" s="24"/>
      <c r="I115" s="24"/>
      <c r="J115" s="24"/>
      <c r="K115" s="24"/>
      <c r="L115" s="24"/>
      <c r="M115" s="22"/>
      <c r="N115" s="23"/>
      <c r="O115" s="24"/>
      <c r="P115" s="24"/>
      <c r="Q115" s="24"/>
      <c r="R115" s="24"/>
      <c r="S115" s="24"/>
      <c r="T115" s="24"/>
      <c r="U115" s="24"/>
      <c r="V115" s="24"/>
      <c r="W115" s="22"/>
      <c r="X115" s="23"/>
      <c r="Y115" s="24"/>
      <c r="Z115" s="24"/>
      <c r="AA115" s="24"/>
      <c r="AB115" s="24"/>
      <c r="AC115" s="24"/>
      <c r="AD115" s="24"/>
      <c r="AE115" s="24"/>
      <c r="AF115" s="24"/>
      <c r="AG115" s="22"/>
      <c r="AH115" s="203" t="str">
        <f t="shared" si="13"/>
        <v/>
      </c>
      <c r="AI115" s="204" t="str">
        <f t="shared" si="15"/>
        <v/>
      </c>
      <c r="AJ115" s="205" t="str">
        <f t="shared" si="14"/>
        <v/>
      </c>
      <c r="AK115" s="206">
        <f t="shared" si="12"/>
        <v>0</v>
      </c>
      <c r="AL115" s="168"/>
      <c r="AM115" s="168"/>
      <c r="AN115" s="168"/>
      <c r="AO115" s="168"/>
      <c r="AP115" s="168"/>
      <c r="AQ115" s="168"/>
      <c r="AR115" s="168"/>
      <c r="AS115" s="168"/>
      <c r="AT115" s="168"/>
      <c r="AU115" s="168"/>
      <c r="AV115" s="168"/>
      <c r="AW115" s="168"/>
      <c r="AX115" s="168"/>
      <c r="AY115" s="168"/>
    </row>
    <row r="116" spans="1:51">
      <c r="A116" s="16" t="s">
        <v>34</v>
      </c>
      <c r="B116" s="163"/>
      <c r="C116" s="107"/>
      <c r="D116" s="23"/>
      <c r="E116" s="24"/>
      <c r="F116" s="24"/>
      <c r="G116" s="24"/>
      <c r="H116" s="24"/>
      <c r="I116" s="24"/>
      <c r="J116" s="24"/>
      <c r="K116" s="24"/>
      <c r="L116" s="24"/>
      <c r="M116" s="22"/>
      <c r="N116" s="23"/>
      <c r="O116" s="24"/>
      <c r="P116" s="24"/>
      <c r="Q116" s="24"/>
      <c r="R116" s="24"/>
      <c r="S116" s="24"/>
      <c r="T116" s="24"/>
      <c r="U116" s="24"/>
      <c r="V116" s="24"/>
      <c r="W116" s="22"/>
      <c r="X116" s="23"/>
      <c r="Y116" s="24"/>
      <c r="Z116" s="24"/>
      <c r="AA116" s="24"/>
      <c r="AB116" s="24"/>
      <c r="AC116" s="24"/>
      <c r="AD116" s="24"/>
      <c r="AE116" s="24"/>
      <c r="AF116" s="24"/>
      <c r="AG116" s="22"/>
      <c r="AH116" s="203" t="str">
        <f t="shared" si="13"/>
        <v/>
      </c>
      <c r="AI116" s="204" t="str">
        <f t="shared" si="15"/>
        <v/>
      </c>
      <c r="AJ116" s="205" t="str">
        <f t="shared" si="14"/>
        <v/>
      </c>
      <c r="AK116" s="206">
        <f t="shared" si="12"/>
        <v>0</v>
      </c>
      <c r="AL116" s="168"/>
      <c r="AM116" s="168"/>
      <c r="AN116" s="168"/>
      <c r="AO116" s="168"/>
      <c r="AP116" s="168"/>
      <c r="AQ116" s="168"/>
      <c r="AR116" s="168"/>
      <c r="AS116" s="168"/>
      <c r="AT116" s="168"/>
      <c r="AU116" s="168"/>
      <c r="AV116" s="168"/>
      <c r="AW116" s="168"/>
      <c r="AX116" s="168"/>
      <c r="AY116" s="168"/>
    </row>
    <row r="117" spans="1:51">
      <c r="A117" s="16" t="s">
        <v>34</v>
      </c>
      <c r="B117" s="163"/>
      <c r="C117" s="107"/>
      <c r="D117" s="23"/>
      <c r="E117" s="24"/>
      <c r="F117" s="24"/>
      <c r="G117" s="24"/>
      <c r="H117" s="24"/>
      <c r="I117" s="24"/>
      <c r="J117" s="24"/>
      <c r="K117" s="24"/>
      <c r="L117" s="24"/>
      <c r="M117" s="22"/>
      <c r="N117" s="23"/>
      <c r="O117" s="24"/>
      <c r="P117" s="24"/>
      <c r="Q117" s="24"/>
      <c r="R117" s="24"/>
      <c r="S117" s="24"/>
      <c r="T117" s="24"/>
      <c r="U117" s="24"/>
      <c r="V117" s="24"/>
      <c r="W117" s="22"/>
      <c r="X117" s="23"/>
      <c r="Y117" s="24"/>
      <c r="Z117" s="24"/>
      <c r="AA117" s="24"/>
      <c r="AB117" s="24"/>
      <c r="AC117" s="24"/>
      <c r="AD117" s="24"/>
      <c r="AE117" s="24"/>
      <c r="AF117" s="24"/>
      <c r="AG117" s="22"/>
      <c r="AH117" s="203" t="str">
        <f t="shared" si="13"/>
        <v/>
      </c>
      <c r="AI117" s="204" t="str">
        <f t="shared" si="15"/>
        <v/>
      </c>
      <c r="AJ117" s="205" t="str">
        <f t="shared" si="14"/>
        <v/>
      </c>
      <c r="AK117" s="206">
        <f t="shared" si="12"/>
        <v>0</v>
      </c>
      <c r="AL117" s="168"/>
      <c r="AM117" s="168"/>
      <c r="AN117" s="168"/>
      <c r="AO117" s="168"/>
      <c r="AP117" s="168"/>
      <c r="AQ117" s="168"/>
      <c r="AR117" s="168"/>
      <c r="AS117" s="168"/>
      <c r="AT117" s="168"/>
      <c r="AU117" s="168"/>
      <c r="AV117" s="168"/>
      <c r="AW117" s="168"/>
      <c r="AX117" s="168"/>
      <c r="AY117" s="168"/>
    </row>
    <row r="118" spans="1:51">
      <c r="A118" s="16" t="s">
        <v>34</v>
      </c>
      <c r="B118" s="163"/>
      <c r="C118" s="107"/>
      <c r="D118" s="23"/>
      <c r="E118" s="24"/>
      <c r="F118" s="24"/>
      <c r="G118" s="24"/>
      <c r="H118" s="24"/>
      <c r="I118" s="24"/>
      <c r="J118" s="24"/>
      <c r="K118" s="24"/>
      <c r="L118" s="24"/>
      <c r="M118" s="22"/>
      <c r="N118" s="23"/>
      <c r="O118" s="24"/>
      <c r="P118" s="24"/>
      <c r="Q118" s="24"/>
      <c r="R118" s="24"/>
      <c r="S118" s="24"/>
      <c r="T118" s="24"/>
      <c r="U118" s="24"/>
      <c r="V118" s="24"/>
      <c r="W118" s="22"/>
      <c r="X118" s="23"/>
      <c r="Y118" s="24"/>
      <c r="Z118" s="24"/>
      <c r="AA118" s="24"/>
      <c r="AB118" s="24"/>
      <c r="AC118" s="24"/>
      <c r="AD118" s="24"/>
      <c r="AE118" s="24"/>
      <c r="AF118" s="24"/>
      <c r="AG118" s="22"/>
      <c r="AH118" s="203" t="str">
        <f t="shared" si="13"/>
        <v/>
      </c>
      <c r="AI118" s="204" t="str">
        <f t="shared" si="15"/>
        <v/>
      </c>
      <c r="AJ118" s="205" t="str">
        <f t="shared" si="14"/>
        <v/>
      </c>
      <c r="AK118" s="206">
        <f t="shared" si="12"/>
        <v>0</v>
      </c>
      <c r="AL118" s="168"/>
      <c r="AM118" s="168"/>
      <c r="AN118" s="168"/>
      <c r="AO118" s="168"/>
      <c r="AP118" s="168"/>
      <c r="AQ118" s="168"/>
      <c r="AR118" s="168"/>
      <c r="AS118" s="168"/>
      <c r="AT118" s="168"/>
      <c r="AU118" s="168"/>
      <c r="AV118" s="168"/>
      <c r="AW118" s="168"/>
      <c r="AX118" s="168"/>
      <c r="AY118" s="168"/>
    </row>
    <row r="119" spans="1:51">
      <c r="A119" s="16" t="s">
        <v>34</v>
      </c>
      <c r="B119" s="163"/>
      <c r="C119" s="107"/>
      <c r="D119" s="23"/>
      <c r="E119" s="24"/>
      <c r="F119" s="24"/>
      <c r="G119" s="24"/>
      <c r="H119" s="24"/>
      <c r="I119" s="24"/>
      <c r="J119" s="24"/>
      <c r="K119" s="24"/>
      <c r="L119" s="24"/>
      <c r="M119" s="22"/>
      <c r="N119" s="23"/>
      <c r="O119" s="24"/>
      <c r="P119" s="24"/>
      <c r="Q119" s="24"/>
      <c r="R119" s="24"/>
      <c r="S119" s="24"/>
      <c r="T119" s="24"/>
      <c r="U119" s="24"/>
      <c r="V119" s="24"/>
      <c r="W119" s="22"/>
      <c r="X119" s="23"/>
      <c r="Y119" s="24"/>
      <c r="Z119" s="24"/>
      <c r="AA119" s="24"/>
      <c r="AB119" s="24"/>
      <c r="AC119" s="24"/>
      <c r="AD119" s="24"/>
      <c r="AE119" s="24"/>
      <c r="AF119" s="24"/>
      <c r="AG119" s="22"/>
      <c r="AH119" s="203" t="str">
        <f t="shared" si="13"/>
        <v/>
      </c>
      <c r="AI119" s="204" t="str">
        <f t="shared" si="15"/>
        <v/>
      </c>
      <c r="AJ119" s="205" t="str">
        <f t="shared" si="14"/>
        <v/>
      </c>
      <c r="AK119" s="206">
        <f t="shared" si="12"/>
        <v>0</v>
      </c>
      <c r="AL119" s="168"/>
      <c r="AM119" s="168"/>
      <c r="AN119" s="168"/>
      <c r="AO119" s="168"/>
      <c r="AP119" s="168"/>
      <c r="AQ119" s="168"/>
      <c r="AR119" s="168"/>
      <c r="AS119" s="168"/>
      <c r="AT119" s="168"/>
      <c r="AU119" s="168"/>
      <c r="AV119" s="168"/>
      <c r="AW119" s="168"/>
      <c r="AX119" s="168"/>
      <c r="AY119" s="168"/>
    </row>
    <row r="120" spans="1:51">
      <c r="A120" s="16" t="s">
        <v>34</v>
      </c>
      <c r="B120" s="163"/>
      <c r="C120" s="107"/>
      <c r="D120" s="23"/>
      <c r="E120" s="24"/>
      <c r="F120" s="24"/>
      <c r="G120" s="24"/>
      <c r="H120" s="24"/>
      <c r="I120" s="24"/>
      <c r="J120" s="24"/>
      <c r="K120" s="24"/>
      <c r="L120" s="24"/>
      <c r="M120" s="22"/>
      <c r="N120" s="23"/>
      <c r="O120" s="24"/>
      <c r="P120" s="24"/>
      <c r="Q120" s="24"/>
      <c r="R120" s="24"/>
      <c r="S120" s="24"/>
      <c r="T120" s="24"/>
      <c r="U120" s="24"/>
      <c r="V120" s="24"/>
      <c r="W120" s="22"/>
      <c r="X120" s="23"/>
      <c r="Y120" s="24"/>
      <c r="Z120" s="24"/>
      <c r="AA120" s="24"/>
      <c r="AB120" s="24"/>
      <c r="AC120" s="24"/>
      <c r="AD120" s="24"/>
      <c r="AE120" s="24"/>
      <c r="AF120" s="24"/>
      <c r="AG120" s="22"/>
      <c r="AH120" s="203" t="str">
        <f t="shared" si="13"/>
        <v/>
      </c>
      <c r="AI120" s="204" t="str">
        <f t="shared" si="15"/>
        <v/>
      </c>
      <c r="AJ120" s="205" t="str">
        <f t="shared" si="14"/>
        <v/>
      </c>
      <c r="AK120" s="206">
        <f t="shared" si="12"/>
        <v>0</v>
      </c>
      <c r="AL120" s="168"/>
      <c r="AM120" s="168"/>
      <c r="AN120" s="168"/>
      <c r="AO120" s="168"/>
      <c r="AP120" s="168"/>
      <c r="AQ120" s="168"/>
      <c r="AR120" s="168"/>
      <c r="AS120" s="168"/>
      <c r="AT120" s="168"/>
      <c r="AU120" s="168"/>
      <c r="AV120" s="168"/>
      <c r="AW120" s="168"/>
      <c r="AX120" s="168"/>
      <c r="AY120" s="168"/>
    </row>
    <row r="121" spans="1:51">
      <c r="A121" s="16" t="s">
        <v>34</v>
      </c>
      <c r="B121" s="163"/>
      <c r="C121" s="107"/>
      <c r="D121" s="23"/>
      <c r="E121" s="24"/>
      <c r="F121" s="24"/>
      <c r="G121" s="24"/>
      <c r="H121" s="24"/>
      <c r="I121" s="24"/>
      <c r="J121" s="24"/>
      <c r="K121" s="24"/>
      <c r="L121" s="24"/>
      <c r="M121" s="22"/>
      <c r="N121" s="23"/>
      <c r="O121" s="24"/>
      <c r="P121" s="24"/>
      <c r="Q121" s="24"/>
      <c r="R121" s="24"/>
      <c r="S121" s="24"/>
      <c r="T121" s="24"/>
      <c r="U121" s="24"/>
      <c r="V121" s="24"/>
      <c r="W121" s="22"/>
      <c r="X121" s="23"/>
      <c r="Y121" s="24"/>
      <c r="Z121" s="24"/>
      <c r="AA121" s="24"/>
      <c r="AB121" s="24"/>
      <c r="AC121" s="24"/>
      <c r="AD121" s="24"/>
      <c r="AE121" s="24"/>
      <c r="AF121" s="24"/>
      <c r="AG121" s="22"/>
      <c r="AH121" s="203" t="str">
        <f t="shared" si="13"/>
        <v/>
      </c>
      <c r="AI121" s="204" t="str">
        <f t="shared" si="15"/>
        <v/>
      </c>
      <c r="AJ121" s="205" t="str">
        <f t="shared" si="14"/>
        <v/>
      </c>
      <c r="AK121" s="206">
        <f t="shared" si="12"/>
        <v>0</v>
      </c>
      <c r="AL121" s="168"/>
      <c r="AM121" s="168"/>
      <c r="AN121" s="168"/>
      <c r="AO121" s="168"/>
      <c r="AP121" s="168"/>
      <c r="AQ121" s="168"/>
      <c r="AR121" s="168"/>
      <c r="AS121" s="168"/>
      <c r="AT121" s="168"/>
      <c r="AU121" s="168"/>
      <c r="AV121" s="168"/>
      <c r="AW121" s="168"/>
      <c r="AX121" s="168"/>
      <c r="AY121" s="168"/>
    </row>
    <row r="122" spans="1:51">
      <c r="A122" s="16" t="s">
        <v>34</v>
      </c>
      <c r="B122" s="163"/>
      <c r="C122" s="107"/>
      <c r="D122" s="23"/>
      <c r="E122" s="24"/>
      <c r="F122" s="24"/>
      <c r="G122" s="24"/>
      <c r="H122" s="24"/>
      <c r="I122" s="24"/>
      <c r="J122" s="24"/>
      <c r="K122" s="24"/>
      <c r="L122" s="24"/>
      <c r="M122" s="22"/>
      <c r="N122" s="23"/>
      <c r="O122" s="24"/>
      <c r="P122" s="24"/>
      <c r="Q122" s="24"/>
      <c r="R122" s="24"/>
      <c r="S122" s="24"/>
      <c r="T122" s="24"/>
      <c r="U122" s="24"/>
      <c r="V122" s="24"/>
      <c r="W122" s="22"/>
      <c r="X122" s="23"/>
      <c r="Y122" s="24"/>
      <c r="Z122" s="24"/>
      <c r="AA122" s="24"/>
      <c r="AB122" s="24"/>
      <c r="AC122" s="24"/>
      <c r="AD122" s="24"/>
      <c r="AE122" s="24"/>
      <c r="AF122" s="24"/>
      <c r="AG122" s="22"/>
      <c r="AH122" s="203" t="str">
        <f t="shared" si="13"/>
        <v/>
      </c>
      <c r="AI122" s="204" t="str">
        <f t="shared" si="15"/>
        <v/>
      </c>
      <c r="AJ122" s="205" t="str">
        <f t="shared" si="14"/>
        <v/>
      </c>
      <c r="AK122" s="206">
        <f t="shared" si="12"/>
        <v>0</v>
      </c>
      <c r="AL122" s="168"/>
      <c r="AM122" s="168"/>
      <c r="AN122" s="168"/>
      <c r="AO122" s="168"/>
      <c r="AP122" s="168"/>
      <c r="AQ122" s="168"/>
      <c r="AR122" s="168"/>
      <c r="AS122" s="168"/>
      <c r="AT122" s="168"/>
      <c r="AU122" s="168"/>
      <c r="AV122" s="168"/>
      <c r="AW122" s="168"/>
      <c r="AX122" s="168"/>
      <c r="AY122" s="168"/>
    </row>
    <row r="123" spans="1:51">
      <c r="A123" s="16" t="s">
        <v>34</v>
      </c>
      <c r="B123" s="163"/>
      <c r="C123" s="107"/>
      <c r="D123" s="23"/>
      <c r="E123" s="24"/>
      <c r="F123" s="24"/>
      <c r="G123" s="24"/>
      <c r="H123" s="24"/>
      <c r="I123" s="24"/>
      <c r="J123" s="24"/>
      <c r="K123" s="24"/>
      <c r="L123" s="24"/>
      <c r="M123" s="22"/>
      <c r="N123" s="23"/>
      <c r="O123" s="24"/>
      <c r="P123" s="24"/>
      <c r="Q123" s="24"/>
      <c r="R123" s="24"/>
      <c r="S123" s="24"/>
      <c r="T123" s="24"/>
      <c r="U123" s="24"/>
      <c r="V123" s="24"/>
      <c r="W123" s="22"/>
      <c r="X123" s="23"/>
      <c r="Y123" s="24"/>
      <c r="Z123" s="24"/>
      <c r="AA123" s="24"/>
      <c r="AB123" s="24"/>
      <c r="AC123" s="24"/>
      <c r="AD123" s="24"/>
      <c r="AE123" s="24"/>
      <c r="AF123" s="24"/>
      <c r="AG123" s="22"/>
      <c r="AH123" s="203" t="str">
        <f t="shared" si="13"/>
        <v/>
      </c>
      <c r="AI123" s="204" t="str">
        <f t="shared" si="15"/>
        <v/>
      </c>
      <c r="AJ123" s="205" t="str">
        <f t="shared" si="14"/>
        <v/>
      </c>
      <c r="AK123" s="206">
        <f t="shared" si="12"/>
        <v>0</v>
      </c>
      <c r="AL123" s="168"/>
      <c r="AM123" s="168"/>
      <c r="AN123" s="168"/>
      <c r="AO123" s="168"/>
      <c r="AP123" s="168"/>
      <c r="AQ123" s="168"/>
      <c r="AR123" s="168"/>
      <c r="AS123" s="168"/>
      <c r="AT123" s="168"/>
      <c r="AU123" s="168"/>
      <c r="AV123" s="168"/>
      <c r="AW123" s="168"/>
      <c r="AX123" s="168"/>
      <c r="AY123" s="168"/>
    </row>
    <row r="124" spans="1:51">
      <c r="A124" s="16" t="s">
        <v>34</v>
      </c>
      <c r="B124" s="163"/>
      <c r="C124" s="107"/>
      <c r="D124" s="23"/>
      <c r="E124" s="24"/>
      <c r="F124" s="24"/>
      <c r="G124" s="24"/>
      <c r="H124" s="24"/>
      <c r="I124" s="24"/>
      <c r="J124" s="24"/>
      <c r="K124" s="24"/>
      <c r="L124" s="24"/>
      <c r="M124" s="22"/>
      <c r="N124" s="23"/>
      <c r="O124" s="24"/>
      <c r="P124" s="24"/>
      <c r="Q124" s="24"/>
      <c r="R124" s="24"/>
      <c r="S124" s="24"/>
      <c r="T124" s="24"/>
      <c r="U124" s="24"/>
      <c r="V124" s="24"/>
      <c r="W124" s="22"/>
      <c r="X124" s="23"/>
      <c r="Y124" s="24"/>
      <c r="Z124" s="24"/>
      <c r="AA124" s="24"/>
      <c r="AB124" s="24"/>
      <c r="AC124" s="24"/>
      <c r="AD124" s="24"/>
      <c r="AE124" s="24"/>
      <c r="AF124" s="24"/>
      <c r="AG124" s="22"/>
      <c r="AH124" s="203" t="str">
        <f t="shared" si="13"/>
        <v/>
      </c>
      <c r="AI124" s="204" t="str">
        <f t="shared" si="15"/>
        <v/>
      </c>
      <c r="AJ124" s="205" t="str">
        <f t="shared" si="14"/>
        <v/>
      </c>
      <c r="AK124" s="206">
        <f t="shared" si="12"/>
        <v>0</v>
      </c>
      <c r="AL124" s="168"/>
      <c r="AM124" s="168"/>
      <c r="AN124" s="168"/>
      <c r="AO124" s="168"/>
      <c r="AP124" s="168"/>
      <c r="AQ124" s="168"/>
      <c r="AR124" s="168"/>
      <c r="AS124" s="168"/>
      <c r="AT124" s="168"/>
      <c r="AU124" s="168"/>
      <c r="AV124" s="168"/>
      <c r="AW124" s="168"/>
      <c r="AX124" s="168"/>
      <c r="AY124" s="168"/>
    </row>
    <row r="125" spans="1:51">
      <c r="A125" s="16" t="s">
        <v>34</v>
      </c>
      <c r="B125" s="163"/>
      <c r="C125" s="107"/>
      <c r="D125" s="23"/>
      <c r="E125" s="24"/>
      <c r="F125" s="24"/>
      <c r="G125" s="24"/>
      <c r="H125" s="24"/>
      <c r="I125" s="24"/>
      <c r="J125" s="24"/>
      <c r="K125" s="24"/>
      <c r="L125" s="24"/>
      <c r="M125" s="22"/>
      <c r="N125" s="23"/>
      <c r="O125" s="24"/>
      <c r="P125" s="24"/>
      <c r="Q125" s="24"/>
      <c r="R125" s="24"/>
      <c r="S125" s="24"/>
      <c r="T125" s="24"/>
      <c r="U125" s="24"/>
      <c r="V125" s="24"/>
      <c r="W125" s="22"/>
      <c r="X125" s="23"/>
      <c r="Y125" s="24"/>
      <c r="Z125" s="24"/>
      <c r="AA125" s="24"/>
      <c r="AB125" s="24"/>
      <c r="AC125" s="24"/>
      <c r="AD125" s="24"/>
      <c r="AE125" s="24"/>
      <c r="AF125" s="24"/>
      <c r="AG125" s="22"/>
      <c r="AH125" s="203" t="str">
        <f t="shared" si="13"/>
        <v/>
      </c>
      <c r="AI125" s="204" t="str">
        <f t="shared" si="15"/>
        <v/>
      </c>
      <c r="AJ125" s="205" t="str">
        <f t="shared" si="14"/>
        <v/>
      </c>
      <c r="AK125" s="206">
        <f t="shared" si="12"/>
        <v>0</v>
      </c>
      <c r="AL125" s="168"/>
      <c r="AM125" s="168"/>
      <c r="AN125" s="168"/>
      <c r="AO125" s="168"/>
      <c r="AP125" s="168"/>
      <c r="AQ125" s="168"/>
      <c r="AR125" s="168"/>
      <c r="AS125" s="168"/>
      <c r="AT125" s="168"/>
      <c r="AU125" s="168"/>
      <c r="AV125" s="168"/>
      <c r="AW125" s="168"/>
      <c r="AX125" s="168"/>
      <c r="AY125" s="168"/>
    </row>
    <row r="126" spans="1:51">
      <c r="A126" s="16" t="s">
        <v>34</v>
      </c>
      <c r="B126" s="163"/>
      <c r="C126" s="107"/>
      <c r="D126" s="23"/>
      <c r="E126" s="24"/>
      <c r="F126" s="24"/>
      <c r="G126" s="24"/>
      <c r="H126" s="24"/>
      <c r="I126" s="24"/>
      <c r="J126" s="24"/>
      <c r="K126" s="24"/>
      <c r="L126" s="24"/>
      <c r="M126" s="22"/>
      <c r="N126" s="23"/>
      <c r="O126" s="24"/>
      <c r="P126" s="24"/>
      <c r="Q126" s="24"/>
      <c r="R126" s="24"/>
      <c r="S126" s="24"/>
      <c r="T126" s="24"/>
      <c r="U126" s="24"/>
      <c r="V126" s="24"/>
      <c r="W126" s="22"/>
      <c r="X126" s="23"/>
      <c r="Y126" s="24"/>
      <c r="Z126" s="24"/>
      <c r="AA126" s="24"/>
      <c r="AB126" s="24"/>
      <c r="AC126" s="24"/>
      <c r="AD126" s="24"/>
      <c r="AE126" s="24"/>
      <c r="AF126" s="24"/>
      <c r="AG126" s="22"/>
      <c r="AH126" s="203" t="str">
        <f t="shared" si="13"/>
        <v/>
      </c>
      <c r="AI126" s="204" t="str">
        <f t="shared" si="15"/>
        <v/>
      </c>
      <c r="AJ126" s="205" t="str">
        <f t="shared" si="14"/>
        <v/>
      </c>
      <c r="AK126" s="206">
        <f t="shared" si="12"/>
        <v>0</v>
      </c>
      <c r="AL126" s="168"/>
      <c r="AM126" s="168"/>
      <c r="AN126" s="168"/>
      <c r="AO126" s="168"/>
      <c r="AP126" s="168"/>
      <c r="AQ126" s="168"/>
      <c r="AR126" s="168"/>
      <c r="AS126" s="168"/>
      <c r="AT126" s="168"/>
      <c r="AU126" s="168"/>
      <c r="AV126" s="168"/>
      <c r="AW126" s="168"/>
      <c r="AX126" s="168"/>
      <c r="AY126" s="168"/>
    </row>
    <row r="127" spans="1:51">
      <c r="A127" s="16" t="s">
        <v>34</v>
      </c>
      <c r="B127" s="163"/>
      <c r="C127" s="107"/>
      <c r="D127" s="23"/>
      <c r="E127" s="24"/>
      <c r="F127" s="24"/>
      <c r="G127" s="24"/>
      <c r="H127" s="24"/>
      <c r="I127" s="24"/>
      <c r="J127" s="24"/>
      <c r="K127" s="24"/>
      <c r="L127" s="24"/>
      <c r="M127" s="22"/>
      <c r="N127" s="23"/>
      <c r="O127" s="24"/>
      <c r="P127" s="24"/>
      <c r="Q127" s="24"/>
      <c r="R127" s="24"/>
      <c r="S127" s="24"/>
      <c r="T127" s="24"/>
      <c r="U127" s="24"/>
      <c r="V127" s="24"/>
      <c r="W127" s="22"/>
      <c r="X127" s="23"/>
      <c r="Y127" s="24"/>
      <c r="Z127" s="24"/>
      <c r="AA127" s="24"/>
      <c r="AB127" s="24"/>
      <c r="AC127" s="24"/>
      <c r="AD127" s="24"/>
      <c r="AE127" s="24"/>
      <c r="AF127" s="24"/>
      <c r="AG127" s="22"/>
      <c r="AH127" s="203" t="str">
        <f t="shared" si="13"/>
        <v/>
      </c>
      <c r="AI127" s="204" t="str">
        <f t="shared" si="15"/>
        <v/>
      </c>
      <c r="AJ127" s="205" t="str">
        <f t="shared" si="14"/>
        <v/>
      </c>
      <c r="AK127" s="206">
        <f t="shared" si="12"/>
        <v>0</v>
      </c>
      <c r="AL127" s="168"/>
      <c r="AM127" s="168"/>
      <c r="AN127" s="168"/>
      <c r="AO127" s="168"/>
      <c r="AP127" s="168"/>
      <c r="AQ127" s="168"/>
      <c r="AR127" s="168"/>
      <c r="AS127" s="168"/>
      <c r="AT127" s="168"/>
      <c r="AU127" s="168"/>
      <c r="AV127" s="168"/>
      <c r="AW127" s="168"/>
      <c r="AX127" s="168"/>
      <c r="AY127" s="168"/>
    </row>
    <row r="128" spans="1:51">
      <c r="A128" s="16" t="s">
        <v>34</v>
      </c>
      <c r="B128" s="163"/>
      <c r="C128" s="107"/>
      <c r="D128" s="23"/>
      <c r="E128" s="24"/>
      <c r="F128" s="24"/>
      <c r="G128" s="24"/>
      <c r="H128" s="24"/>
      <c r="I128" s="24"/>
      <c r="J128" s="24"/>
      <c r="K128" s="24"/>
      <c r="L128" s="24"/>
      <c r="M128" s="22"/>
      <c r="N128" s="23"/>
      <c r="O128" s="24"/>
      <c r="P128" s="24"/>
      <c r="Q128" s="24"/>
      <c r="R128" s="24"/>
      <c r="S128" s="24"/>
      <c r="T128" s="24"/>
      <c r="U128" s="24"/>
      <c r="V128" s="24"/>
      <c r="W128" s="22"/>
      <c r="X128" s="23"/>
      <c r="Y128" s="24"/>
      <c r="Z128" s="24"/>
      <c r="AA128" s="24"/>
      <c r="AB128" s="24"/>
      <c r="AC128" s="24"/>
      <c r="AD128" s="24"/>
      <c r="AE128" s="24"/>
      <c r="AF128" s="24"/>
      <c r="AG128" s="22"/>
      <c r="AH128" s="203" t="str">
        <f t="shared" si="13"/>
        <v/>
      </c>
      <c r="AI128" s="204" t="str">
        <f t="shared" si="15"/>
        <v/>
      </c>
      <c r="AJ128" s="205" t="str">
        <f t="shared" si="14"/>
        <v/>
      </c>
      <c r="AK128" s="206">
        <f t="shared" si="12"/>
        <v>0</v>
      </c>
      <c r="AL128" s="168"/>
      <c r="AM128" s="168"/>
      <c r="AN128" s="168"/>
      <c r="AO128" s="168"/>
      <c r="AP128" s="168"/>
      <c r="AQ128" s="168"/>
      <c r="AR128" s="168"/>
      <c r="AS128" s="168"/>
      <c r="AT128" s="168"/>
      <c r="AU128" s="168"/>
      <c r="AV128" s="168"/>
      <c r="AW128" s="168"/>
      <c r="AX128" s="168"/>
      <c r="AY128" s="168"/>
    </row>
    <row r="129" spans="1:51">
      <c r="A129" s="16" t="s">
        <v>34</v>
      </c>
      <c r="B129" s="163"/>
      <c r="C129" s="107"/>
      <c r="D129" s="23"/>
      <c r="E129" s="24"/>
      <c r="F129" s="24"/>
      <c r="G129" s="24"/>
      <c r="H129" s="24"/>
      <c r="I129" s="24"/>
      <c r="J129" s="24"/>
      <c r="K129" s="24"/>
      <c r="L129" s="24"/>
      <c r="M129" s="22"/>
      <c r="N129" s="23"/>
      <c r="O129" s="24"/>
      <c r="P129" s="24"/>
      <c r="Q129" s="24"/>
      <c r="R129" s="24"/>
      <c r="S129" s="24"/>
      <c r="T129" s="24"/>
      <c r="U129" s="24"/>
      <c r="V129" s="24"/>
      <c r="W129" s="22"/>
      <c r="X129" s="23"/>
      <c r="Y129" s="24"/>
      <c r="Z129" s="24"/>
      <c r="AA129" s="24"/>
      <c r="AB129" s="24"/>
      <c r="AC129" s="24"/>
      <c r="AD129" s="24"/>
      <c r="AE129" s="24"/>
      <c r="AF129" s="24"/>
      <c r="AG129" s="22"/>
      <c r="AH129" s="203" t="str">
        <f t="shared" si="13"/>
        <v/>
      </c>
      <c r="AI129" s="204" t="str">
        <f t="shared" si="15"/>
        <v/>
      </c>
      <c r="AJ129" s="205" t="str">
        <f t="shared" si="14"/>
        <v/>
      </c>
      <c r="AK129" s="206">
        <f t="shared" si="12"/>
        <v>0</v>
      </c>
      <c r="AL129" s="168"/>
      <c r="AM129" s="168"/>
      <c r="AN129" s="168"/>
      <c r="AO129" s="168"/>
      <c r="AP129" s="168"/>
      <c r="AQ129" s="168"/>
      <c r="AR129" s="168"/>
      <c r="AS129" s="168"/>
      <c r="AT129" s="168"/>
      <c r="AU129" s="168"/>
      <c r="AV129" s="168"/>
      <c r="AW129" s="168"/>
      <c r="AX129" s="168"/>
      <c r="AY129" s="168"/>
    </row>
    <row r="130" spans="1:51">
      <c r="A130" s="16" t="s">
        <v>34</v>
      </c>
      <c r="B130" s="163"/>
      <c r="C130" s="107"/>
      <c r="D130" s="23"/>
      <c r="E130" s="24"/>
      <c r="F130" s="24"/>
      <c r="G130" s="24"/>
      <c r="H130" s="24"/>
      <c r="I130" s="24"/>
      <c r="J130" s="24"/>
      <c r="K130" s="24"/>
      <c r="L130" s="24"/>
      <c r="M130" s="22"/>
      <c r="N130" s="23"/>
      <c r="O130" s="24"/>
      <c r="P130" s="24"/>
      <c r="Q130" s="24"/>
      <c r="R130" s="24"/>
      <c r="S130" s="24"/>
      <c r="T130" s="24"/>
      <c r="U130" s="24"/>
      <c r="V130" s="24"/>
      <c r="W130" s="22"/>
      <c r="X130" s="23"/>
      <c r="Y130" s="24"/>
      <c r="Z130" s="24"/>
      <c r="AA130" s="24"/>
      <c r="AB130" s="24"/>
      <c r="AC130" s="24"/>
      <c r="AD130" s="24"/>
      <c r="AE130" s="24"/>
      <c r="AF130" s="24"/>
      <c r="AG130" s="22"/>
      <c r="AH130" s="203" t="str">
        <f t="shared" si="13"/>
        <v/>
      </c>
      <c r="AI130" s="204" t="str">
        <f t="shared" si="15"/>
        <v/>
      </c>
      <c r="AJ130" s="205" t="str">
        <f t="shared" si="14"/>
        <v/>
      </c>
      <c r="AK130" s="206">
        <f t="shared" si="12"/>
        <v>0</v>
      </c>
      <c r="AL130" s="168"/>
      <c r="AM130" s="168"/>
      <c r="AN130" s="168"/>
      <c r="AO130" s="168"/>
      <c r="AP130" s="168"/>
      <c r="AQ130" s="168"/>
      <c r="AR130" s="168"/>
      <c r="AS130" s="168"/>
      <c r="AT130" s="168"/>
      <c r="AU130" s="168"/>
      <c r="AV130" s="168"/>
      <c r="AW130" s="168"/>
      <c r="AX130" s="168"/>
      <c r="AY130" s="168"/>
    </row>
    <row r="131" spans="1:51">
      <c r="A131" s="16" t="s">
        <v>34</v>
      </c>
      <c r="B131" s="163"/>
      <c r="C131" s="107"/>
      <c r="D131" s="23"/>
      <c r="E131" s="24"/>
      <c r="F131" s="24"/>
      <c r="G131" s="24"/>
      <c r="H131" s="24"/>
      <c r="I131" s="24"/>
      <c r="J131" s="24"/>
      <c r="K131" s="24"/>
      <c r="L131" s="24"/>
      <c r="M131" s="22"/>
      <c r="N131" s="23"/>
      <c r="O131" s="24"/>
      <c r="P131" s="24"/>
      <c r="Q131" s="24"/>
      <c r="R131" s="24"/>
      <c r="S131" s="24"/>
      <c r="T131" s="24"/>
      <c r="U131" s="24"/>
      <c r="V131" s="24"/>
      <c r="W131" s="22"/>
      <c r="X131" s="23"/>
      <c r="Y131" s="24"/>
      <c r="Z131" s="24"/>
      <c r="AA131" s="24"/>
      <c r="AB131" s="24"/>
      <c r="AC131" s="24"/>
      <c r="AD131" s="24"/>
      <c r="AE131" s="24"/>
      <c r="AF131" s="24"/>
      <c r="AG131" s="22"/>
      <c r="AH131" s="203" t="str">
        <f t="shared" si="13"/>
        <v/>
      </c>
      <c r="AI131" s="204" t="str">
        <f t="shared" si="15"/>
        <v/>
      </c>
      <c r="AJ131" s="205" t="str">
        <f t="shared" si="14"/>
        <v/>
      </c>
      <c r="AK131" s="206">
        <f t="shared" si="12"/>
        <v>0</v>
      </c>
      <c r="AL131" s="168"/>
      <c r="AM131" s="168"/>
      <c r="AN131" s="168"/>
      <c r="AO131" s="168"/>
      <c r="AP131" s="168"/>
      <c r="AQ131" s="168"/>
      <c r="AR131" s="168"/>
      <c r="AS131" s="168"/>
      <c r="AT131" s="168"/>
      <c r="AU131" s="168"/>
      <c r="AV131" s="168"/>
      <c r="AW131" s="168"/>
      <c r="AX131" s="168"/>
      <c r="AY131" s="168"/>
    </row>
    <row r="132" spans="1:51">
      <c r="A132" s="16" t="s">
        <v>34</v>
      </c>
      <c r="B132" s="163"/>
      <c r="C132" s="107"/>
      <c r="D132" s="23"/>
      <c r="E132" s="24"/>
      <c r="F132" s="24"/>
      <c r="G132" s="24"/>
      <c r="H132" s="24"/>
      <c r="I132" s="24"/>
      <c r="J132" s="24"/>
      <c r="K132" s="24"/>
      <c r="L132" s="24"/>
      <c r="M132" s="22"/>
      <c r="N132" s="23"/>
      <c r="O132" s="24"/>
      <c r="P132" s="24"/>
      <c r="Q132" s="24"/>
      <c r="R132" s="24"/>
      <c r="S132" s="24"/>
      <c r="T132" s="24"/>
      <c r="U132" s="24"/>
      <c r="V132" s="24"/>
      <c r="W132" s="22"/>
      <c r="X132" s="23"/>
      <c r="Y132" s="24"/>
      <c r="Z132" s="24"/>
      <c r="AA132" s="24"/>
      <c r="AB132" s="24"/>
      <c r="AC132" s="24"/>
      <c r="AD132" s="24"/>
      <c r="AE132" s="24"/>
      <c r="AF132" s="24"/>
      <c r="AG132" s="22"/>
      <c r="AH132" s="203" t="str">
        <f t="shared" si="13"/>
        <v/>
      </c>
      <c r="AI132" s="204" t="str">
        <f t="shared" si="15"/>
        <v/>
      </c>
      <c r="AJ132" s="205" t="str">
        <f t="shared" si="14"/>
        <v/>
      </c>
      <c r="AK132" s="206">
        <f t="shared" si="12"/>
        <v>0</v>
      </c>
      <c r="AL132" s="168"/>
      <c r="AM132" s="168"/>
      <c r="AN132" s="168"/>
      <c r="AO132" s="168"/>
      <c r="AP132" s="168"/>
      <c r="AQ132" s="168"/>
      <c r="AR132" s="168"/>
      <c r="AS132" s="168"/>
      <c r="AT132" s="168"/>
      <c r="AU132" s="168"/>
      <c r="AV132" s="168"/>
      <c r="AW132" s="168"/>
      <c r="AX132" s="168"/>
      <c r="AY132" s="168"/>
    </row>
    <row r="133" spans="1:51">
      <c r="A133" s="16" t="s">
        <v>34</v>
      </c>
      <c r="B133" s="163"/>
      <c r="C133" s="107"/>
      <c r="D133" s="23"/>
      <c r="E133" s="24"/>
      <c r="F133" s="24"/>
      <c r="G133" s="24"/>
      <c r="H133" s="24"/>
      <c r="I133" s="24"/>
      <c r="J133" s="24"/>
      <c r="K133" s="24"/>
      <c r="L133" s="24"/>
      <c r="M133" s="22"/>
      <c r="N133" s="23"/>
      <c r="O133" s="24"/>
      <c r="P133" s="24"/>
      <c r="Q133" s="24"/>
      <c r="R133" s="24"/>
      <c r="S133" s="24"/>
      <c r="T133" s="24"/>
      <c r="U133" s="24"/>
      <c r="V133" s="24"/>
      <c r="W133" s="22"/>
      <c r="X133" s="23"/>
      <c r="Y133" s="24"/>
      <c r="Z133" s="24"/>
      <c r="AA133" s="24"/>
      <c r="AB133" s="24"/>
      <c r="AC133" s="24"/>
      <c r="AD133" s="24"/>
      <c r="AE133" s="24"/>
      <c r="AF133" s="24"/>
      <c r="AG133" s="22"/>
      <c r="AH133" s="203" t="str">
        <f t="shared" si="13"/>
        <v/>
      </c>
      <c r="AI133" s="204" t="str">
        <f t="shared" si="15"/>
        <v/>
      </c>
      <c r="AJ133" s="205" t="str">
        <f t="shared" si="14"/>
        <v/>
      </c>
      <c r="AK133" s="206">
        <f t="shared" si="12"/>
        <v>0</v>
      </c>
      <c r="AL133" s="168"/>
      <c r="AM133" s="168"/>
      <c r="AN133" s="168"/>
      <c r="AO133" s="168"/>
      <c r="AP133" s="168"/>
      <c r="AQ133" s="168"/>
      <c r="AR133" s="168"/>
      <c r="AS133" s="168"/>
      <c r="AT133" s="168"/>
      <c r="AU133" s="168"/>
      <c r="AV133" s="168"/>
      <c r="AW133" s="168"/>
      <c r="AX133" s="168"/>
      <c r="AY133" s="168"/>
    </row>
    <row r="134" spans="1:51">
      <c r="A134" s="16" t="s">
        <v>34</v>
      </c>
      <c r="B134" s="163"/>
      <c r="C134" s="107"/>
      <c r="D134" s="23"/>
      <c r="E134" s="24"/>
      <c r="F134" s="24"/>
      <c r="G134" s="24"/>
      <c r="H134" s="24"/>
      <c r="I134" s="24"/>
      <c r="J134" s="24"/>
      <c r="K134" s="24"/>
      <c r="L134" s="24"/>
      <c r="M134" s="22"/>
      <c r="N134" s="23"/>
      <c r="O134" s="24"/>
      <c r="P134" s="24"/>
      <c r="Q134" s="24"/>
      <c r="R134" s="24"/>
      <c r="S134" s="24"/>
      <c r="T134" s="24"/>
      <c r="U134" s="24"/>
      <c r="V134" s="24"/>
      <c r="W134" s="22"/>
      <c r="X134" s="23"/>
      <c r="Y134" s="24"/>
      <c r="Z134" s="24"/>
      <c r="AA134" s="24"/>
      <c r="AB134" s="24"/>
      <c r="AC134" s="24"/>
      <c r="AD134" s="24"/>
      <c r="AE134" s="24"/>
      <c r="AF134" s="24"/>
      <c r="AG134" s="22"/>
      <c r="AH134" s="203" t="str">
        <f t="shared" si="13"/>
        <v/>
      </c>
      <c r="AI134" s="204" t="str">
        <f t="shared" si="15"/>
        <v/>
      </c>
      <c r="AJ134" s="205" t="str">
        <f t="shared" si="14"/>
        <v/>
      </c>
      <c r="AK134" s="206">
        <f t="shared" si="12"/>
        <v>0</v>
      </c>
      <c r="AL134" s="168"/>
      <c r="AM134" s="168"/>
      <c r="AN134" s="168"/>
      <c r="AO134" s="168"/>
      <c r="AP134" s="168"/>
      <c r="AQ134" s="168"/>
      <c r="AR134" s="168"/>
      <c r="AS134" s="168"/>
      <c r="AT134" s="168"/>
      <c r="AU134" s="168"/>
      <c r="AV134" s="168"/>
      <c r="AW134" s="168"/>
      <c r="AX134" s="168"/>
      <c r="AY134" s="168"/>
    </row>
    <row r="135" spans="1:51" ht="13" thickBot="1">
      <c r="A135" s="17" t="s">
        <v>34</v>
      </c>
      <c r="B135" s="164"/>
      <c r="C135" s="113"/>
      <c r="D135" s="31"/>
      <c r="E135" s="32"/>
      <c r="F135" s="32"/>
      <c r="G135" s="32"/>
      <c r="H135" s="32"/>
      <c r="I135" s="32"/>
      <c r="J135" s="32"/>
      <c r="K135" s="32"/>
      <c r="L135" s="32"/>
      <c r="M135" s="30"/>
      <c r="N135" s="31"/>
      <c r="O135" s="32"/>
      <c r="P135" s="32"/>
      <c r="Q135" s="32"/>
      <c r="R135" s="32"/>
      <c r="S135" s="32"/>
      <c r="T135" s="32"/>
      <c r="U135" s="32"/>
      <c r="V135" s="32"/>
      <c r="W135" s="30"/>
      <c r="X135" s="31"/>
      <c r="Y135" s="32"/>
      <c r="Z135" s="32"/>
      <c r="AA135" s="32"/>
      <c r="AB135" s="32"/>
      <c r="AC135" s="32"/>
      <c r="AD135" s="32"/>
      <c r="AE135" s="32"/>
      <c r="AF135" s="32"/>
      <c r="AG135" s="30"/>
      <c r="AH135" s="207" t="str">
        <f t="shared" si="13"/>
        <v/>
      </c>
      <c r="AI135" s="208" t="str">
        <f t="shared" si="15"/>
        <v/>
      </c>
      <c r="AJ135" s="185" t="str">
        <f t="shared" si="14"/>
        <v/>
      </c>
      <c r="AK135" s="209">
        <f t="shared" si="12"/>
        <v>0</v>
      </c>
      <c r="AL135" s="168"/>
      <c r="AM135" s="168"/>
      <c r="AN135" s="168"/>
      <c r="AO135" s="168"/>
      <c r="AP135" s="168"/>
      <c r="AQ135" s="168"/>
      <c r="AR135" s="168"/>
      <c r="AS135" s="168"/>
      <c r="AT135" s="168"/>
      <c r="AU135" s="168"/>
      <c r="AV135" s="168"/>
      <c r="AW135" s="168"/>
      <c r="AX135" s="168"/>
      <c r="AY135" s="168"/>
    </row>
    <row r="136" spans="1:51" ht="13" thickBot="1">
      <c r="A136" s="294" t="s">
        <v>33</v>
      </c>
      <c r="B136" s="154"/>
      <c r="C136" s="154"/>
      <c r="D136" s="92"/>
      <c r="E136" s="93"/>
      <c r="F136" s="93"/>
      <c r="G136" s="93"/>
      <c r="H136" s="93"/>
      <c r="I136" s="93"/>
      <c r="J136" s="93"/>
      <c r="K136" s="93"/>
      <c r="L136" s="93"/>
      <c r="M136" s="96"/>
      <c r="N136" s="92"/>
      <c r="O136" s="93"/>
      <c r="P136" s="93"/>
      <c r="Q136" s="93"/>
      <c r="R136" s="93"/>
      <c r="S136" s="93"/>
      <c r="T136" s="93"/>
      <c r="U136" s="93"/>
      <c r="V136" s="93"/>
      <c r="W136" s="96"/>
      <c r="X136" s="354"/>
      <c r="Y136" s="355"/>
      <c r="Z136" s="355"/>
      <c r="AA136" s="355"/>
      <c r="AB136" s="355"/>
      <c r="AC136" s="355"/>
      <c r="AD136" s="355"/>
      <c r="AE136" s="355"/>
      <c r="AF136" s="355"/>
      <c r="AG136" s="356"/>
      <c r="AH136" s="304" t="s">
        <v>49</v>
      </c>
      <c r="AI136" s="305" t="s">
        <v>50</v>
      </c>
      <c r="AJ136" s="305" t="s">
        <v>51</v>
      </c>
      <c r="AK136" s="210"/>
      <c r="AL136" s="168"/>
      <c r="AM136" s="168"/>
      <c r="AN136" s="168"/>
      <c r="AO136" s="168"/>
      <c r="AP136" s="168"/>
      <c r="AQ136" s="168"/>
      <c r="AR136" s="168"/>
      <c r="AS136" s="168"/>
      <c r="AT136" s="168"/>
      <c r="AU136" s="168"/>
      <c r="AV136" s="168"/>
      <c r="AW136" s="168"/>
      <c r="AX136" s="168"/>
      <c r="AY136" s="168"/>
    </row>
    <row r="137" spans="1:51">
      <c r="A137" s="15" t="s">
        <v>33</v>
      </c>
      <c r="B137" s="163">
        <v>41054</v>
      </c>
      <c r="C137" s="107" t="s">
        <v>87</v>
      </c>
      <c r="D137" s="23">
        <v>0</v>
      </c>
      <c r="E137" s="24">
        <v>0</v>
      </c>
      <c r="F137" s="24">
        <v>0</v>
      </c>
      <c r="G137" s="24">
        <v>0</v>
      </c>
      <c r="H137" s="24">
        <v>0</v>
      </c>
      <c r="I137" s="24">
        <v>0</v>
      </c>
      <c r="J137" s="24">
        <v>0</v>
      </c>
      <c r="K137" s="24">
        <v>0</v>
      </c>
      <c r="L137" s="24">
        <v>0</v>
      </c>
      <c r="M137" s="22">
        <v>0</v>
      </c>
      <c r="N137" s="23"/>
      <c r="O137" s="24"/>
      <c r="P137" s="24"/>
      <c r="Q137" s="24"/>
      <c r="R137" s="24"/>
      <c r="S137" s="24"/>
      <c r="T137" s="24"/>
      <c r="U137" s="24"/>
      <c r="V137" s="24"/>
      <c r="W137" s="22"/>
      <c r="X137" s="23"/>
      <c r="Y137" s="24"/>
      <c r="Z137" s="24"/>
      <c r="AA137" s="24"/>
      <c r="AB137" s="24"/>
      <c r="AC137" s="24"/>
      <c r="AD137" s="24"/>
      <c r="AE137" s="24"/>
      <c r="AF137" s="24"/>
      <c r="AG137" s="22"/>
      <c r="AH137" s="199">
        <f t="shared" ref="AH137:AH166" si="16">IF(COUNT(D137:M137)=0,"",AVERAGE(D137:M137))</f>
        <v>0</v>
      </c>
      <c r="AI137" s="200" t="str">
        <f t="shared" ref="AI137:AI166" si="17">IF(COUNT(N137:W137)=0,"",AVERAGE(N137:W137))</f>
        <v/>
      </c>
      <c r="AJ137" s="205" t="str">
        <f t="shared" ref="AJ137:AJ166" si="18">IF(COUNT(X137:AG137)=0,"",AVERAGE(X137:AG137))</f>
        <v/>
      </c>
      <c r="AK137" s="202">
        <f t="shared" ref="AK137:AK166" si="19">IF(ISNUMBER(AH137),AH137,0)+IF(ISNUMBER(AI137),AI137,0)+IF(ISNUMBER(AJ137),AJ137,0)</f>
        <v>0</v>
      </c>
      <c r="AL137" s="168"/>
      <c r="AM137" s="168"/>
      <c r="AN137" s="168"/>
      <c r="AO137" s="168"/>
      <c r="AP137" s="168"/>
      <c r="AQ137" s="168"/>
      <c r="AR137" s="168"/>
      <c r="AS137" s="168"/>
      <c r="AT137" s="168"/>
      <c r="AU137" s="168"/>
      <c r="AV137" s="168"/>
      <c r="AW137" s="168"/>
      <c r="AX137" s="168"/>
      <c r="AY137" s="168"/>
    </row>
    <row r="138" spans="1:51">
      <c r="A138" s="16" t="s">
        <v>33</v>
      </c>
      <c r="B138" s="163">
        <v>41060</v>
      </c>
      <c r="C138" s="107" t="s">
        <v>87</v>
      </c>
      <c r="D138" s="23">
        <v>2</v>
      </c>
      <c r="E138" s="24">
        <v>0</v>
      </c>
      <c r="F138" s="24">
        <v>0</v>
      </c>
      <c r="G138" s="24">
        <v>0</v>
      </c>
      <c r="H138" s="24">
        <v>0</v>
      </c>
      <c r="I138" s="24">
        <v>0</v>
      </c>
      <c r="J138" s="24">
        <v>0</v>
      </c>
      <c r="K138" s="24">
        <v>0</v>
      </c>
      <c r="L138" s="24">
        <v>0</v>
      </c>
      <c r="M138" s="22">
        <v>0</v>
      </c>
      <c r="N138" s="23"/>
      <c r="O138" s="24"/>
      <c r="P138" s="24"/>
      <c r="Q138" s="24"/>
      <c r="R138" s="24"/>
      <c r="S138" s="24"/>
      <c r="T138" s="24"/>
      <c r="U138" s="24"/>
      <c r="V138" s="24"/>
      <c r="W138" s="22"/>
      <c r="X138" s="23"/>
      <c r="Y138" s="24"/>
      <c r="Z138" s="24"/>
      <c r="AA138" s="24"/>
      <c r="AB138" s="24"/>
      <c r="AC138" s="24"/>
      <c r="AD138" s="24"/>
      <c r="AE138" s="24"/>
      <c r="AF138" s="24"/>
      <c r="AG138" s="22"/>
      <c r="AH138" s="203">
        <f t="shared" si="16"/>
        <v>0.2</v>
      </c>
      <c r="AI138" s="204" t="str">
        <f t="shared" si="17"/>
        <v/>
      </c>
      <c r="AJ138" s="205" t="str">
        <f t="shared" si="18"/>
        <v/>
      </c>
      <c r="AK138" s="206">
        <f t="shared" si="19"/>
        <v>0.2</v>
      </c>
      <c r="AL138" s="168"/>
      <c r="AM138" s="168"/>
      <c r="AN138" s="168"/>
      <c r="AO138" s="168"/>
      <c r="AP138" s="168"/>
      <c r="AQ138" s="168"/>
      <c r="AR138" s="168"/>
      <c r="AS138" s="168"/>
      <c r="AT138" s="168"/>
      <c r="AU138" s="168"/>
      <c r="AV138" s="168"/>
      <c r="AW138" s="168"/>
      <c r="AX138" s="168"/>
      <c r="AY138" s="168"/>
    </row>
    <row r="139" spans="1:51">
      <c r="A139" s="16" t="s">
        <v>33</v>
      </c>
      <c r="B139" s="163">
        <v>41067</v>
      </c>
      <c r="C139" s="107" t="s">
        <v>87</v>
      </c>
      <c r="D139" s="23">
        <v>50</v>
      </c>
      <c r="E139" s="24">
        <v>10</v>
      </c>
      <c r="F139" s="24">
        <v>14</v>
      </c>
      <c r="G139" s="24">
        <v>42</v>
      </c>
      <c r="H139" s="24">
        <v>80</v>
      </c>
      <c r="I139" s="24">
        <v>12</v>
      </c>
      <c r="J139" s="24">
        <v>80</v>
      </c>
      <c r="K139" s="24">
        <v>7</v>
      </c>
      <c r="L139" s="24">
        <v>9</v>
      </c>
      <c r="M139" s="22">
        <v>12</v>
      </c>
      <c r="N139" s="23"/>
      <c r="O139" s="24"/>
      <c r="P139" s="24"/>
      <c r="Q139" s="24"/>
      <c r="R139" s="24"/>
      <c r="S139" s="24"/>
      <c r="T139" s="24"/>
      <c r="U139" s="24"/>
      <c r="V139" s="24"/>
      <c r="W139" s="22"/>
      <c r="X139" s="23"/>
      <c r="Y139" s="24"/>
      <c r="Z139" s="24"/>
      <c r="AA139" s="24"/>
      <c r="AB139" s="24"/>
      <c r="AC139" s="24"/>
      <c r="AD139" s="24"/>
      <c r="AE139" s="24"/>
      <c r="AF139" s="24"/>
      <c r="AG139" s="22"/>
      <c r="AH139" s="203">
        <f t="shared" si="16"/>
        <v>31.6</v>
      </c>
      <c r="AI139" s="204" t="str">
        <f t="shared" si="17"/>
        <v/>
      </c>
      <c r="AJ139" s="205" t="str">
        <f t="shared" si="18"/>
        <v/>
      </c>
      <c r="AK139" s="206">
        <f t="shared" si="19"/>
        <v>31.6</v>
      </c>
      <c r="AL139" s="168"/>
      <c r="AM139" s="168"/>
      <c r="AN139" s="168"/>
      <c r="AO139" s="168"/>
      <c r="AP139" s="168"/>
      <c r="AQ139" s="168"/>
      <c r="AR139" s="168"/>
      <c r="AS139" s="168"/>
      <c r="AT139" s="168"/>
      <c r="AU139" s="168"/>
      <c r="AV139" s="168"/>
      <c r="AW139" s="168"/>
      <c r="AX139" s="168"/>
      <c r="AY139" s="168"/>
    </row>
    <row r="140" spans="1:51">
      <c r="A140" s="16" t="s">
        <v>33</v>
      </c>
      <c r="B140" s="163">
        <v>41072</v>
      </c>
      <c r="C140" s="107" t="s">
        <v>88</v>
      </c>
      <c r="D140" s="23">
        <v>56</v>
      </c>
      <c r="E140" s="24">
        <v>78</v>
      </c>
      <c r="F140" s="24">
        <v>82</v>
      </c>
      <c r="G140" s="24">
        <v>74</v>
      </c>
      <c r="H140" s="24">
        <v>105</v>
      </c>
      <c r="I140" s="24">
        <v>19</v>
      </c>
      <c r="J140" s="24">
        <v>128</v>
      </c>
      <c r="K140" s="24">
        <v>15</v>
      </c>
      <c r="L140" s="24">
        <v>233</v>
      </c>
      <c r="M140" s="22">
        <v>68</v>
      </c>
      <c r="N140" s="23">
        <v>3</v>
      </c>
      <c r="O140" s="24">
        <v>0</v>
      </c>
      <c r="P140" s="24">
        <v>0</v>
      </c>
      <c r="Q140" s="24">
        <v>1</v>
      </c>
      <c r="R140" s="24">
        <v>2</v>
      </c>
      <c r="S140" s="24">
        <v>0</v>
      </c>
      <c r="T140" s="24">
        <v>0</v>
      </c>
      <c r="U140" s="24">
        <v>1</v>
      </c>
      <c r="V140" s="24">
        <v>0</v>
      </c>
      <c r="W140" s="22">
        <v>1</v>
      </c>
      <c r="X140" s="23"/>
      <c r="Y140" s="24"/>
      <c r="Z140" s="24"/>
      <c r="AA140" s="24"/>
      <c r="AB140" s="24"/>
      <c r="AC140" s="24"/>
      <c r="AD140" s="24"/>
      <c r="AE140" s="24"/>
      <c r="AF140" s="24"/>
      <c r="AG140" s="22"/>
      <c r="AH140" s="203">
        <f t="shared" si="16"/>
        <v>85.8</v>
      </c>
      <c r="AI140" s="204">
        <f t="shared" si="17"/>
        <v>0.8</v>
      </c>
      <c r="AJ140" s="205" t="str">
        <f t="shared" si="18"/>
        <v/>
      </c>
      <c r="AK140" s="206">
        <f t="shared" si="19"/>
        <v>86.6</v>
      </c>
      <c r="AL140" s="168"/>
      <c r="AM140" s="168"/>
      <c r="AN140" s="168"/>
      <c r="AO140" s="168"/>
      <c r="AP140" s="168"/>
      <c r="AQ140" s="168"/>
      <c r="AR140" s="168"/>
      <c r="AS140" s="168"/>
      <c r="AT140" s="168"/>
      <c r="AU140" s="168"/>
      <c r="AV140" s="168"/>
      <c r="AW140" s="168"/>
      <c r="AX140" s="168"/>
      <c r="AY140" s="168"/>
    </row>
    <row r="141" spans="1:51">
      <c r="A141" s="16" t="s">
        <v>33</v>
      </c>
      <c r="B141" s="163">
        <v>41079</v>
      </c>
      <c r="C141" s="107" t="s">
        <v>88</v>
      </c>
      <c r="D141" s="23">
        <v>0</v>
      </c>
      <c r="E141" s="24">
        <v>1</v>
      </c>
      <c r="F141" s="24">
        <v>7</v>
      </c>
      <c r="G141" s="24">
        <v>0</v>
      </c>
      <c r="H141" s="24">
        <v>1</v>
      </c>
      <c r="I141" s="24">
        <v>0</v>
      </c>
      <c r="J141" s="24">
        <v>0</v>
      </c>
      <c r="K141" s="24">
        <v>0</v>
      </c>
      <c r="L141" s="24">
        <v>1</v>
      </c>
      <c r="M141" s="22">
        <v>0</v>
      </c>
      <c r="N141" s="23">
        <v>55</v>
      </c>
      <c r="O141" s="24">
        <v>82</v>
      </c>
      <c r="P141" s="24">
        <v>80</v>
      </c>
      <c r="Q141" s="24">
        <v>74</v>
      </c>
      <c r="R141" s="24">
        <v>108</v>
      </c>
      <c r="S141" s="24">
        <v>20</v>
      </c>
      <c r="T141" s="24">
        <v>136</v>
      </c>
      <c r="U141" s="24">
        <v>15</v>
      </c>
      <c r="V141" s="24">
        <v>261</v>
      </c>
      <c r="W141" s="22">
        <v>73</v>
      </c>
      <c r="X141" s="23"/>
      <c r="Y141" s="24"/>
      <c r="Z141" s="24"/>
      <c r="AA141" s="24"/>
      <c r="AB141" s="24"/>
      <c r="AC141" s="24"/>
      <c r="AD141" s="24"/>
      <c r="AE141" s="24"/>
      <c r="AF141" s="24"/>
      <c r="AG141" s="22"/>
      <c r="AH141" s="203">
        <f t="shared" si="16"/>
        <v>1</v>
      </c>
      <c r="AI141" s="204">
        <f t="shared" si="17"/>
        <v>90.4</v>
      </c>
      <c r="AJ141" s="205" t="str">
        <f t="shared" si="18"/>
        <v/>
      </c>
      <c r="AK141" s="206">
        <f t="shared" si="19"/>
        <v>91.4</v>
      </c>
      <c r="AL141" s="168"/>
      <c r="AM141" s="168"/>
      <c r="AN141" s="168"/>
      <c r="AO141" s="168"/>
      <c r="AP141" s="168"/>
      <c r="AQ141" s="168"/>
      <c r="AR141" s="168"/>
      <c r="AS141" s="168"/>
      <c r="AT141" s="168"/>
      <c r="AU141" s="168"/>
      <c r="AV141" s="168"/>
      <c r="AW141" s="168"/>
      <c r="AX141" s="168"/>
      <c r="AY141" s="168"/>
    </row>
    <row r="142" spans="1:51">
      <c r="A142" s="16" t="s">
        <v>33</v>
      </c>
      <c r="B142" s="163">
        <v>41088</v>
      </c>
      <c r="C142" s="107" t="s">
        <v>88</v>
      </c>
      <c r="D142" s="23">
        <v>0</v>
      </c>
      <c r="E142" s="24">
        <v>0</v>
      </c>
      <c r="F142" s="24">
        <v>0</v>
      </c>
      <c r="G142" s="24">
        <v>0</v>
      </c>
      <c r="H142" s="24">
        <v>0</v>
      </c>
      <c r="I142" s="24">
        <v>0</v>
      </c>
      <c r="J142" s="24">
        <v>0</v>
      </c>
      <c r="K142" s="24">
        <v>0</v>
      </c>
      <c r="L142" s="24">
        <v>0</v>
      </c>
      <c r="M142" s="22">
        <v>0</v>
      </c>
      <c r="N142" s="23">
        <v>50</v>
      </c>
      <c r="O142" s="24">
        <v>77</v>
      </c>
      <c r="P142" s="24">
        <v>82</v>
      </c>
      <c r="Q142" s="24">
        <v>62</v>
      </c>
      <c r="R142" s="24">
        <v>106</v>
      </c>
      <c r="S142" s="24">
        <v>21</v>
      </c>
      <c r="T142" s="24">
        <v>136</v>
      </c>
      <c r="U142" s="24">
        <v>13</v>
      </c>
      <c r="V142" s="24">
        <v>240</v>
      </c>
      <c r="W142" s="22">
        <v>75</v>
      </c>
      <c r="X142" s="23"/>
      <c r="Y142" s="24"/>
      <c r="Z142" s="24"/>
      <c r="AA142" s="24"/>
      <c r="AB142" s="24"/>
      <c r="AC142" s="24"/>
      <c r="AD142" s="24"/>
      <c r="AE142" s="24"/>
      <c r="AF142" s="24"/>
      <c r="AG142" s="22"/>
      <c r="AH142" s="203">
        <f t="shared" si="16"/>
        <v>0</v>
      </c>
      <c r="AI142" s="204">
        <f t="shared" si="17"/>
        <v>86.2</v>
      </c>
      <c r="AJ142" s="205" t="str">
        <f t="shared" si="18"/>
        <v/>
      </c>
      <c r="AK142" s="206">
        <f t="shared" si="19"/>
        <v>86.2</v>
      </c>
      <c r="AL142" s="168"/>
      <c r="AM142" s="168"/>
      <c r="AN142" s="168"/>
      <c r="AO142" s="168"/>
      <c r="AP142" s="168"/>
      <c r="AQ142" s="168"/>
      <c r="AR142" s="168"/>
      <c r="AS142" s="168"/>
      <c r="AT142" s="168"/>
      <c r="AU142" s="168"/>
      <c r="AV142" s="168"/>
      <c r="AW142" s="168"/>
      <c r="AX142" s="168"/>
      <c r="AY142" s="168"/>
    </row>
    <row r="143" spans="1:51">
      <c r="A143" s="16" t="s">
        <v>33</v>
      </c>
      <c r="B143" s="163">
        <v>41101</v>
      </c>
      <c r="C143" s="107" t="s">
        <v>89</v>
      </c>
      <c r="D143" s="23">
        <v>0</v>
      </c>
      <c r="E143" s="24">
        <v>0</v>
      </c>
      <c r="F143" s="24">
        <v>0</v>
      </c>
      <c r="G143" s="24">
        <v>0</v>
      </c>
      <c r="H143" s="24">
        <v>0</v>
      </c>
      <c r="I143" s="24">
        <v>0</v>
      </c>
      <c r="J143" s="24">
        <v>0</v>
      </c>
      <c r="K143" s="24">
        <v>0</v>
      </c>
      <c r="L143" s="24">
        <v>0</v>
      </c>
      <c r="M143" s="22">
        <v>0</v>
      </c>
      <c r="N143" s="23">
        <v>38</v>
      </c>
      <c r="O143" s="24">
        <v>46</v>
      </c>
      <c r="P143" s="24">
        <v>40</v>
      </c>
      <c r="Q143" s="24">
        <v>37</v>
      </c>
      <c r="R143" s="24">
        <v>96</v>
      </c>
      <c r="S143" s="24">
        <v>16</v>
      </c>
      <c r="T143" s="24">
        <v>90</v>
      </c>
      <c r="U143" s="24">
        <v>13</v>
      </c>
      <c r="V143" s="24">
        <v>214</v>
      </c>
      <c r="W143" s="22">
        <v>58</v>
      </c>
      <c r="X143" s="23"/>
      <c r="Y143" s="24"/>
      <c r="Z143" s="24"/>
      <c r="AA143" s="24"/>
      <c r="AB143" s="24"/>
      <c r="AC143" s="24"/>
      <c r="AD143" s="24"/>
      <c r="AE143" s="24"/>
      <c r="AF143" s="24"/>
      <c r="AG143" s="22"/>
      <c r="AH143" s="203">
        <f t="shared" si="16"/>
        <v>0</v>
      </c>
      <c r="AI143" s="204">
        <f t="shared" si="17"/>
        <v>64.8</v>
      </c>
      <c r="AJ143" s="205" t="str">
        <f t="shared" si="18"/>
        <v/>
      </c>
      <c r="AK143" s="206">
        <f t="shared" si="19"/>
        <v>64.8</v>
      </c>
      <c r="AL143" s="168"/>
      <c r="AM143" s="168"/>
      <c r="AN143" s="168"/>
      <c r="AO143" s="168"/>
      <c r="AP143" s="168"/>
      <c r="AQ143" s="168"/>
      <c r="AR143" s="168"/>
      <c r="AS143" s="168"/>
      <c r="AT143" s="168"/>
      <c r="AU143" s="168"/>
      <c r="AV143" s="168"/>
      <c r="AW143" s="168"/>
      <c r="AX143" s="168"/>
      <c r="AY143" s="168"/>
    </row>
    <row r="144" spans="1:51">
      <c r="A144" s="16" t="s">
        <v>33</v>
      </c>
      <c r="B144" s="163">
        <v>41107</v>
      </c>
      <c r="C144" s="107" t="s">
        <v>89</v>
      </c>
      <c r="D144" s="23">
        <v>0</v>
      </c>
      <c r="E144" s="24">
        <v>0</v>
      </c>
      <c r="F144" s="24">
        <v>0</v>
      </c>
      <c r="G144" s="24">
        <v>0</v>
      </c>
      <c r="H144" s="24">
        <v>0</v>
      </c>
      <c r="I144" s="24">
        <v>0</v>
      </c>
      <c r="J144" s="24">
        <v>0</v>
      </c>
      <c r="K144" s="24">
        <v>0</v>
      </c>
      <c r="L144" s="24">
        <v>0</v>
      </c>
      <c r="M144" s="22">
        <v>0</v>
      </c>
      <c r="N144" s="23">
        <v>38</v>
      </c>
      <c r="O144" s="24">
        <v>40</v>
      </c>
      <c r="P144" s="24">
        <v>36</v>
      </c>
      <c r="Q144" s="24">
        <v>37</v>
      </c>
      <c r="R144" s="24">
        <v>83</v>
      </c>
      <c r="S144" s="24">
        <v>10</v>
      </c>
      <c r="T144" s="24">
        <v>79</v>
      </c>
      <c r="U144" s="24">
        <v>11</v>
      </c>
      <c r="V144" s="24">
        <v>205</v>
      </c>
      <c r="W144" s="22">
        <v>55</v>
      </c>
      <c r="X144" s="23"/>
      <c r="Y144" s="24"/>
      <c r="Z144" s="24"/>
      <c r="AA144" s="24"/>
      <c r="AB144" s="24"/>
      <c r="AC144" s="24"/>
      <c r="AD144" s="24"/>
      <c r="AE144" s="24"/>
      <c r="AF144" s="24"/>
      <c r="AG144" s="22"/>
      <c r="AH144" s="203">
        <f t="shared" si="16"/>
        <v>0</v>
      </c>
      <c r="AI144" s="204">
        <f t="shared" si="17"/>
        <v>59.4</v>
      </c>
      <c r="AJ144" s="205" t="str">
        <f t="shared" si="18"/>
        <v/>
      </c>
      <c r="AK144" s="206">
        <f t="shared" si="19"/>
        <v>59.4</v>
      </c>
      <c r="AL144" s="168"/>
      <c r="AM144" s="168"/>
      <c r="AN144" s="168"/>
      <c r="AO144" s="168"/>
      <c r="AP144" s="168"/>
      <c r="AQ144" s="168"/>
      <c r="AR144" s="168"/>
      <c r="AS144" s="168"/>
      <c r="AT144" s="168"/>
      <c r="AU144" s="168"/>
      <c r="AV144" s="168"/>
      <c r="AW144" s="168"/>
      <c r="AX144" s="168"/>
      <c r="AY144" s="168"/>
    </row>
    <row r="145" spans="1:51">
      <c r="A145" s="16" t="s">
        <v>33</v>
      </c>
      <c r="B145" s="163">
        <v>41114</v>
      </c>
      <c r="C145" s="107" t="s">
        <v>89</v>
      </c>
      <c r="D145" s="23">
        <v>0</v>
      </c>
      <c r="E145" s="24">
        <v>0</v>
      </c>
      <c r="F145" s="24">
        <v>0</v>
      </c>
      <c r="G145" s="24">
        <v>0</v>
      </c>
      <c r="H145" s="24">
        <v>0</v>
      </c>
      <c r="I145" s="24">
        <v>0</v>
      </c>
      <c r="J145" s="24">
        <v>0</v>
      </c>
      <c r="K145" s="24">
        <v>0</v>
      </c>
      <c r="L145" s="24">
        <v>0</v>
      </c>
      <c r="M145" s="22">
        <v>0</v>
      </c>
      <c r="N145" s="23">
        <v>35</v>
      </c>
      <c r="O145" s="24">
        <v>40</v>
      </c>
      <c r="P145" s="24">
        <v>31</v>
      </c>
      <c r="Q145" s="24">
        <v>33</v>
      </c>
      <c r="R145" s="24">
        <v>81</v>
      </c>
      <c r="S145" s="24">
        <v>12</v>
      </c>
      <c r="T145" s="24">
        <v>62</v>
      </c>
      <c r="U145" s="24">
        <v>11</v>
      </c>
      <c r="V145" s="24">
        <v>185</v>
      </c>
      <c r="W145" s="22">
        <v>44</v>
      </c>
      <c r="X145" s="23"/>
      <c r="Y145" s="24"/>
      <c r="Z145" s="24"/>
      <c r="AA145" s="24"/>
      <c r="AB145" s="24"/>
      <c r="AC145" s="24"/>
      <c r="AD145" s="24"/>
      <c r="AE145" s="24"/>
      <c r="AF145" s="24"/>
      <c r="AG145" s="22"/>
      <c r="AH145" s="203">
        <f t="shared" si="16"/>
        <v>0</v>
      </c>
      <c r="AI145" s="204">
        <f t="shared" si="17"/>
        <v>53.4</v>
      </c>
      <c r="AJ145" s="205" t="str">
        <f t="shared" si="18"/>
        <v/>
      </c>
      <c r="AK145" s="206">
        <f t="shared" si="19"/>
        <v>53.4</v>
      </c>
      <c r="AL145" s="168"/>
      <c r="AM145" s="168"/>
      <c r="AN145" s="168"/>
      <c r="AO145" s="168"/>
      <c r="AP145" s="168"/>
      <c r="AQ145" s="168"/>
      <c r="AR145" s="168"/>
      <c r="AS145" s="168"/>
      <c r="AT145" s="168"/>
      <c r="AU145" s="168"/>
      <c r="AV145" s="168"/>
      <c r="AW145" s="168"/>
      <c r="AX145" s="168"/>
      <c r="AY145" s="168"/>
    </row>
    <row r="146" spans="1:51">
      <c r="A146" s="16" t="s">
        <v>33</v>
      </c>
      <c r="B146" s="163">
        <v>41121</v>
      </c>
      <c r="C146" s="107" t="s">
        <v>87</v>
      </c>
      <c r="D146" s="23">
        <v>0</v>
      </c>
      <c r="E146" s="24">
        <v>0</v>
      </c>
      <c r="F146" s="24">
        <v>0</v>
      </c>
      <c r="G146" s="24">
        <v>0</v>
      </c>
      <c r="H146" s="24">
        <v>0</v>
      </c>
      <c r="I146" s="24">
        <v>0</v>
      </c>
      <c r="J146" s="24">
        <v>0</v>
      </c>
      <c r="K146" s="24">
        <v>0</v>
      </c>
      <c r="L146" s="24">
        <v>0</v>
      </c>
      <c r="M146" s="22">
        <v>0</v>
      </c>
      <c r="N146" s="23">
        <v>29</v>
      </c>
      <c r="O146" s="24">
        <v>35</v>
      </c>
      <c r="P146" s="24">
        <v>31</v>
      </c>
      <c r="Q146" s="24">
        <v>26</v>
      </c>
      <c r="R146" s="24">
        <v>69</v>
      </c>
      <c r="S146" s="24">
        <v>7</v>
      </c>
      <c r="T146" s="24">
        <v>58</v>
      </c>
      <c r="U146" s="24">
        <v>5</v>
      </c>
      <c r="V146" s="24">
        <v>168</v>
      </c>
      <c r="W146" s="22">
        <v>44</v>
      </c>
      <c r="X146" s="23">
        <v>3</v>
      </c>
      <c r="Y146" s="24">
        <v>0</v>
      </c>
      <c r="Z146" s="24">
        <v>1</v>
      </c>
      <c r="AA146" s="24">
        <v>2</v>
      </c>
      <c r="AB146" s="24">
        <v>3</v>
      </c>
      <c r="AC146" s="24">
        <v>1</v>
      </c>
      <c r="AD146" s="24">
        <v>1</v>
      </c>
      <c r="AE146" s="24">
        <v>0</v>
      </c>
      <c r="AF146" s="24">
        <v>8</v>
      </c>
      <c r="AG146" s="22">
        <v>0</v>
      </c>
      <c r="AH146" s="203">
        <f t="shared" si="16"/>
        <v>0</v>
      </c>
      <c r="AI146" s="204">
        <f t="shared" si="17"/>
        <v>47.2</v>
      </c>
      <c r="AJ146" s="205">
        <f t="shared" si="18"/>
        <v>1.9</v>
      </c>
      <c r="AK146" s="206">
        <f t="shared" si="19"/>
        <v>49.1</v>
      </c>
      <c r="AL146" s="168"/>
      <c r="AM146" s="168"/>
      <c r="AN146" s="168"/>
      <c r="AO146" s="168"/>
      <c r="AP146" s="168"/>
      <c r="AQ146" s="168"/>
      <c r="AR146" s="168"/>
      <c r="AS146" s="168"/>
      <c r="AT146" s="168"/>
      <c r="AU146" s="168"/>
      <c r="AV146" s="168"/>
      <c r="AW146" s="168"/>
      <c r="AX146" s="168"/>
      <c r="AY146" s="168"/>
    </row>
    <row r="147" spans="1:51">
      <c r="A147" s="16" t="s">
        <v>33</v>
      </c>
      <c r="B147" s="163">
        <v>41128</v>
      </c>
      <c r="C147" s="107" t="s">
        <v>87</v>
      </c>
      <c r="D147" s="23">
        <v>0</v>
      </c>
      <c r="E147" s="24">
        <v>0</v>
      </c>
      <c r="F147" s="24">
        <v>0</v>
      </c>
      <c r="G147" s="24">
        <v>0</v>
      </c>
      <c r="H147" s="24">
        <v>0</v>
      </c>
      <c r="I147" s="24">
        <v>0</v>
      </c>
      <c r="J147" s="24">
        <v>0</v>
      </c>
      <c r="K147" s="24">
        <v>0</v>
      </c>
      <c r="L147" s="24">
        <v>0</v>
      </c>
      <c r="M147" s="22">
        <v>0</v>
      </c>
      <c r="N147" s="23">
        <v>5</v>
      </c>
      <c r="O147" s="24">
        <v>33</v>
      </c>
      <c r="P147" s="24">
        <v>21</v>
      </c>
      <c r="Q147" s="24">
        <v>13</v>
      </c>
      <c r="R147" s="24">
        <v>24</v>
      </c>
      <c r="S147" s="24">
        <v>2</v>
      </c>
      <c r="T147" s="24">
        <v>19</v>
      </c>
      <c r="U147" s="24">
        <v>3</v>
      </c>
      <c r="V147" s="24">
        <v>68</v>
      </c>
      <c r="W147" s="22">
        <v>25</v>
      </c>
      <c r="X147" s="23">
        <v>29</v>
      </c>
      <c r="Y147" s="24">
        <v>1</v>
      </c>
      <c r="Z147" s="24">
        <v>8</v>
      </c>
      <c r="AA147" s="24">
        <v>12</v>
      </c>
      <c r="AB147" s="24">
        <v>41</v>
      </c>
      <c r="AC147" s="24">
        <v>4</v>
      </c>
      <c r="AD147" s="24">
        <v>30</v>
      </c>
      <c r="AE147" s="24">
        <v>2</v>
      </c>
      <c r="AF147" s="24">
        <v>83</v>
      </c>
      <c r="AG147" s="22">
        <v>18</v>
      </c>
      <c r="AH147" s="203">
        <f t="shared" si="16"/>
        <v>0</v>
      </c>
      <c r="AI147" s="204">
        <f t="shared" si="17"/>
        <v>21.3</v>
      </c>
      <c r="AJ147" s="205">
        <f t="shared" si="18"/>
        <v>22.8</v>
      </c>
      <c r="AK147" s="206">
        <f t="shared" si="19"/>
        <v>44.1</v>
      </c>
      <c r="AL147" s="168"/>
      <c r="AM147" s="168"/>
      <c r="AN147" s="168"/>
      <c r="AO147" s="168"/>
      <c r="AP147" s="168"/>
      <c r="AQ147" s="168"/>
      <c r="AR147" s="168"/>
      <c r="AS147" s="168"/>
      <c r="AT147" s="168"/>
      <c r="AU147" s="168"/>
      <c r="AV147" s="168"/>
      <c r="AW147" s="168"/>
      <c r="AX147" s="168"/>
      <c r="AY147" s="168"/>
    </row>
    <row r="148" spans="1:51">
      <c r="A148" s="16" t="s">
        <v>33</v>
      </c>
      <c r="B148" s="163">
        <v>41134</v>
      </c>
      <c r="C148" s="107" t="s">
        <v>87</v>
      </c>
      <c r="D148" s="23">
        <v>0</v>
      </c>
      <c r="E148" s="24">
        <v>0</v>
      </c>
      <c r="F148" s="24">
        <v>0</v>
      </c>
      <c r="G148" s="24">
        <v>0</v>
      </c>
      <c r="H148" s="24">
        <v>0</v>
      </c>
      <c r="I148" s="24">
        <v>0</v>
      </c>
      <c r="J148" s="24">
        <v>0</v>
      </c>
      <c r="K148" s="24">
        <v>0</v>
      </c>
      <c r="L148" s="24">
        <v>0</v>
      </c>
      <c r="M148" s="22">
        <v>0</v>
      </c>
      <c r="N148" s="23">
        <v>0</v>
      </c>
      <c r="O148" s="24">
        <v>19</v>
      </c>
      <c r="P148" s="24">
        <v>14</v>
      </c>
      <c r="Q148" s="24">
        <v>3</v>
      </c>
      <c r="R148" s="24">
        <v>5</v>
      </c>
      <c r="S148" s="24">
        <v>2</v>
      </c>
      <c r="T148" s="24">
        <v>8</v>
      </c>
      <c r="U148" s="24">
        <v>2</v>
      </c>
      <c r="V148" s="24">
        <v>17</v>
      </c>
      <c r="W148" s="22">
        <v>4</v>
      </c>
      <c r="X148" s="23">
        <v>28</v>
      </c>
      <c r="Y148" s="24">
        <v>17</v>
      </c>
      <c r="Z148" s="24">
        <v>13</v>
      </c>
      <c r="AA148" s="24">
        <v>21</v>
      </c>
      <c r="AB148" s="24">
        <v>50</v>
      </c>
      <c r="AC148" s="24">
        <v>5</v>
      </c>
      <c r="AD148" s="24">
        <v>42</v>
      </c>
      <c r="AE148" s="24">
        <v>3</v>
      </c>
      <c r="AF148" s="24">
        <v>112</v>
      </c>
      <c r="AG148" s="22">
        <v>32</v>
      </c>
      <c r="AH148" s="203">
        <f t="shared" si="16"/>
        <v>0</v>
      </c>
      <c r="AI148" s="204">
        <f t="shared" si="17"/>
        <v>7.4</v>
      </c>
      <c r="AJ148" s="205">
        <f t="shared" si="18"/>
        <v>32.299999999999997</v>
      </c>
      <c r="AK148" s="206">
        <f t="shared" si="19"/>
        <v>39.699999999999996</v>
      </c>
      <c r="AL148" s="168"/>
      <c r="AM148" s="168"/>
      <c r="AN148" s="168"/>
      <c r="AO148" s="168"/>
      <c r="AP148" s="168"/>
      <c r="AQ148" s="168"/>
      <c r="AR148" s="168"/>
      <c r="AS148" s="168"/>
      <c r="AT148" s="168"/>
      <c r="AU148" s="168"/>
      <c r="AV148" s="168"/>
      <c r="AW148" s="168"/>
      <c r="AX148" s="168"/>
      <c r="AY148" s="168"/>
    </row>
    <row r="149" spans="1:51">
      <c r="A149" s="16" t="s">
        <v>33</v>
      </c>
      <c r="B149" s="163">
        <v>41141</v>
      </c>
      <c r="C149" s="107" t="s">
        <v>87</v>
      </c>
      <c r="D149" s="23">
        <v>0</v>
      </c>
      <c r="E149" s="24">
        <v>0</v>
      </c>
      <c r="F149" s="24">
        <v>0</v>
      </c>
      <c r="G149" s="24">
        <v>0</v>
      </c>
      <c r="H149" s="24">
        <v>0</v>
      </c>
      <c r="I149" s="24">
        <v>0</v>
      </c>
      <c r="J149" s="24">
        <v>0</v>
      </c>
      <c r="K149" s="24">
        <v>0</v>
      </c>
      <c r="L149" s="24">
        <v>0</v>
      </c>
      <c r="M149" s="22">
        <v>0</v>
      </c>
      <c r="N149" s="23">
        <v>0</v>
      </c>
      <c r="O149" s="24">
        <v>2</v>
      </c>
      <c r="P149" s="24">
        <v>1</v>
      </c>
      <c r="Q149" s="24">
        <v>0</v>
      </c>
      <c r="R149" s="24">
        <v>0</v>
      </c>
      <c r="S149" s="24">
        <v>2</v>
      </c>
      <c r="T149" s="24">
        <v>1</v>
      </c>
      <c r="U149" s="24">
        <v>0</v>
      </c>
      <c r="V149" s="24">
        <v>7</v>
      </c>
      <c r="W149" s="22">
        <v>1</v>
      </c>
      <c r="X149" s="23">
        <v>27</v>
      </c>
      <c r="Y149" s="24">
        <v>28</v>
      </c>
      <c r="Z149" s="24">
        <v>19</v>
      </c>
      <c r="AA149" s="24">
        <v>19</v>
      </c>
      <c r="AB149" s="24">
        <v>42</v>
      </c>
      <c r="AC149" s="24">
        <v>5</v>
      </c>
      <c r="AD149" s="24">
        <v>37</v>
      </c>
      <c r="AE149" s="24">
        <v>5</v>
      </c>
      <c r="AF149" s="24">
        <v>120</v>
      </c>
      <c r="AG149" s="22">
        <v>35</v>
      </c>
      <c r="AH149" s="203">
        <f t="shared" si="16"/>
        <v>0</v>
      </c>
      <c r="AI149" s="204">
        <f t="shared" si="17"/>
        <v>1.4</v>
      </c>
      <c r="AJ149" s="205">
        <f t="shared" si="18"/>
        <v>33.700000000000003</v>
      </c>
      <c r="AK149" s="206">
        <f t="shared" si="19"/>
        <v>35.1</v>
      </c>
      <c r="AL149" s="168"/>
      <c r="AM149" s="168"/>
      <c r="AN149" s="168"/>
      <c r="AO149" s="168"/>
      <c r="AP149" s="168"/>
      <c r="AQ149" s="168"/>
      <c r="AR149" s="168"/>
      <c r="AS149" s="168"/>
      <c r="AT149" s="168"/>
      <c r="AU149" s="168"/>
      <c r="AV149" s="168"/>
      <c r="AW149" s="168"/>
      <c r="AX149" s="168"/>
      <c r="AY149" s="168"/>
    </row>
    <row r="150" spans="1:51">
      <c r="A150" s="16" t="s">
        <v>33</v>
      </c>
      <c r="B150" s="163">
        <v>41149</v>
      </c>
      <c r="C150" s="107" t="s">
        <v>87</v>
      </c>
      <c r="D150" s="23">
        <v>0</v>
      </c>
      <c r="E150" s="24">
        <v>0</v>
      </c>
      <c r="F150" s="24">
        <v>0</v>
      </c>
      <c r="G150" s="24">
        <v>0</v>
      </c>
      <c r="H150" s="24">
        <v>0</v>
      </c>
      <c r="I150" s="24">
        <v>0</v>
      </c>
      <c r="J150" s="24">
        <v>0</v>
      </c>
      <c r="K150" s="24">
        <v>0</v>
      </c>
      <c r="L150" s="24">
        <v>0</v>
      </c>
      <c r="M150" s="22">
        <v>0</v>
      </c>
      <c r="N150" s="23">
        <v>0</v>
      </c>
      <c r="O150" s="24">
        <v>0</v>
      </c>
      <c r="P150" s="24">
        <v>0</v>
      </c>
      <c r="Q150" s="24">
        <v>0</v>
      </c>
      <c r="R150" s="24">
        <v>0</v>
      </c>
      <c r="S150" s="24">
        <v>0</v>
      </c>
      <c r="T150" s="24">
        <v>0</v>
      </c>
      <c r="U150" s="24">
        <v>0</v>
      </c>
      <c r="V150" s="24">
        <v>0</v>
      </c>
      <c r="W150" s="22">
        <v>0</v>
      </c>
      <c r="X150" s="23">
        <v>24</v>
      </c>
      <c r="Y150" s="24">
        <v>27</v>
      </c>
      <c r="Z150" s="24">
        <v>15</v>
      </c>
      <c r="AA150" s="24">
        <v>15</v>
      </c>
      <c r="AB150" s="24">
        <v>34</v>
      </c>
      <c r="AC150" s="24">
        <v>5</v>
      </c>
      <c r="AD150" s="24">
        <v>38</v>
      </c>
      <c r="AE150" s="24">
        <v>4</v>
      </c>
      <c r="AF150" s="24">
        <v>94</v>
      </c>
      <c r="AG150" s="22">
        <v>31</v>
      </c>
      <c r="AH150" s="203">
        <f t="shared" si="16"/>
        <v>0</v>
      </c>
      <c r="AI150" s="204">
        <f t="shared" si="17"/>
        <v>0</v>
      </c>
      <c r="AJ150" s="205">
        <f t="shared" si="18"/>
        <v>28.7</v>
      </c>
      <c r="AK150" s="206">
        <f t="shared" si="19"/>
        <v>28.7</v>
      </c>
      <c r="AL150" s="168"/>
      <c r="AM150" s="168"/>
      <c r="AN150" s="168"/>
      <c r="AO150" s="168"/>
      <c r="AP150" s="168"/>
      <c r="AQ150" s="168"/>
      <c r="AR150" s="168"/>
      <c r="AS150" s="168"/>
      <c r="AT150" s="168"/>
      <c r="AU150" s="168"/>
      <c r="AV150" s="168"/>
      <c r="AW150" s="168"/>
      <c r="AX150" s="168"/>
      <c r="AY150" s="168"/>
    </row>
    <row r="151" spans="1:51">
      <c r="A151" s="16" t="s">
        <v>33</v>
      </c>
      <c r="B151" s="163">
        <v>41155</v>
      </c>
      <c r="C151" s="107" t="s">
        <v>87</v>
      </c>
      <c r="D151" s="23">
        <v>0</v>
      </c>
      <c r="E151" s="24">
        <v>0</v>
      </c>
      <c r="F151" s="24">
        <v>0</v>
      </c>
      <c r="G151" s="24">
        <v>0</v>
      </c>
      <c r="H151" s="24">
        <v>0</v>
      </c>
      <c r="I151" s="24">
        <v>0</v>
      </c>
      <c r="J151" s="24">
        <v>0</v>
      </c>
      <c r="K151" s="24">
        <v>0</v>
      </c>
      <c r="L151" s="24">
        <v>0</v>
      </c>
      <c r="M151" s="22">
        <v>0</v>
      </c>
      <c r="N151" s="23">
        <v>0</v>
      </c>
      <c r="O151" s="24">
        <v>0</v>
      </c>
      <c r="P151" s="24">
        <v>0</v>
      </c>
      <c r="Q151" s="24">
        <v>0</v>
      </c>
      <c r="R151" s="24">
        <v>0</v>
      </c>
      <c r="S151" s="24">
        <v>0</v>
      </c>
      <c r="T151" s="24">
        <v>0</v>
      </c>
      <c r="U151" s="24">
        <v>0</v>
      </c>
      <c r="V151" s="24">
        <v>0</v>
      </c>
      <c r="W151" s="22">
        <v>0</v>
      </c>
      <c r="X151" s="23">
        <v>22</v>
      </c>
      <c r="Y151" s="24">
        <v>23</v>
      </c>
      <c r="Z151" s="24">
        <v>12</v>
      </c>
      <c r="AA151" s="24">
        <v>15</v>
      </c>
      <c r="AB151" s="24">
        <v>29</v>
      </c>
      <c r="AC151" s="24">
        <v>5</v>
      </c>
      <c r="AD151" s="24">
        <v>37</v>
      </c>
      <c r="AE151" s="24">
        <v>4</v>
      </c>
      <c r="AF151" s="24">
        <v>84</v>
      </c>
      <c r="AG151" s="22">
        <v>24</v>
      </c>
      <c r="AH151" s="203">
        <f t="shared" si="16"/>
        <v>0</v>
      </c>
      <c r="AI151" s="204">
        <f t="shared" si="17"/>
        <v>0</v>
      </c>
      <c r="AJ151" s="205">
        <f t="shared" si="18"/>
        <v>25.5</v>
      </c>
      <c r="AK151" s="206">
        <f t="shared" si="19"/>
        <v>25.5</v>
      </c>
      <c r="AL151" s="168"/>
      <c r="AM151" s="168"/>
      <c r="AN151" s="168"/>
      <c r="AO151" s="168"/>
      <c r="AP151" s="168"/>
      <c r="AQ151" s="168"/>
      <c r="AR151" s="168"/>
      <c r="AS151" s="168"/>
      <c r="AT151" s="168"/>
      <c r="AU151" s="168"/>
      <c r="AV151" s="168"/>
      <c r="AW151" s="168"/>
      <c r="AX151" s="168"/>
      <c r="AY151" s="168"/>
    </row>
    <row r="152" spans="1:51">
      <c r="A152" s="16" t="s">
        <v>33</v>
      </c>
      <c r="B152" s="163">
        <v>41162</v>
      </c>
      <c r="C152" s="107" t="s">
        <v>87</v>
      </c>
      <c r="D152" s="23">
        <v>0</v>
      </c>
      <c r="E152" s="24">
        <v>0</v>
      </c>
      <c r="F152" s="24">
        <v>0</v>
      </c>
      <c r="G152" s="24">
        <v>0</v>
      </c>
      <c r="H152" s="24">
        <v>0</v>
      </c>
      <c r="I152" s="24">
        <v>0</v>
      </c>
      <c r="J152" s="24">
        <v>0</v>
      </c>
      <c r="K152" s="24">
        <v>0</v>
      </c>
      <c r="L152" s="24">
        <v>0</v>
      </c>
      <c r="M152" s="22">
        <v>0</v>
      </c>
      <c r="N152" s="23">
        <v>0</v>
      </c>
      <c r="O152" s="24">
        <v>0</v>
      </c>
      <c r="P152" s="24">
        <v>0</v>
      </c>
      <c r="Q152" s="24">
        <v>0</v>
      </c>
      <c r="R152" s="24">
        <v>0</v>
      </c>
      <c r="S152" s="24">
        <v>0</v>
      </c>
      <c r="T152" s="24">
        <v>0</v>
      </c>
      <c r="U152" s="24">
        <v>0</v>
      </c>
      <c r="V152" s="24">
        <v>0</v>
      </c>
      <c r="W152" s="22">
        <v>0</v>
      </c>
      <c r="X152" s="23">
        <v>22</v>
      </c>
      <c r="Y152" s="24">
        <v>15</v>
      </c>
      <c r="Z152" s="24">
        <v>9</v>
      </c>
      <c r="AA152" s="24">
        <v>15</v>
      </c>
      <c r="AB152" s="24">
        <v>29</v>
      </c>
      <c r="AC152" s="24">
        <v>5</v>
      </c>
      <c r="AD152" s="24">
        <v>36</v>
      </c>
      <c r="AE152" s="24">
        <v>4</v>
      </c>
      <c r="AF152" s="24">
        <v>77</v>
      </c>
      <c r="AG152" s="22">
        <v>24</v>
      </c>
      <c r="AH152" s="203">
        <f t="shared" si="16"/>
        <v>0</v>
      </c>
      <c r="AI152" s="204">
        <f t="shared" si="17"/>
        <v>0</v>
      </c>
      <c r="AJ152" s="205">
        <f t="shared" si="18"/>
        <v>23.6</v>
      </c>
      <c r="AK152" s="206">
        <f t="shared" si="19"/>
        <v>23.6</v>
      </c>
      <c r="AL152" s="168"/>
      <c r="AM152" s="168"/>
      <c r="AN152" s="168"/>
      <c r="AO152" s="168"/>
      <c r="AP152" s="168"/>
      <c r="AQ152" s="168"/>
      <c r="AR152" s="168"/>
      <c r="AS152" s="168"/>
      <c r="AT152" s="168"/>
      <c r="AU152" s="168"/>
      <c r="AV152" s="168"/>
      <c r="AW152" s="168"/>
      <c r="AX152" s="168"/>
      <c r="AY152" s="168"/>
    </row>
    <row r="153" spans="1:51">
      <c r="A153" s="16" t="s">
        <v>33</v>
      </c>
      <c r="B153" s="163">
        <v>41170</v>
      </c>
      <c r="C153" s="107" t="s">
        <v>87</v>
      </c>
      <c r="D153" s="23">
        <v>0</v>
      </c>
      <c r="E153" s="24">
        <v>0</v>
      </c>
      <c r="F153" s="24">
        <v>0</v>
      </c>
      <c r="G153" s="24">
        <v>0</v>
      </c>
      <c r="H153" s="24">
        <v>0</v>
      </c>
      <c r="I153" s="24">
        <v>0</v>
      </c>
      <c r="J153" s="24">
        <v>0</v>
      </c>
      <c r="K153" s="24">
        <v>0</v>
      </c>
      <c r="L153" s="24">
        <v>0</v>
      </c>
      <c r="M153" s="22">
        <v>0</v>
      </c>
      <c r="N153" s="23">
        <v>0</v>
      </c>
      <c r="O153" s="24">
        <v>0</v>
      </c>
      <c r="P153" s="24">
        <v>0</v>
      </c>
      <c r="Q153" s="24">
        <v>0</v>
      </c>
      <c r="R153" s="24">
        <v>0</v>
      </c>
      <c r="S153" s="24">
        <v>0</v>
      </c>
      <c r="T153" s="24">
        <v>0</v>
      </c>
      <c r="U153" s="24">
        <v>0</v>
      </c>
      <c r="V153" s="24">
        <v>0</v>
      </c>
      <c r="W153" s="22">
        <v>0</v>
      </c>
      <c r="X153" s="23">
        <v>20</v>
      </c>
      <c r="Y153" s="24">
        <v>11</v>
      </c>
      <c r="Z153" s="24">
        <v>7</v>
      </c>
      <c r="AA153" s="24">
        <v>9</v>
      </c>
      <c r="AB153" s="24">
        <v>27</v>
      </c>
      <c r="AC153" s="24">
        <v>4</v>
      </c>
      <c r="AD153" s="24">
        <v>34</v>
      </c>
      <c r="AE153" s="24">
        <v>4</v>
      </c>
      <c r="AF153" s="24">
        <v>64</v>
      </c>
      <c r="AG153" s="22">
        <v>19</v>
      </c>
      <c r="AH153" s="203">
        <f t="shared" si="16"/>
        <v>0</v>
      </c>
      <c r="AI153" s="204">
        <f t="shared" si="17"/>
        <v>0</v>
      </c>
      <c r="AJ153" s="205">
        <f t="shared" si="18"/>
        <v>19.899999999999999</v>
      </c>
      <c r="AK153" s="206">
        <f t="shared" si="19"/>
        <v>19.899999999999999</v>
      </c>
      <c r="AL153" s="168"/>
      <c r="AM153" s="168"/>
      <c r="AN153" s="168"/>
      <c r="AO153" s="168"/>
      <c r="AP153" s="168"/>
      <c r="AQ153" s="168"/>
      <c r="AR153" s="168"/>
      <c r="AS153" s="168"/>
      <c r="AT153" s="168"/>
      <c r="AU153" s="168"/>
      <c r="AV153" s="168"/>
      <c r="AW153" s="168"/>
      <c r="AX153" s="168"/>
      <c r="AY153" s="168"/>
    </row>
    <row r="154" spans="1:51">
      <c r="A154" s="16" t="s">
        <v>33</v>
      </c>
      <c r="B154" s="163">
        <v>41176</v>
      </c>
      <c r="C154" s="107" t="s">
        <v>87</v>
      </c>
      <c r="D154" s="23">
        <v>0</v>
      </c>
      <c r="E154" s="24">
        <v>0</v>
      </c>
      <c r="F154" s="24">
        <v>0</v>
      </c>
      <c r="G154" s="24">
        <v>0</v>
      </c>
      <c r="H154" s="24">
        <v>0</v>
      </c>
      <c r="I154" s="24">
        <v>0</v>
      </c>
      <c r="J154" s="24">
        <v>0</v>
      </c>
      <c r="K154" s="24">
        <v>0</v>
      </c>
      <c r="L154" s="24">
        <v>0</v>
      </c>
      <c r="M154" s="22">
        <v>0</v>
      </c>
      <c r="N154" s="23">
        <v>0</v>
      </c>
      <c r="O154" s="24">
        <v>0</v>
      </c>
      <c r="P154" s="24">
        <v>0</v>
      </c>
      <c r="Q154" s="24">
        <v>0</v>
      </c>
      <c r="R154" s="24">
        <v>0</v>
      </c>
      <c r="S154" s="24">
        <v>0</v>
      </c>
      <c r="T154" s="24">
        <v>0</v>
      </c>
      <c r="U154" s="24">
        <v>0</v>
      </c>
      <c r="V154" s="24">
        <v>0</v>
      </c>
      <c r="W154" s="22">
        <v>0</v>
      </c>
      <c r="X154" s="23">
        <v>20</v>
      </c>
      <c r="Y154" s="24">
        <v>9</v>
      </c>
      <c r="Z154" s="24">
        <v>6</v>
      </c>
      <c r="AA154" s="24">
        <v>4</v>
      </c>
      <c r="AB154" s="24">
        <v>26</v>
      </c>
      <c r="AC154" s="24">
        <v>4</v>
      </c>
      <c r="AD154" s="24">
        <v>34</v>
      </c>
      <c r="AE154" s="24">
        <v>3</v>
      </c>
      <c r="AF154" s="24">
        <v>58</v>
      </c>
      <c r="AG154" s="22">
        <v>17</v>
      </c>
      <c r="AH154" s="203">
        <f t="shared" si="16"/>
        <v>0</v>
      </c>
      <c r="AI154" s="204">
        <f t="shared" si="17"/>
        <v>0</v>
      </c>
      <c r="AJ154" s="205">
        <f t="shared" si="18"/>
        <v>18.100000000000001</v>
      </c>
      <c r="AK154" s="206">
        <f t="shared" si="19"/>
        <v>18.100000000000001</v>
      </c>
      <c r="AL154" s="168"/>
      <c r="AM154" s="168"/>
      <c r="AN154" s="168"/>
      <c r="AO154" s="168"/>
      <c r="AP154" s="168"/>
      <c r="AQ154" s="168"/>
      <c r="AR154" s="168"/>
      <c r="AS154" s="168"/>
      <c r="AT154" s="168"/>
      <c r="AU154" s="168"/>
      <c r="AV154" s="168"/>
      <c r="AW154" s="168"/>
      <c r="AX154" s="168"/>
      <c r="AY154" s="168"/>
    </row>
    <row r="155" spans="1:51">
      <c r="A155" s="16" t="s">
        <v>33</v>
      </c>
      <c r="B155" s="163">
        <v>41185</v>
      </c>
      <c r="C155" s="107" t="s">
        <v>87</v>
      </c>
      <c r="D155" s="23">
        <v>0</v>
      </c>
      <c r="E155" s="24">
        <v>0</v>
      </c>
      <c r="F155" s="24">
        <v>0</v>
      </c>
      <c r="G155" s="24">
        <v>0</v>
      </c>
      <c r="H155" s="24">
        <v>0</v>
      </c>
      <c r="I155" s="24">
        <v>0</v>
      </c>
      <c r="J155" s="24">
        <v>0</v>
      </c>
      <c r="K155" s="24">
        <v>0</v>
      </c>
      <c r="L155" s="24">
        <v>0</v>
      </c>
      <c r="M155" s="22">
        <v>0</v>
      </c>
      <c r="N155" s="23">
        <v>0</v>
      </c>
      <c r="O155" s="24">
        <v>0</v>
      </c>
      <c r="P155" s="24">
        <v>0</v>
      </c>
      <c r="Q155" s="24">
        <v>0</v>
      </c>
      <c r="R155" s="24">
        <v>0</v>
      </c>
      <c r="S155" s="24">
        <v>0</v>
      </c>
      <c r="T155" s="24">
        <v>0</v>
      </c>
      <c r="U155" s="24">
        <v>0</v>
      </c>
      <c r="V155" s="24">
        <v>0</v>
      </c>
      <c r="W155" s="22">
        <v>0</v>
      </c>
      <c r="X155" s="23">
        <v>18</v>
      </c>
      <c r="Y155" s="24">
        <v>6</v>
      </c>
      <c r="Z155" s="24">
        <v>3</v>
      </c>
      <c r="AA155" s="24">
        <v>4</v>
      </c>
      <c r="AB155" s="24">
        <v>24</v>
      </c>
      <c r="AC155" s="24">
        <v>3</v>
      </c>
      <c r="AD155" s="24">
        <v>24</v>
      </c>
      <c r="AE155" s="24">
        <v>3</v>
      </c>
      <c r="AF155" s="24">
        <v>46</v>
      </c>
      <c r="AG155" s="22">
        <v>12</v>
      </c>
      <c r="AH155" s="203">
        <f t="shared" si="16"/>
        <v>0</v>
      </c>
      <c r="AI155" s="204">
        <f t="shared" si="17"/>
        <v>0</v>
      </c>
      <c r="AJ155" s="205">
        <f t="shared" si="18"/>
        <v>14.3</v>
      </c>
      <c r="AK155" s="206">
        <f t="shared" si="19"/>
        <v>14.3</v>
      </c>
      <c r="AL155" s="168"/>
      <c r="AM155" s="168"/>
      <c r="AN155" s="168"/>
      <c r="AO155" s="168"/>
      <c r="AP155" s="168"/>
      <c r="AQ155" s="168"/>
      <c r="AR155" s="168"/>
      <c r="AS155" s="168"/>
      <c r="AT155" s="168"/>
      <c r="AU155" s="168"/>
      <c r="AV155" s="168"/>
      <c r="AW155" s="168"/>
      <c r="AX155" s="168"/>
      <c r="AY155" s="168"/>
    </row>
    <row r="156" spans="1:51">
      <c r="A156" s="16" t="s">
        <v>33</v>
      </c>
      <c r="B156" s="163">
        <v>41192</v>
      </c>
      <c r="C156" s="107" t="s">
        <v>87</v>
      </c>
      <c r="D156" s="23">
        <v>0</v>
      </c>
      <c r="E156" s="24">
        <v>0</v>
      </c>
      <c r="F156" s="24">
        <v>0</v>
      </c>
      <c r="G156" s="24">
        <v>0</v>
      </c>
      <c r="H156" s="24">
        <v>0</v>
      </c>
      <c r="I156" s="24">
        <v>0</v>
      </c>
      <c r="J156" s="24">
        <v>0</v>
      </c>
      <c r="K156" s="24">
        <v>0</v>
      </c>
      <c r="L156" s="24">
        <v>0</v>
      </c>
      <c r="M156" s="22">
        <v>0</v>
      </c>
      <c r="N156" s="23">
        <v>0</v>
      </c>
      <c r="O156" s="24">
        <v>0</v>
      </c>
      <c r="P156" s="24">
        <v>0</v>
      </c>
      <c r="Q156" s="24">
        <v>0</v>
      </c>
      <c r="R156" s="24">
        <v>0</v>
      </c>
      <c r="S156" s="24">
        <v>0</v>
      </c>
      <c r="T156" s="24">
        <v>0</v>
      </c>
      <c r="U156" s="24">
        <v>0</v>
      </c>
      <c r="V156" s="24">
        <v>0</v>
      </c>
      <c r="W156" s="22">
        <v>0</v>
      </c>
      <c r="X156" s="23">
        <v>18</v>
      </c>
      <c r="Y156" s="24">
        <v>4</v>
      </c>
      <c r="Z156" s="24">
        <v>2</v>
      </c>
      <c r="AA156" s="24">
        <v>4</v>
      </c>
      <c r="AB156" s="24">
        <v>24</v>
      </c>
      <c r="AC156" s="24">
        <v>3</v>
      </c>
      <c r="AD156" s="24">
        <v>23</v>
      </c>
      <c r="AE156" s="24">
        <v>0</v>
      </c>
      <c r="AF156" s="24">
        <v>43</v>
      </c>
      <c r="AG156" s="22">
        <v>12</v>
      </c>
      <c r="AH156" s="203">
        <f t="shared" si="16"/>
        <v>0</v>
      </c>
      <c r="AI156" s="204">
        <f t="shared" si="17"/>
        <v>0</v>
      </c>
      <c r="AJ156" s="205">
        <f t="shared" si="18"/>
        <v>13.3</v>
      </c>
      <c r="AK156" s="206">
        <f t="shared" si="19"/>
        <v>13.3</v>
      </c>
      <c r="AL156" s="168"/>
      <c r="AM156" s="168"/>
      <c r="AN156" s="168"/>
      <c r="AO156" s="168"/>
      <c r="AP156" s="168"/>
      <c r="AQ156" s="168"/>
      <c r="AR156" s="168"/>
      <c r="AS156" s="168"/>
      <c r="AT156" s="168"/>
      <c r="AU156" s="168"/>
      <c r="AV156" s="168"/>
      <c r="AW156" s="168"/>
      <c r="AX156" s="168"/>
      <c r="AY156" s="168"/>
    </row>
    <row r="157" spans="1:51">
      <c r="A157" s="16" t="s">
        <v>33</v>
      </c>
      <c r="B157" s="163">
        <v>41197</v>
      </c>
      <c r="C157" s="107" t="s">
        <v>87</v>
      </c>
      <c r="D157" s="23">
        <v>0</v>
      </c>
      <c r="E157" s="24">
        <v>0</v>
      </c>
      <c r="F157" s="24">
        <v>0</v>
      </c>
      <c r="G157" s="24">
        <v>0</v>
      </c>
      <c r="H157" s="24">
        <v>0</v>
      </c>
      <c r="I157" s="24">
        <v>0</v>
      </c>
      <c r="J157" s="24">
        <v>0</v>
      </c>
      <c r="K157" s="24">
        <v>0</v>
      </c>
      <c r="L157" s="24">
        <v>0</v>
      </c>
      <c r="M157" s="22">
        <v>0</v>
      </c>
      <c r="N157" s="23">
        <v>0</v>
      </c>
      <c r="O157" s="24">
        <v>0</v>
      </c>
      <c r="P157" s="24">
        <v>0</v>
      </c>
      <c r="Q157" s="24">
        <v>0</v>
      </c>
      <c r="R157" s="24">
        <v>0</v>
      </c>
      <c r="S157" s="24">
        <v>0</v>
      </c>
      <c r="T157" s="24">
        <v>0</v>
      </c>
      <c r="U157" s="24">
        <v>0</v>
      </c>
      <c r="V157" s="24">
        <v>0</v>
      </c>
      <c r="W157" s="22">
        <v>0</v>
      </c>
      <c r="X157" s="23">
        <v>16</v>
      </c>
      <c r="Y157" s="24">
        <v>4</v>
      </c>
      <c r="Z157" s="24">
        <v>0</v>
      </c>
      <c r="AA157" s="24">
        <v>3</v>
      </c>
      <c r="AB157" s="24">
        <v>19</v>
      </c>
      <c r="AC157" s="24">
        <v>2</v>
      </c>
      <c r="AD157" s="24">
        <v>22</v>
      </c>
      <c r="AE157" s="24">
        <v>0</v>
      </c>
      <c r="AF157" s="24">
        <v>41</v>
      </c>
      <c r="AG157" s="22">
        <v>11</v>
      </c>
      <c r="AH157" s="203">
        <f t="shared" si="16"/>
        <v>0</v>
      </c>
      <c r="AI157" s="204">
        <f t="shared" si="17"/>
        <v>0</v>
      </c>
      <c r="AJ157" s="205">
        <f t="shared" si="18"/>
        <v>11.8</v>
      </c>
      <c r="AK157" s="206">
        <f t="shared" si="19"/>
        <v>11.8</v>
      </c>
      <c r="AL157" s="168"/>
      <c r="AM157" s="168"/>
      <c r="AN157" s="168"/>
      <c r="AO157" s="168"/>
      <c r="AP157" s="168"/>
      <c r="AQ157" s="168"/>
      <c r="AR157" s="168"/>
      <c r="AS157" s="168"/>
      <c r="AT157" s="168"/>
      <c r="AU157" s="168"/>
      <c r="AV157" s="168"/>
      <c r="AW157" s="168"/>
      <c r="AX157" s="168"/>
      <c r="AY157" s="168"/>
    </row>
    <row r="158" spans="1:51">
      <c r="A158" s="16" t="s">
        <v>33</v>
      </c>
      <c r="B158" s="163"/>
      <c r="C158" s="107"/>
      <c r="D158" s="23"/>
      <c r="E158" s="24"/>
      <c r="F158" s="24"/>
      <c r="G158" s="24"/>
      <c r="H158" s="24"/>
      <c r="I158" s="24"/>
      <c r="J158" s="24"/>
      <c r="K158" s="24"/>
      <c r="L158" s="24"/>
      <c r="M158" s="22"/>
      <c r="N158" s="23"/>
      <c r="O158" s="24"/>
      <c r="P158" s="24"/>
      <c r="Q158" s="24"/>
      <c r="R158" s="24"/>
      <c r="S158" s="24"/>
      <c r="T158" s="24"/>
      <c r="U158" s="24"/>
      <c r="V158" s="24"/>
      <c r="W158" s="22"/>
      <c r="X158" s="23"/>
      <c r="Y158" s="24"/>
      <c r="Z158" s="24"/>
      <c r="AA158" s="24"/>
      <c r="AB158" s="24"/>
      <c r="AC158" s="24"/>
      <c r="AD158" s="24"/>
      <c r="AE158" s="24"/>
      <c r="AF158" s="24"/>
      <c r="AG158" s="22"/>
      <c r="AH158" s="203" t="str">
        <f t="shared" si="16"/>
        <v/>
      </c>
      <c r="AI158" s="204" t="str">
        <f t="shared" si="17"/>
        <v/>
      </c>
      <c r="AJ158" s="205" t="str">
        <f t="shared" si="18"/>
        <v/>
      </c>
      <c r="AK158" s="206">
        <f t="shared" si="19"/>
        <v>0</v>
      </c>
      <c r="AL158" s="168"/>
      <c r="AM158" s="168"/>
      <c r="AN158" s="168"/>
      <c r="AO158" s="168"/>
      <c r="AP158" s="168"/>
      <c r="AQ158" s="168"/>
      <c r="AR158" s="168"/>
      <c r="AS158" s="168"/>
      <c r="AT158" s="168"/>
      <c r="AU158" s="168"/>
      <c r="AV158" s="168"/>
      <c r="AW158" s="168"/>
      <c r="AX158" s="168"/>
      <c r="AY158" s="168"/>
    </row>
    <row r="159" spans="1:51">
      <c r="A159" s="16" t="s">
        <v>33</v>
      </c>
      <c r="B159" s="163"/>
      <c r="C159" s="107"/>
      <c r="D159" s="23"/>
      <c r="E159" s="24"/>
      <c r="F159" s="24"/>
      <c r="G159" s="24"/>
      <c r="H159" s="24"/>
      <c r="I159" s="24"/>
      <c r="J159" s="24"/>
      <c r="K159" s="24"/>
      <c r="L159" s="24"/>
      <c r="M159" s="22"/>
      <c r="N159" s="23"/>
      <c r="O159" s="24"/>
      <c r="P159" s="24"/>
      <c r="Q159" s="24"/>
      <c r="R159" s="24"/>
      <c r="S159" s="24"/>
      <c r="T159" s="24"/>
      <c r="U159" s="24"/>
      <c r="V159" s="24"/>
      <c r="W159" s="22"/>
      <c r="X159" s="23"/>
      <c r="Y159" s="24"/>
      <c r="Z159" s="24"/>
      <c r="AA159" s="24"/>
      <c r="AB159" s="24"/>
      <c r="AC159" s="24"/>
      <c r="AD159" s="24"/>
      <c r="AE159" s="24"/>
      <c r="AF159" s="24"/>
      <c r="AG159" s="22"/>
      <c r="AH159" s="203" t="str">
        <f t="shared" si="16"/>
        <v/>
      </c>
      <c r="AI159" s="204" t="str">
        <f t="shared" si="17"/>
        <v/>
      </c>
      <c r="AJ159" s="205" t="str">
        <f t="shared" si="18"/>
        <v/>
      </c>
      <c r="AK159" s="206">
        <f t="shared" si="19"/>
        <v>0</v>
      </c>
      <c r="AL159" s="168"/>
      <c r="AM159" s="168"/>
      <c r="AN159" s="168"/>
      <c r="AO159" s="168"/>
      <c r="AP159" s="168"/>
      <c r="AQ159" s="168"/>
      <c r="AR159" s="168"/>
      <c r="AS159" s="168"/>
      <c r="AT159" s="168"/>
      <c r="AU159" s="168"/>
      <c r="AV159" s="168"/>
      <c r="AW159" s="168"/>
      <c r="AX159" s="168"/>
      <c r="AY159" s="168"/>
    </row>
    <row r="160" spans="1:51">
      <c r="A160" s="16" t="s">
        <v>33</v>
      </c>
      <c r="B160" s="163"/>
      <c r="C160" s="107"/>
      <c r="D160" s="23"/>
      <c r="E160" s="24"/>
      <c r="F160" s="24"/>
      <c r="G160" s="24"/>
      <c r="H160" s="24"/>
      <c r="I160" s="24"/>
      <c r="J160" s="24"/>
      <c r="K160" s="24"/>
      <c r="L160" s="24"/>
      <c r="M160" s="22"/>
      <c r="N160" s="23"/>
      <c r="O160" s="24"/>
      <c r="P160" s="24"/>
      <c r="Q160" s="24"/>
      <c r="R160" s="24"/>
      <c r="S160" s="24"/>
      <c r="T160" s="24"/>
      <c r="U160" s="24"/>
      <c r="V160" s="24"/>
      <c r="W160" s="22"/>
      <c r="X160" s="23"/>
      <c r="Y160" s="24"/>
      <c r="Z160" s="24"/>
      <c r="AA160" s="24"/>
      <c r="AB160" s="24"/>
      <c r="AC160" s="24"/>
      <c r="AD160" s="24"/>
      <c r="AE160" s="24"/>
      <c r="AF160" s="24"/>
      <c r="AG160" s="22"/>
      <c r="AH160" s="203" t="str">
        <f t="shared" si="16"/>
        <v/>
      </c>
      <c r="AI160" s="204" t="str">
        <f t="shared" si="17"/>
        <v/>
      </c>
      <c r="AJ160" s="205" t="str">
        <f t="shared" si="18"/>
        <v/>
      </c>
      <c r="AK160" s="206">
        <f t="shared" si="19"/>
        <v>0</v>
      </c>
      <c r="AL160" s="168"/>
      <c r="AM160" s="168"/>
      <c r="AN160" s="168"/>
      <c r="AO160" s="168"/>
      <c r="AP160" s="168"/>
      <c r="AQ160" s="168"/>
      <c r="AR160" s="168"/>
      <c r="AS160" s="168"/>
      <c r="AT160" s="168"/>
      <c r="AU160" s="168"/>
      <c r="AV160" s="168"/>
      <c r="AW160" s="168"/>
      <c r="AX160" s="168"/>
      <c r="AY160" s="168"/>
    </row>
    <row r="161" spans="1:51">
      <c r="A161" s="16" t="s">
        <v>33</v>
      </c>
      <c r="B161" s="163"/>
      <c r="C161" s="107"/>
      <c r="D161" s="23"/>
      <c r="E161" s="24"/>
      <c r="F161" s="24"/>
      <c r="G161" s="24"/>
      <c r="H161" s="24"/>
      <c r="I161" s="24"/>
      <c r="J161" s="24"/>
      <c r="K161" s="24"/>
      <c r="L161" s="24"/>
      <c r="M161" s="22"/>
      <c r="N161" s="23"/>
      <c r="O161" s="24"/>
      <c r="P161" s="24"/>
      <c r="Q161" s="24"/>
      <c r="R161" s="24"/>
      <c r="S161" s="24"/>
      <c r="T161" s="24"/>
      <c r="U161" s="24"/>
      <c r="V161" s="24"/>
      <c r="W161" s="22"/>
      <c r="X161" s="23"/>
      <c r="Y161" s="24"/>
      <c r="Z161" s="24"/>
      <c r="AA161" s="24"/>
      <c r="AB161" s="24"/>
      <c r="AC161" s="24"/>
      <c r="AD161" s="24"/>
      <c r="AE161" s="24"/>
      <c r="AF161" s="24"/>
      <c r="AG161" s="22"/>
      <c r="AH161" s="203" t="str">
        <f t="shared" si="16"/>
        <v/>
      </c>
      <c r="AI161" s="204" t="str">
        <f t="shared" si="17"/>
        <v/>
      </c>
      <c r="AJ161" s="205" t="str">
        <f t="shared" si="18"/>
        <v/>
      </c>
      <c r="AK161" s="206">
        <f t="shared" si="19"/>
        <v>0</v>
      </c>
      <c r="AL161" s="168"/>
      <c r="AM161" s="168"/>
      <c r="AN161" s="168"/>
      <c r="AO161" s="168"/>
      <c r="AP161" s="168"/>
      <c r="AQ161" s="168"/>
      <c r="AR161" s="168"/>
      <c r="AS161" s="168"/>
      <c r="AT161" s="168"/>
      <c r="AU161" s="168"/>
      <c r="AV161" s="168"/>
      <c r="AW161" s="168"/>
      <c r="AX161" s="168"/>
      <c r="AY161" s="168"/>
    </row>
    <row r="162" spans="1:51">
      <c r="A162" s="16" t="s">
        <v>33</v>
      </c>
      <c r="B162" s="163"/>
      <c r="C162" s="107"/>
      <c r="D162" s="23"/>
      <c r="E162" s="24"/>
      <c r="F162" s="24"/>
      <c r="G162" s="24"/>
      <c r="H162" s="24"/>
      <c r="I162" s="24"/>
      <c r="J162" s="24"/>
      <c r="K162" s="24"/>
      <c r="L162" s="24"/>
      <c r="M162" s="22"/>
      <c r="N162" s="23"/>
      <c r="O162" s="24"/>
      <c r="P162" s="24"/>
      <c r="Q162" s="24"/>
      <c r="R162" s="24"/>
      <c r="S162" s="24"/>
      <c r="T162" s="24"/>
      <c r="U162" s="24"/>
      <c r="V162" s="24"/>
      <c r="W162" s="22"/>
      <c r="X162" s="23"/>
      <c r="Y162" s="24"/>
      <c r="Z162" s="24"/>
      <c r="AA162" s="24"/>
      <c r="AB162" s="24"/>
      <c r="AC162" s="24"/>
      <c r="AD162" s="24"/>
      <c r="AE162" s="24"/>
      <c r="AF162" s="24"/>
      <c r="AG162" s="22"/>
      <c r="AH162" s="203" t="str">
        <f t="shared" si="16"/>
        <v/>
      </c>
      <c r="AI162" s="204" t="str">
        <f t="shared" si="17"/>
        <v/>
      </c>
      <c r="AJ162" s="205" t="str">
        <f t="shared" si="18"/>
        <v/>
      </c>
      <c r="AK162" s="206">
        <f t="shared" si="19"/>
        <v>0</v>
      </c>
      <c r="AL162" s="168"/>
      <c r="AM162" s="168"/>
      <c r="AN162" s="168"/>
      <c r="AO162" s="168"/>
      <c r="AP162" s="168"/>
      <c r="AQ162" s="168"/>
      <c r="AR162" s="168"/>
      <c r="AS162" s="168"/>
      <c r="AT162" s="168"/>
      <c r="AU162" s="168"/>
      <c r="AV162" s="168"/>
      <c r="AW162" s="168"/>
      <c r="AX162" s="168"/>
      <c r="AY162" s="168"/>
    </row>
    <row r="163" spans="1:51">
      <c r="A163" s="16" t="s">
        <v>33</v>
      </c>
      <c r="B163" s="163"/>
      <c r="C163" s="107"/>
      <c r="D163" s="23"/>
      <c r="E163" s="24"/>
      <c r="F163" s="24"/>
      <c r="G163" s="24"/>
      <c r="H163" s="24"/>
      <c r="I163" s="24"/>
      <c r="J163" s="24"/>
      <c r="K163" s="24"/>
      <c r="L163" s="24"/>
      <c r="M163" s="22"/>
      <c r="N163" s="23"/>
      <c r="O163" s="24"/>
      <c r="P163" s="24"/>
      <c r="Q163" s="24"/>
      <c r="R163" s="24"/>
      <c r="S163" s="24"/>
      <c r="T163" s="24"/>
      <c r="U163" s="24"/>
      <c r="V163" s="24"/>
      <c r="W163" s="22"/>
      <c r="X163" s="23"/>
      <c r="Y163" s="24"/>
      <c r="Z163" s="24"/>
      <c r="AA163" s="24"/>
      <c r="AB163" s="24"/>
      <c r="AC163" s="24"/>
      <c r="AD163" s="24"/>
      <c r="AE163" s="24"/>
      <c r="AF163" s="24"/>
      <c r="AG163" s="22"/>
      <c r="AH163" s="203" t="str">
        <f t="shared" si="16"/>
        <v/>
      </c>
      <c r="AI163" s="204" t="str">
        <f t="shared" si="17"/>
        <v/>
      </c>
      <c r="AJ163" s="205" t="str">
        <f t="shared" si="18"/>
        <v/>
      </c>
      <c r="AK163" s="206">
        <f t="shared" si="19"/>
        <v>0</v>
      </c>
      <c r="AL163" s="168"/>
      <c r="AM163" s="168"/>
      <c r="AN163" s="168"/>
      <c r="AO163" s="168"/>
      <c r="AP163" s="168"/>
      <c r="AQ163" s="168"/>
      <c r="AR163" s="168"/>
      <c r="AS163" s="168"/>
      <c r="AT163" s="168"/>
      <c r="AU163" s="168"/>
      <c r="AV163" s="168"/>
      <c r="AW163" s="168"/>
      <c r="AX163" s="168"/>
      <c r="AY163" s="168"/>
    </row>
    <row r="164" spans="1:51">
      <c r="A164" s="16" t="s">
        <v>33</v>
      </c>
      <c r="B164" s="163"/>
      <c r="C164" s="107"/>
      <c r="D164" s="23"/>
      <c r="E164" s="24"/>
      <c r="F164" s="24"/>
      <c r="G164" s="24"/>
      <c r="H164" s="24"/>
      <c r="I164" s="24"/>
      <c r="J164" s="24"/>
      <c r="K164" s="24"/>
      <c r="L164" s="24"/>
      <c r="M164" s="22"/>
      <c r="N164" s="23"/>
      <c r="O164" s="24"/>
      <c r="P164" s="24"/>
      <c r="Q164" s="24"/>
      <c r="R164" s="24"/>
      <c r="S164" s="24"/>
      <c r="T164" s="24"/>
      <c r="U164" s="24"/>
      <c r="V164" s="24"/>
      <c r="W164" s="22"/>
      <c r="X164" s="23"/>
      <c r="Y164" s="24"/>
      <c r="Z164" s="24"/>
      <c r="AA164" s="24"/>
      <c r="AB164" s="24"/>
      <c r="AC164" s="24"/>
      <c r="AD164" s="24"/>
      <c r="AE164" s="24"/>
      <c r="AF164" s="24"/>
      <c r="AG164" s="22"/>
      <c r="AH164" s="203" t="str">
        <f t="shared" si="16"/>
        <v/>
      </c>
      <c r="AI164" s="204" t="str">
        <f t="shared" si="17"/>
        <v/>
      </c>
      <c r="AJ164" s="205" t="str">
        <f t="shared" si="18"/>
        <v/>
      </c>
      <c r="AK164" s="206">
        <f t="shared" si="19"/>
        <v>0</v>
      </c>
      <c r="AL164" s="168"/>
      <c r="AM164" s="168"/>
      <c r="AN164" s="168"/>
      <c r="AO164" s="168"/>
      <c r="AP164" s="168"/>
      <c r="AQ164" s="168"/>
      <c r="AR164" s="168"/>
      <c r="AS164" s="168"/>
      <c r="AT164" s="168"/>
      <c r="AU164" s="168"/>
      <c r="AV164" s="168"/>
      <c r="AW164" s="168"/>
      <c r="AX164" s="168"/>
      <c r="AY164" s="168"/>
    </row>
    <row r="165" spans="1:51">
      <c r="A165" s="16" t="s">
        <v>33</v>
      </c>
      <c r="B165" s="163"/>
      <c r="C165" s="107"/>
      <c r="D165" s="23"/>
      <c r="E165" s="24"/>
      <c r="F165" s="24"/>
      <c r="G165" s="24"/>
      <c r="H165" s="24"/>
      <c r="I165" s="24"/>
      <c r="J165" s="24"/>
      <c r="K165" s="24"/>
      <c r="L165" s="24"/>
      <c r="M165" s="22"/>
      <c r="N165" s="23"/>
      <c r="O165" s="24"/>
      <c r="P165" s="24"/>
      <c r="Q165" s="24"/>
      <c r="R165" s="24"/>
      <c r="S165" s="24"/>
      <c r="T165" s="24"/>
      <c r="U165" s="24"/>
      <c r="V165" s="24"/>
      <c r="W165" s="22"/>
      <c r="X165" s="23"/>
      <c r="Y165" s="24"/>
      <c r="Z165" s="24"/>
      <c r="AA165" s="24"/>
      <c r="AB165" s="24"/>
      <c r="AC165" s="24"/>
      <c r="AD165" s="24"/>
      <c r="AE165" s="24"/>
      <c r="AF165" s="24"/>
      <c r="AG165" s="22"/>
      <c r="AH165" s="203" t="str">
        <f t="shared" si="16"/>
        <v/>
      </c>
      <c r="AI165" s="204" t="str">
        <f t="shared" si="17"/>
        <v/>
      </c>
      <c r="AJ165" s="205" t="str">
        <f t="shared" si="18"/>
        <v/>
      </c>
      <c r="AK165" s="206">
        <f t="shared" si="19"/>
        <v>0</v>
      </c>
      <c r="AL165" s="168"/>
      <c r="AM165" s="168"/>
      <c r="AN165" s="168"/>
      <c r="AO165" s="168"/>
      <c r="AP165" s="168"/>
      <c r="AQ165" s="168"/>
      <c r="AR165" s="168"/>
      <c r="AS165" s="168"/>
      <c r="AT165" s="168"/>
      <c r="AU165" s="168"/>
      <c r="AV165" s="168"/>
      <c r="AW165" s="168"/>
      <c r="AX165" s="168"/>
      <c r="AY165" s="168"/>
    </row>
    <row r="166" spans="1:51" ht="13" thickBot="1">
      <c r="A166" s="17" t="s">
        <v>33</v>
      </c>
      <c r="B166" s="164"/>
      <c r="C166" s="113"/>
      <c r="D166" s="31"/>
      <c r="E166" s="32"/>
      <c r="F166" s="32"/>
      <c r="G166" s="32"/>
      <c r="H166" s="32"/>
      <c r="I166" s="32"/>
      <c r="J166" s="32"/>
      <c r="K166" s="32"/>
      <c r="L166" s="32"/>
      <c r="M166" s="30"/>
      <c r="N166" s="31"/>
      <c r="O166" s="32"/>
      <c r="P166" s="32"/>
      <c r="Q166" s="32"/>
      <c r="R166" s="32"/>
      <c r="S166" s="32"/>
      <c r="T166" s="32"/>
      <c r="U166" s="32"/>
      <c r="V166" s="32"/>
      <c r="W166" s="30"/>
      <c r="X166" s="31"/>
      <c r="Y166" s="32"/>
      <c r="Z166" s="32"/>
      <c r="AA166" s="32"/>
      <c r="AB166" s="32"/>
      <c r="AC166" s="32"/>
      <c r="AD166" s="32"/>
      <c r="AE166" s="32"/>
      <c r="AF166" s="32"/>
      <c r="AG166" s="30"/>
      <c r="AH166" s="207" t="str">
        <f t="shared" si="16"/>
        <v/>
      </c>
      <c r="AI166" s="208" t="str">
        <f t="shared" si="17"/>
        <v/>
      </c>
      <c r="AJ166" s="185" t="str">
        <f t="shared" si="18"/>
        <v/>
      </c>
      <c r="AK166" s="209">
        <f t="shared" si="19"/>
        <v>0</v>
      </c>
      <c r="AL166" s="168"/>
      <c r="AM166" s="168"/>
      <c r="AN166" s="168"/>
      <c r="AO166" s="168"/>
      <c r="AP166" s="168"/>
      <c r="AQ166" s="168"/>
      <c r="AR166" s="168"/>
      <c r="AS166" s="168"/>
      <c r="AT166" s="168"/>
      <c r="AU166" s="168"/>
      <c r="AV166" s="168"/>
      <c r="AW166" s="168"/>
      <c r="AX166" s="168"/>
      <c r="AY166" s="168"/>
    </row>
    <row r="167" spans="1:51">
      <c r="A167" s="168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8"/>
      <c r="AB167" s="168"/>
      <c r="AC167" s="168"/>
      <c r="AD167" s="168"/>
      <c r="AE167" s="168"/>
      <c r="AF167" s="168"/>
      <c r="AG167" s="168"/>
      <c r="AH167" s="168"/>
      <c r="AI167" s="168"/>
      <c r="AJ167" s="168"/>
      <c r="AK167" s="168"/>
      <c r="AL167" s="168"/>
      <c r="AM167" s="168"/>
      <c r="AN167" s="168"/>
      <c r="AO167" s="168"/>
      <c r="AP167" s="168"/>
      <c r="AQ167" s="168"/>
      <c r="AR167" s="168"/>
      <c r="AS167" s="168"/>
      <c r="AT167" s="168"/>
      <c r="AU167" s="168"/>
      <c r="AV167" s="168"/>
      <c r="AW167" s="168"/>
      <c r="AX167" s="168"/>
      <c r="AY167" s="168"/>
    </row>
    <row r="168" spans="1:51">
      <c r="A168" s="168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  <c r="AB168" s="168"/>
      <c r="AC168" s="168"/>
      <c r="AD168" s="168"/>
      <c r="AE168" s="168"/>
      <c r="AF168" s="168"/>
      <c r="AG168" s="168"/>
      <c r="AH168" s="168"/>
      <c r="AI168" s="168"/>
      <c r="AJ168" s="168"/>
      <c r="AK168" s="168"/>
      <c r="AL168" s="168"/>
      <c r="AM168" s="168"/>
      <c r="AN168" s="168"/>
      <c r="AO168" s="168"/>
      <c r="AP168" s="168"/>
      <c r="AQ168" s="168"/>
      <c r="AR168" s="168"/>
      <c r="AS168" s="168"/>
      <c r="AT168" s="168"/>
      <c r="AU168" s="168"/>
      <c r="AV168" s="168"/>
      <c r="AW168" s="168"/>
      <c r="AX168" s="168"/>
      <c r="AY168" s="168"/>
    </row>
    <row r="169" spans="1:51">
      <c r="A169" s="168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8"/>
      <c r="AB169" s="168"/>
      <c r="AC169" s="168"/>
      <c r="AD169" s="168"/>
      <c r="AE169" s="168"/>
      <c r="AF169" s="168"/>
      <c r="AG169" s="168"/>
      <c r="AH169" s="168"/>
      <c r="AI169" s="168"/>
      <c r="AJ169" s="168"/>
      <c r="AK169" s="168"/>
      <c r="AL169" s="168"/>
      <c r="AM169" s="168"/>
      <c r="AN169" s="168"/>
      <c r="AO169" s="168"/>
      <c r="AP169" s="168"/>
      <c r="AQ169" s="168"/>
      <c r="AR169" s="168"/>
      <c r="AS169" s="168"/>
      <c r="AT169" s="168"/>
      <c r="AU169" s="168"/>
      <c r="AV169" s="168"/>
      <c r="AW169" s="168"/>
      <c r="AX169" s="168"/>
      <c r="AY169" s="168"/>
    </row>
    <row r="170" spans="1:51">
      <c r="A170" s="168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  <c r="AB170" s="168"/>
      <c r="AC170" s="168"/>
      <c r="AD170" s="168"/>
      <c r="AE170" s="168"/>
      <c r="AF170" s="168"/>
      <c r="AG170" s="168"/>
      <c r="AH170" s="168"/>
      <c r="AI170" s="168"/>
      <c r="AJ170" s="168"/>
      <c r="AK170" s="168"/>
      <c r="AL170" s="168"/>
      <c r="AM170" s="168"/>
      <c r="AN170" s="168"/>
      <c r="AO170" s="168"/>
      <c r="AP170" s="168"/>
      <c r="AQ170" s="168"/>
      <c r="AR170" s="168"/>
      <c r="AS170" s="168"/>
      <c r="AT170" s="168"/>
      <c r="AU170" s="168"/>
      <c r="AV170" s="168"/>
      <c r="AW170" s="168"/>
      <c r="AX170" s="168"/>
      <c r="AY170" s="168"/>
    </row>
    <row r="171" spans="1:51">
      <c r="A171" s="168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  <c r="AA171" s="168"/>
      <c r="AB171" s="168"/>
      <c r="AC171" s="168"/>
      <c r="AD171" s="168"/>
      <c r="AE171" s="168"/>
      <c r="AF171" s="168"/>
      <c r="AG171" s="168"/>
      <c r="AH171" s="168"/>
      <c r="AI171" s="168"/>
      <c r="AJ171" s="168"/>
      <c r="AK171" s="168"/>
      <c r="AL171" s="168"/>
      <c r="AM171" s="168"/>
      <c r="AN171" s="168"/>
      <c r="AO171" s="168"/>
      <c r="AP171" s="168"/>
      <c r="AQ171" s="168"/>
      <c r="AR171" s="168"/>
      <c r="AS171" s="168"/>
      <c r="AT171" s="168"/>
      <c r="AU171" s="168"/>
      <c r="AV171" s="168"/>
      <c r="AW171" s="168"/>
      <c r="AX171" s="168"/>
      <c r="AY171" s="168"/>
    </row>
  </sheetData>
  <sheetProtection sheet="1" objects="1" scenarios="1" selectLockedCells="1" autoFilter="0"/>
  <autoFilter ref="A11:A166"/>
  <mergeCells count="9">
    <mergeCell ref="X11:AG11"/>
    <mergeCell ref="AH11:AJ11"/>
    <mergeCell ref="A3:A4"/>
    <mergeCell ref="B3:B4"/>
    <mergeCell ref="C3:C4"/>
    <mergeCell ref="D3:M3"/>
    <mergeCell ref="N3:W3"/>
    <mergeCell ref="D11:M11"/>
    <mergeCell ref="N11:W11"/>
  </mergeCells>
  <phoneticPr fontId="12" type="noConversion"/>
  <dataValidations count="3">
    <dataValidation type="date" operator="greaterThanOrEqual" allowBlank="1" showInputMessage="1" showErrorMessage="1" errorTitle="Felaktigt datum" error="Mata in datum i formen ÅÅÅ-MM-DD. Endast datum mellan 1/5 och 31/12 2006 är tillåtna." sqref="B107:B135 B5:B9 B44:B73 B137:B166 B13:B42 B75:B104">
      <formula1>40634</formula1>
    </dataValidation>
    <dataValidation type="whole" allowBlank="1" showInputMessage="1" showErrorMessage="1" errorTitle="Felaktigt värde" error="Endast tal mellan 0 och 100 kan matas in." sqref="D5:W9">
      <formula1>0</formula1>
      <formula2>100</formula2>
    </dataValidation>
    <dataValidation showInputMessage="1" showErrorMessage="1" sqref="A5:A9"/>
  </dataValidations>
  <printOptions horizontalCentered="1"/>
  <pageMargins left="0.31496062992125984" right="0.27559055118110237" top="0.55118110236220474" bottom="0.22" header="0.51181102362204722" footer="0.17"/>
  <pageSetup paperSize="9" orientation="landscape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autoPageBreaks="0"/>
  </sheetPr>
  <dimension ref="A1:AY171"/>
  <sheetViews>
    <sheetView showGridLines="0" tabSelected="1" workbookViewId="0">
      <pane xSplit="3" ySplit="11" topLeftCell="D12" activePane="bottomRight" state="frozen"/>
      <selection pane="topRight" activeCell="D1" sqref="D1"/>
      <selection pane="bottomLeft" activeCell="A11" sqref="A11"/>
      <selection pane="bottomRight" activeCell="B23" sqref="B23"/>
    </sheetView>
  </sheetViews>
  <sheetFormatPr baseColWidth="10" defaultColWidth="8.83203125" defaultRowHeight="12" x14ac:dyDescent="0"/>
  <cols>
    <col min="2" max="2" width="11.33203125" style="1" customWidth="1"/>
    <col min="3" max="3" width="7.1640625" style="1" customWidth="1"/>
    <col min="4" max="33" width="3.83203125" customWidth="1"/>
    <col min="34" max="34" width="6.33203125" customWidth="1"/>
    <col min="35" max="35" width="6.6640625" customWidth="1"/>
    <col min="36" max="36" width="8.1640625" customWidth="1"/>
    <col min="37" max="37" width="7.6640625" customWidth="1"/>
    <col min="38" max="38" width="2.33203125" customWidth="1"/>
    <col min="49" max="51" width="6.5" customWidth="1"/>
  </cols>
  <sheetData>
    <row r="1" spans="1:51" ht="17">
      <c r="A1" s="165" t="s">
        <v>45</v>
      </c>
      <c r="B1" s="167"/>
      <c r="C1" s="167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</row>
    <row r="2" spans="1:51" ht="18" thickBot="1">
      <c r="A2" s="169" t="s">
        <v>11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68"/>
      <c r="N2" s="182"/>
      <c r="O2" s="182"/>
      <c r="P2" s="182"/>
      <c r="Q2" s="182"/>
      <c r="R2" s="182"/>
      <c r="S2" s="182"/>
      <c r="T2" s="182"/>
      <c r="U2" s="182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90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  <c r="AT2" s="168"/>
      <c r="AU2" s="168"/>
      <c r="AV2" s="168"/>
      <c r="AW2" s="168"/>
      <c r="AX2" s="168"/>
      <c r="AY2" s="168"/>
    </row>
    <row r="3" spans="1:51" s="3" customFormat="1" ht="18" customHeight="1" thickBot="1">
      <c r="A3" s="451" t="s">
        <v>29</v>
      </c>
      <c r="B3" s="453" t="s">
        <v>1</v>
      </c>
      <c r="C3" s="455" t="s">
        <v>0</v>
      </c>
      <c r="D3" s="457" t="s">
        <v>46</v>
      </c>
      <c r="E3" s="457"/>
      <c r="F3" s="457"/>
      <c r="G3" s="457"/>
      <c r="H3" s="457"/>
      <c r="I3" s="457"/>
      <c r="J3" s="457"/>
      <c r="K3" s="457"/>
      <c r="L3" s="457"/>
      <c r="M3" s="457"/>
      <c r="N3" s="458" t="s">
        <v>47</v>
      </c>
      <c r="O3" s="457"/>
      <c r="P3" s="457"/>
      <c r="Q3" s="457"/>
      <c r="R3" s="457"/>
      <c r="S3" s="457"/>
      <c r="T3" s="457"/>
      <c r="U3" s="457"/>
      <c r="V3" s="457"/>
      <c r="W3" s="459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72"/>
      <c r="AI3" s="172"/>
      <c r="AJ3" s="172"/>
      <c r="AK3" s="172"/>
      <c r="AL3" s="172"/>
      <c r="AM3" s="172"/>
      <c r="AN3" s="172"/>
      <c r="AO3" s="172"/>
      <c r="AP3" s="172"/>
      <c r="AQ3" s="172"/>
      <c r="AR3" s="172"/>
      <c r="AS3" s="172"/>
      <c r="AT3" s="172"/>
      <c r="AU3" s="172"/>
      <c r="AV3" s="172"/>
      <c r="AW3" s="172"/>
      <c r="AX3" s="172"/>
      <c r="AY3" s="172"/>
    </row>
    <row r="4" spans="1:51" s="136" customFormat="1" ht="18" customHeight="1" thickBot="1">
      <c r="A4" s="452"/>
      <c r="B4" s="454"/>
      <c r="C4" s="456"/>
      <c r="D4" s="97" t="s">
        <v>61</v>
      </c>
      <c r="E4" s="98" t="s">
        <v>62</v>
      </c>
      <c r="F4" s="98" t="s">
        <v>63</v>
      </c>
      <c r="G4" s="98" t="s">
        <v>64</v>
      </c>
      <c r="H4" s="98" t="s">
        <v>65</v>
      </c>
      <c r="I4" s="98" t="s">
        <v>66</v>
      </c>
      <c r="J4" s="98" t="s">
        <v>67</v>
      </c>
      <c r="K4" s="98" t="s">
        <v>68</v>
      </c>
      <c r="L4" s="98" t="s">
        <v>69</v>
      </c>
      <c r="M4" s="99" t="s">
        <v>70</v>
      </c>
      <c r="N4" s="137" t="s">
        <v>61</v>
      </c>
      <c r="O4" s="138" t="s">
        <v>62</v>
      </c>
      <c r="P4" s="138" t="s">
        <v>63</v>
      </c>
      <c r="Q4" s="138" t="s">
        <v>64</v>
      </c>
      <c r="R4" s="138" t="s">
        <v>65</v>
      </c>
      <c r="S4" s="138" t="s">
        <v>66</v>
      </c>
      <c r="T4" s="138" t="s">
        <v>67</v>
      </c>
      <c r="U4" s="138" t="s">
        <v>68</v>
      </c>
      <c r="V4" s="138" t="s">
        <v>69</v>
      </c>
      <c r="W4" s="139" t="s">
        <v>70</v>
      </c>
      <c r="X4" s="191"/>
      <c r="Y4" s="191"/>
      <c r="Z4" s="191"/>
      <c r="AA4" s="191"/>
      <c r="AB4" s="191"/>
      <c r="AC4" s="191"/>
      <c r="AD4" s="191"/>
      <c r="AE4" s="191"/>
      <c r="AF4" s="191"/>
      <c r="AG4" s="191"/>
      <c r="AH4" s="191"/>
      <c r="AI4" s="191"/>
      <c r="AJ4" s="191"/>
      <c r="AK4" s="191"/>
      <c r="AL4" s="191"/>
      <c r="AM4" s="191"/>
      <c r="AN4" s="191"/>
      <c r="AO4" s="191"/>
      <c r="AP4" s="191"/>
      <c r="AQ4" s="191"/>
      <c r="AR4" s="191"/>
      <c r="AS4" s="191"/>
      <c r="AT4" s="191"/>
      <c r="AU4" s="191"/>
      <c r="AV4" s="191"/>
      <c r="AW4" s="191"/>
      <c r="AX4" s="191"/>
      <c r="AY4" s="191"/>
    </row>
    <row r="5" spans="1:51" s="136" customFormat="1" ht="18" customHeight="1">
      <c r="A5" s="142" t="s">
        <v>30</v>
      </c>
      <c r="B5" s="140">
        <v>41054</v>
      </c>
      <c r="C5" s="105" t="s">
        <v>73</v>
      </c>
      <c r="D5" s="144">
        <v>1</v>
      </c>
      <c r="E5" s="145">
        <v>2</v>
      </c>
      <c r="F5" s="144">
        <v>3</v>
      </c>
      <c r="G5" s="145">
        <v>4</v>
      </c>
      <c r="H5" s="144">
        <v>5</v>
      </c>
      <c r="I5" s="145">
        <v>6</v>
      </c>
      <c r="J5" s="144">
        <v>7</v>
      </c>
      <c r="K5" s="145">
        <v>8</v>
      </c>
      <c r="L5" s="144">
        <v>10</v>
      </c>
      <c r="M5" s="156">
        <v>11</v>
      </c>
      <c r="N5" s="159">
        <v>5</v>
      </c>
      <c r="O5" s="145">
        <v>15</v>
      </c>
      <c r="P5" s="145">
        <v>10</v>
      </c>
      <c r="Q5" s="145">
        <v>5</v>
      </c>
      <c r="R5" s="145">
        <v>5</v>
      </c>
      <c r="S5" s="145">
        <v>5</v>
      </c>
      <c r="T5" s="145">
        <v>10</v>
      </c>
      <c r="U5" s="145">
        <v>15</v>
      </c>
      <c r="V5" s="145">
        <v>5</v>
      </c>
      <c r="W5" s="146">
        <v>5</v>
      </c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91"/>
      <c r="AK5" s="191"/>
      <c r="AL5" s="191"/>
      <c r="AM5" s="191"/>
      <c r="AN5" s="191"/>
      <c r="AO5" s="191"/>
      <c r="AP5" s="191"/>
      <c r="AQ5" s="191"/>
      <c r="AR5" s="191"/>
      <c r="AS5" s="191"/>
      <c r="AT5" s="191"/>
      <c r="AU5" s="191"/>
      <c r="AV5" s="191"/>
      <c r="AW5" s="191"/>
      <c r="AX5" s="191"/>
      <c r="AY5" s="191"/>
    </row>
    <row r="6" spans="1:51" s="136" customFormat="1" ht="18" customHeight="1">
      <c r="A6" s="142" t="s">
        <v>31</v>
      </c>
      <c r="B6" s="140">
        <v>41098</v>
      </c>
      <c r="C6" s="105" t="s">
        <v>72</v>
      </c>
      <c r="D6" s="147">
        <v>1</v>
      </c>
      <c r="E6" s="148">
        <v>2</v>
      </c>
      <c r="F6" s="148">
        <v>3</v>
      </c>
      <c r="G6" s="148">
        <v>4</v>
      </c>
      <c r="H6" s="148">
        <v>5</v>
      </c>
      <c r="I6" s="148">
        <v>6</v>
      </c>
      <c r="J6" s="148">
        <v>7</v>
      </c>
      <c r="K6" s="148">
        <v>8</v>
      </c>
      <c r="L6" s="148">
        <v>9</v>
      </c>
      <c r="M6" s="157">
        <v>10</v>
      </c>
      <c r="N6" s="160">
        <v>55</v>
      </c>
      <c r="O6" s="148">
        <v>45</v>
      </c>
      <c r="P6" s="148">
        <v>20</v>
      </c>
      <c r="Q6" s="148">
        <v>35</v>
      </c>
      <c r="R6" s="148">
        <v>40</v>
      </c>
      <c r="S6" s="148">
        <v>15</v>
      </c>
      <c r="T6" s="148">
        <v>10</v>
      </c>
      <c r="U6" s="148">
        <v>35</v>
      </c>
      <c r="V6" s="148">
        <v>10</v>
      </c>
      <c r="W6" s="149">
        <v>5</v>
      </c>
      <c r="X6" s="191"/>
      <c r="Y6" s="191"/>
      <c r="Z6" s="191"/>
      <c r="AA6" s="191"/>
      <c r="AB6" s="191"/>
      <c r="AC6" s="191"/>
      <c r="AD6" s="191"/>
      <c r="AE6" s="191"/>
      <c r="AF6" s="191"/>
      <c r="AG6" s="191"/>
      <c r="AH6" s="191"/>
      <c r="AI6" s="191"/>
      <c r="AJ6" s="191"/>
      <c r="AK6" s="191"/>
      <c r="AL6" s="191"/>
      <c r="AM6" s="191"/>
      <c r="AN6" s="191"/>
      <c r="AO6" s="191"/>
      <c r="AP6" s="191"/>
      <c r="AQ6" s="191"/>
      <c r="AR6" s="191"/>
      <c r="AS6" s="191"/>
      <c r="AT6" s="191"/>
      <c r="AU6" s="191"/>
      <c r="AV6" s="191"/>
      <c r="AW6" s="191"/>
      <c r="AX6" s="191"/>
      <c r="AY6" s="191"/>
    </row>
    <row r="7" spans="1:51" s="136" customFormat="1" ht="18" customHeight="1">
      <c r="A7" s="142" t="s">
        <v>32</v>
      </c>
      <c r="B7" s="140">
        <v>40724</v>
      </c>
      <c r="C7" s="105"/>
      <c r="D7" s="147">
        <v>1</v>
      </c>
      <c r="E7" s="148">
        <v>2</v>
      </c>
      <c r="F7" s="147">
        <v>3</v>
      </c>
      <c r="G7" s="148">
        <v>4</v>
      </c>
      <c r="H7" s="147">
        <v>5</v>
      </c>
      <c r="I7" s="148">
        <v>6</v>
      </c>
      <c r="J7" s="147">
        <v>7</v>
      </c>
      <c r="K7" s="148">
        <v>8</v>
      </c>
      <c r="L7" s="147">
        <v>9</v>
      </c>
      <c r="M7" s="148">
        <v>10</v>
      </c>
      <c r="N7" s="160">
        <v>80</v>
      </c>
      <c r="O7" s="148">
        <v>60</v>
      </c>
      <c r="P7" s="148">
        <v>55</v>
      </c>
      <c r="Q7" s="148">
        <v>50</v>
      </c>
      <c r="R7" s="148">
        <v>50</v>
      </c>
      <c r="S7" s="148">
        <v>35</v>
      </c>
      <c r="T7" s="148">
        <v>30</v>
      </c>
      <c r="U7" s="148">
        <v>40</v>
      </c>
      <c r="V7" s="148">
        <v>40</v>
      </c>
      <c r="W7" s="149">
        <v>35</v>
      </c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1"/>
      <c r="AK7" s="191"/>
      <c r="AL7" s="191"/>
      <c r="AM7" s="191"/>
      <c r="AN7" s="191"/>
      <c r="AO7" s="191"/>
      <c r="AP7" s="191"/>
      <c r="AQ7" s="191"/>
      <c r="AR7" s="191"/>
      <c r="AS7" s="191"/>
      <c r="AT7" s="191"/>
      <c r="AU7" s="191"/>
      <c r="AV7" s="191"/>
      <c r="AW7" s="191"/>
      <c r="AX7" s="191"/>
      <c r="AY7" s="191"/>
    </row>
    <row r="8" spans="1:51" s="136" customFormat="1" ht="18" customHeight="1">
      <c r="A8" s="300" t="s">
        <v>34</v>
      </c>
      <c r="B8" s="140">
        <v>41072</v>
      </c>
      <c r="C8" s="105" t="s">
        <v>96</v>
      </c>
      <c r="D8" s="295">
        <v>1</v>
      </c>
      <c r="E8" s="295">
        <v>2</v>
      </c>
      <c r="F8" s="295">
        <v>3</v>
      </c>
      <c r="G8" s="295">
        <v>4</v>
      </c>
      <c r="H8" s="295">
        <v>5</v>
      </c>
      <c r="I8" s="295">
        <v>6</v>
      </c>
      <c r="J8" s="295">
        <v>7</v>
      </c>
      <c r="K8" s="295">
        <v>8</v>
      </c>
      <c r="L8" s="295">
        <v>9</v>
      </c>
      <c r="M8" s="296">
        <v>10</v>
      </c>
      <c r="N8" s="297">
        <v>80</v>
      </c>
      <c r="O8" s="298">
        <v>70</v>
      </c>
      <c r="P8" s="298">
        <v>80</v>
      </c>
      <c r="Q8" s="298">
        <v>60</v>
      </c>
      <c r="R8" s="298">
        <v>50</v>
      </c>
      <c r="S8" s="298">
        <v>90</v>
      </c>
      <c r="T8" s="298">
        <v>80</v>
      </c>
      <c r="U8" s="298">
        <v>50</v>
      </c>
      <c r="V8" s="298">
        <v>70</v>
      </c>
      <c r="W8" s="299">
        <v>60</v>
      </c>
      <c r="X8" s="191"/>
      <c r="Y8" s="191"/>
      <c r="Z8" s="191"/>
      <c r="AA8" s="191"/>
      <c r="AB8" s="191"/>
      <c r="AC8" s="191"/>
      <c r="AD8" s="191"/>
      <c r="AE8" s="191"/>
      <c r="AF8" s="191"/>
      <c r="AG8" s="191"/>
      <c r="AH8" s="191"/>
      <c r="AI8" s="191"/>
      <c r="AJ8" s="191"/>
      <c r="AK8" s="191"/>
      <c r="AL8" s="191"/>
      <c r="AM8" s="191"/>
      <c r="AN8" s="191"/>
      <c r="AO8" s="191"/>
      <c r="AP8" s="191"/>
      <c r="AQ8" s="191"/>
      <c r="AR8" s="191"/>
      <c r="AS8" s="191"/>
      <c r="AT8" s="191"/>
      <c r="AU8" s="191"/>
      <c r="AV8" s="191"/>
      <c r="AW8" s="191"/>
      <c r="AX8" s="191"/>
      <c r="AY8" s="191"/>
    </row>
    <row r="9" spans="1:51" s="136" customFormat="1" ht="18" customHeight="1" thickBot="1">
      <c r="A9" s="143" t="s">
        <v>33</v>
      </c>
      <c r="B9" s="162">
        <v>41089</v>
      </c>
      <c r="C9" s="141" t="s">
        <v>89</v>
      </c>
      <c r="D9" s="150">
        <v>1</v>
      </c>
      <c r="E9" s="151">
        <v>2</v>
      </c>
      <c r="F9" s="151">
        <v>3</v>
      </c>
      <c r="G9" s="151">
        <v>4</v>
      </c>
      <c r="H9" s="151">
        <v>5</v>
      </c>
      <c r="I9" s="151">
        <v>6</v>
      </c>
      <c r="J9" s="151">
        <v>7</v>
      </c>
      <c r="K9" s="151">
        <v>8</v>
      </c>
      <c r="L9" s="151">
        <v>9</v>
      </c>
      <c r="M9" s="158">
        <v>10</v>
      </c>
      <c r="N9" s="161">
        <v>25</v>
      </c>
      <c r="O9" s="151">
        <v>20</v>
      </c>
      <c r="P9" s="151">
        <v>25</v>
      </c>
      <c r="Q9" s="151">
        <v>30</v>
      </c>
      <c r="R9" s="151">
        <v>20</v>
      </c>
      <c r="S9" s="151">
        <v>10</v>
      </c>
      <c r="T9" s="151">
        <v>35</v>
      </c>
      <c r="U9" s="151">
        <v>10</v>
      </c>
      <c r="V9" s="151">
        <v>20</v>
      </c>
      <c r="W9" s="152">
        <v>5</v>
      </c>
      <c r="X9" s="191"/>
      <c r="Y9" s="191"/>
      <c r="Z9" s="191"/>
      <c r="AA9" s="191"/>
      <c r="AB9" s="191"/>
      <c r="AC9" s="191"/>
      <c r="AD9" s="191"/>
      <c r="AE9" s="191"/>
      <c r="AF9" s="191"/>
      <c r="AG9" s="191"/>
      <c r="AH9" s="191"/>
      <c r="AI9" s="191"/>
      <c r="AJ9" s="191"/>
      <c r="AK9" s="191"/>
      <c r="AL9" s="191"/>
      <c r="AM9" s="191"/>
      <c r="AN9" s="191"/>
      <c r="AO9" s="191"/>
      <c r="AP9" s="191"/>
      <c r="AQ9" s="191"/>
      <c r="AR9" s="191"/>
      <c r="AS9" s="191"/>
      <c r="AT9" s="191"/>
      <c r="AU9" s="191"/>
      <c r="AV9" s="191"/>
      <c r="AW9" s="191"/>
      <c r="AX9" s="191"/>
      <c r="AY9" s="191"/>
    </row>
    <row r="10" spans="1:51" s="136" customFormat="1" ht="13" thickBot="1">
      <c r="A10" s="192"/>
      <c r="B10" s="193"/>
      <c r="C10" s="194"/>
      <c r="D10" s="194"/>
      <c r="E10" s="194"/>
      <c r="F10" s="194"/>
      <c r="G10" s="194"/>
      <c r="H10" s="194"/>
      <c r="I10" s="195"/>
      <c r="J10" s="196"/>
      <c r="K10" s="196"/>
      <c r="L10" s="191"/>
      <c r="M10" s="196"/>
      <c r="N10" s="196"/>
      <c r="O10" s="196"/>
      <c r="P10" s="196"/>
      <c r="Q10" s="196"/>
      <c r="R10" s="196"/>
      <c r="S10" s="196"/>
      <c r="T10" s="196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1"/>
      <c r="AI10" s="191"/>
      <c r="AJ10" s="191"/>
      <c r="AK10" s="191"/>
      <c r="AL10" s="191"/>
      <c r="AM10" s="191"/>
      <c r="AN10" s="191"/>
      <c r="AO10" s="191"/>
      <c r="AP10" s="191"/>
      <c r="AQ10" s="191"/>
      <c r="AR10" s="191"/>
      <c r="AS10" s="191"/>
      <c r="AT10" s="191"/>
      <c r="AU10" s="191"/>
      <c r="AV10" s="191"/>
      <c r="AW10" s="191"/>
      <c r="AX10" s="191"/>
      <c r="AY10" s="191"/>
    </row>
    <row r="11" spans="1:51" ht="13.5" customHeight="1" thickBot="1">
      <c r="A11" s="48" t="s">
        <v>29</v>
      </c>
      <c r="B11" s="49" t="s">
        <v>1</v>
      </c>
      <c r="C11" s="153" t="s">
        <v>0</v>
      </c>
      <c r="D11" s="460" t="s">
        <v>7</v>
      </c>
      <c r="E11" s="461"/>
      <c r="F11" s="461"/>
      <c r="G11" s="461"/>
      <c r="H11" s="461"/>
      <c r="I11" s="461"/>
      <c r="J11" s="461"/>
      <c r="K11" s="461"/>
      <c r="L11" s="461"/>
      <c r="M11" s="462"/>
      <c r="N11" s="460" t="s">
        <v>8</v>
      </c>
      <c r="O11" s="461"/>
      <c r="P11" s="461"/>
      <c r="Q11" s="461"/>
      <c r="R11" s="461"/>
      <c r="S11" s="461"/>
      <c r="T11" s="461"/>
      <c r="U11" s="461"/>
      <c r="V11" s="461"/>
      <c r="W11" s="462"/>
      <c r="X11" s="418" t="s">
        <v>9</v>
      </c>
      <c r="Y11" s="419"/>
      <c r="Z11" s="419"/>
      <c r="AA11" s="419"/>
      <c r="AB11" s="419"/>
      <c r="AC11" s="419"/>
      <c r="AD11" s="419"/>
      <c r="AE11" s="419"/>
      <c r="AF11" s="419"/>
      <c r="AG11" s="420"/>
      <c r="AH11" s="450" t="s">
        <v>35</v>
      </c>
      <c r="AI11" s="449"/>
      <c r="AJ11" s="449"/>
      <c r="AK11" s="50" t="s">
        <v>48</v>
      </c>
      <c r="AL11" s="168"/>
      <c r="AM11" s="168"/>
      <c r="AN11" s="168"/>
      <c r="AO11" s="168"/>
      <c r="AP11" s="168"/>
      <c r="AQ11" s="168"/>
      <c r="AR11" s="168"/>
      <c r="AS11" s="168"/>
      <c r="AT11" s="168"/>
      <c r="AU11" s="168"/>
      <c r="AV11" s="191"/>
      <c r="AW11" s="191"/>
      <c r="AX11" s="191"/>
      <c r="AY11" s="191"/>
    </row>
    <row r="12" spans="1:51" ht="13" thickBot="1">
      <c r="A12" s="294" t="s">
        <v>30</v>
      </c>
      <c r="B12" s="154"/>
      <c r="C12" s="154"/>
      <c r="D12" s="92" t="s">
        <v>61</v>
      </c>
      <c r="E12" s="93" t="s">
        <v>62</v>
      </c>
      <c r="F12" s="93" t="s">
        <v>63</v>
      </c>
      <c r="G12" s="93" t="s">
        <v>64</v>
      </c>
      <c r="H12" s="93" t="s">
        <v>65</v>
      </c>
      <c r="I12" s="93" t="s">
        <v>66</v>
      </c>
      <c r="J12" s="93" t="s">
        <v>67</v>
      </c>
      <c r="K12" s="93" t="s">
        <v>68</v>
      </c>
      <c r="L12" s="93" t="s">
        <v>69</v>
      </c>
      <c r="M12" s="96" t="s">
        <v>70</v>
      </c>
      <c r="N12" s="92" t="s">
        <v>61</v>
      </c>
      <c r="O12" s="93" t="s">
        <v>62</v>
      </c>
      <c r="P12" s="93" t="s">
        <v>63</v>
      </c>
      <c r="Q12" s="93" t="s">
        <v>64</v>
      </c>
      <c r="R12" s="93" t="s">
        <v>65</v>
      </c>
      <c r="S12" s="93" t="s">
        <v>66</v>
      </c>
      <c r="T12" s="93" t="s">
        <v>67</v>
      </c>
      <c r="U12" s="93" t="s">
        <v>68</v>
      </c>
      <c r="V12" s="93" t="s">
        <v>69</v>
      </c>
      <c r="W12" s="96" t="s">
        <v>70</v>
      </c>
      <c r="X12" s="354" t="s">
        <v>61</v>
      </c>
      <c r="Y12" s="355" t="s">
        <v>62</v>
      </c>
      <c r="Z12" s="355" t="s">
        <v>63</v>
      </c>
      <c r="AA12" s="355" t="s">
        <v>64</v>
      </c>
      <c r="AB12" s="355" t="s">
        <v>65</v>
      </c>
      <c r="AC12" s="355" t="s">
        <v>66</v>
      </c>
      <c r="AD12" s="355" t="s">
        <v>67</v>
      </c>
      <c r="AE12" s="355" t="s">
        <v>68</v>
      </c>
      <c r="AF12" s="355" t="s">
        <v>69</v>
      </c>
      <c r="AG12" s="356" t="s">
        <v>70</v>
      </c>
      <c r="AH12" s="306" t="s">
        <v>49</v>
      </c>
      <c r="AI12" s="293" t="s">
        <v>50</v>
      </c>
      <c r="AJ12" s="307" t="s">
        <v>51</v>
      </c>
      <c r="AK12" s="155"/>
      <c r="AL12" s="168"/>
      <c r="AM12" s="168"/>
      <c r="AN12" s="168"/>
      <c r="AO12" s="168"/>
      <c r="AP12" s="166"/>
      <c r="AQ12" s="168"/>
      <c r="AR12" s="168"/>
      <c r="AS12" s="168"/>
      <c r="AT12" s="168"/>
      <c r="AU12" s="168"/>
      <c r="AV12" s="191"/>
      <c r="AW12" s="191"/>
      <c r="AX12" s="191"/>
      <c r="AY12" s="191"/>
    </row>
    <row r="13" spans="1:51">
      <c r="A13" s="60" t="s">
        <v>30</v>
      </c>
      <c r="B13" s="163">
        <v>41054</v>
      </c>
      <c r="C13" s="107" t="s">
        <v>73</v>
      </c>
      <c r="D13" s="351">
        <v>0</v>
      </c>
      <c r="E13" s="352">
        <v>0</v>
      </c>
      <c r="F13" s="352">
        <v>0</v>
      </c>
      <c r="G13" s="352">
        <v>0</v>
      </c>
      <c r="H13" s="352">
        <v>0</v>
      </c>
      <c r="I13" s="352">
        <v>0</v>
      </c>
      <c r="J13" s="352">
        <v>0</v>
      </c>
      <c r="K13" s="352">
        <v>0</v>
      </c>
      <c r="L13" s="352">
        <v>0</v>
      </c>
      <c r="M13" s="353">
        <v>0</v>
      </c>
      <c r="N13" s="351">
        <v>0</v>
      </c>
      <c r="O13" s="352">
        <v>0</v>
      </c>
      <c r="P13" s="352">
        <v>0</v>
      </c>
      <c r="Q13" s="352">
        <v>0</v>
      </c>
      <c r="R13" s="352">
        <v>0</v>
      </c>
      <c r="S13" s="352">
        <v>0</v>
      </c>
      <c r="T13" s="352">
        <v>0</v>
      </c>
      <c r="U13" s="352">
        <v>0</v>
      </c>
      <c r="V13" s="352">
        <v>0</v>
      </c>
      <c r="W13" s="353">
        <v>0</v>
      </c>
      <c r="X13" s="351">
        <v>0</v>
      </c>
      <c r="Y13" s="352">
        <v>0</v>
      </c>
      <c r="Z13" s="352">
        <v>0</v>
      </c>
      <c r="AA13" s="352">
        <v>0</v>
      </c>
      <c r="AB13" s="352">
        <v>0</v>
      </c>
      <c r="AC13" s="352">
        <v>0</v>
      </c>
      <c r="AD13" s="352">
        <v>0</v>
      </c>
      <c r="AE13" s="352">
        <v>0</v>
      </c>
      <c r="AF13" s="352">
        <v>0</v>
      </c>
      <c r="AG13" s="353">
        <v>0</v>
      </c>
      <c r="AH13" s="199">
        <f>IF(COUNT(D13:M13)=0,"",AVERAGE(D13:M13))</f>
        <v>0</v>
      </c>
      <c r="AI13" s="200">
        <f>IF(COUNT(N13:W13)=0,"",AVERAGE(N13:W13))</f>
        <v>0</v>
      </c>
      <c r="AJ13" s="201">
        <f>IF(COUNT(X13:AG13)=0,"",AVERAGE(X13:AG13))</f>
        <v>0</v>
      </c>
      <c r="AK13" s="202">
        <f>IF(ISNUMBER(AH13),AH13,0)+IF(ISNUMBER(AI13),AI13,0)+IF(ISNUMBER(AJ13),AJ13,0)</f>
        <v>0</v>
      </c>
      <c r="AL13" s="168"/>
      <c r="AM13" s="168"/>
      <c r="AN13" s="168"/>
      <c r="AO13" s="168"/>
      <c r="AP13" s="168"/>
      <c r="AQ13" s="168"/>
      <c r="AR13" s="168"/>
      <c r="AS13" s="168"/>
      <c r="AT13" s="168"/>
      <c r="AU13" s="168"/>
      <c r="AV13" s="191"/>
      <c r="AW13" s="191"/>
      <c r="AX13" s="191"/>
      <c r="AY13" s="191"/>
    </row>
    <row r="14" spans="1:51">
      <c r="A14" s="60" t="s">
        <v>30</v>
      </c>
      <c r="B14" s="163">
        <v>41059</v>
      </c>
      <c r="C14" s="107" t="s">
        <v>73</v>
      </c>
      <c r="D14" s="351">
        <v>0</v>
      </c>
      <c r="E14" s="352">
        <v>0</v>
      </c>
      <c r="F14" s="352">
        <v>0</v>
      </c>
      <c r="G14" s="352">
        <v>0</v>
      </c>
      <c r="H14" s="352">
        <v>0</v>
      </c>
      <c r="I14" s="352">
        <v>0</v>
      </c>
      <c r="J14" s="352">
        <v>2</v>
      </c>
      <c r="K14" s="352">
        <v>0</v>
      </c>
      <c r="L14" s="352">
        <v>0</v>
      </c>
      <c r="M14" s="353">
        <v>0</v>
      </c>
      <c r="N14" s="23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2">
        <v>0</v>
      </c>
      <c r="X14" s="23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  <c r="AF14" s="24">
        <v>0</v>
      </c>
      <c r="AG14" s="22">
        <v>0</v>
      </c>
      <c r="AH14" s="203">
        <f t="shared" ref="AH14:AH42" si="0">IF(COUNT(D14:M14)=0,"",AVERAGE(D14:M14))</f>
        <v>0.2</v>
      </c>
      <c r="AI14" s="204">
        <f t="shared" ref="AI14:AI42" si="1">IF(COUNT(N14:W14)=0,"",AVERAGE(N14:W14))</f>
        <v>0</v>
      </c>
      <c r="AJ14" s="205">
        <f t="shared" ref="AJ14:AJ42" si="2">IF(COUNT(X14:AG14)=0,"",AVERAGE(X14:AG14))</f>
        <v>0</v>
      </c>
      <c r="AK14" s="206">
        <f t="shared" ref="AK14:AK42" si="3">IF(ISNUMBER(AH14),AH14,0)+IF(ISNUMBER(AI14),AI14,0)+IF(ISNUMBER(AJ14),AJ14,0)</f>
        <v>0.2</v>
      </c>
      <c r="AL14" s="168"/>
      <c r="AM14" s="168"/>
      <c r="AN14" s="168"/>
      <c r="AO14" s="168"/>
      <c r="AP14" s="168"/>
      <c r="AQ14" s="168"/>
      <c r="AR14" s="168"/>
      <c r="AS14" s="168"/>
      <c r="AT14" s="168"/>
      <c r="AU14" s="168"/>
      <c r="AV14" s="191"/>
      <c r="AW14" s="191"/>
      <c r="AX14" s="191"/>
      <c r="AY14" s="191"/>
    </row>
    <row r="15" spans="1:51">
      <c r="A15" s="60" t="s">
        <v>30</v>
      </c>
      <c r="B15" s="163">
        <v>41068</v>
      </c>
      <c r="C15" s="107" t="s">
        <v>73</v>
      </c>
      <c r="D15" s="351">
        <v>0</v>
      </c>
      <c r="E15" s="352">
        <v>0</v>
      </c>
      <c r="F15" s="352">
        <v>0</v>
      </c>
      <c r="G15" s="352">
        <v>0</v>
      </c>
      <c r="H15" s="352">
        <v>0</v>
      </c>
      <c r="I15" s="352">
        <v>0</v>
      </c>
      <c r="J15" s="352">
        <v>5</v>
      </c>
      <c r="K15" s="352">
        <v>0</v>
      </c>
      <c r="L15" s="352">
        <v>0</v>
      </c>
      <c r="M15" s="353">
        <v>0</v>
      </c>
      <c r="N15" s="23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2">
        <v>0</v>
      </c>
      <c r="X15" s="23">
        <v>0</v>
      </c>
      <c r="Y15" s="24">
        <v>0</v>
      </c>
      <c r="Z15" s="24">
        <v>0</v>
      </c>
      <c r="AA15" s="24">
        <v>0</v>
      </c>
      <c r="AB15" s="24">
        <v>0</v>
      </c>
      <c r="AC15" s="24">
        <v>0</v>
      </c>
      <c r="AD15" s="24">
        <v>0</v>
      </c>
      <c r="AE15" s="24">
        <v>0</v>
      </c>
      <c r="AF15" s="24">
        <v>0</v>
      </c>
      <c r="AG15" s="22">
        <v>0</v>
      </c>
      <c r="AH15" s="203">
        <f t="shared" si="0"/>
        <v>0.5</v>
      </c>
      <c r="AI15" s="204">
        <f t="shared" si="1"/>
        <v>0</v>
      </c>
      <c r="AJ15" s="205">
        <f t="shared" si="2"/>
        <v>0</v>
      </c>
      <c r="AK15" s="206">
        <f t="shared" si="3"/>
        <v>0.5</v>
      </c>
      <c r="AL15" s="168"/>
      <c r="AM15" s="168"/>
      <c r="AN15" s="168"/>
      <c r="AO15" s="168"/>
      <c r="AP15" s="168"/>
      <c r="AQ15" s="168"/>
      <c r="AR15" s="168"/>
      <c r="AS15" s="168"/>
      <c r="AT15" s="168"/>
      <c r="AU15" s="168"/>
      <c r="AV15" s="191"/>
      <c r="AW15" s="191"/>
      <c r="AX15" s="191"/>
      <c r="AY15" s="191"/>
    </row>
    <row r="16" spans="1:51">
      <c r="A16" s="60" t="s">
        <v>30</v>
      </c>
      <c r="B16" s="163">
        <v>41074</v>
      </c>
      <c r="C16" s="107" t="s">
        <v>74</v>
      </c>
      <c r="D16" s="23">
        <v>0</v>
      </c>
      <c r="E16" s="24">
        <v>0</v>
      </c>
      <c r="F16" s="24">
        <v>0</v>
      </c>
      <c r="G16" s="24">
        <v>0</v>
      </c>
      <c r="H16" s="24">
        <v>0</v>
      </c>
      <c r="I16" s="24">
        <v>0</v>
      </c>
      <c r="J16" s="24">
        <v>10</v>
      </c>
      <c r="K16" s="24">
        <v>0</v>
      </c>
      <c r="L16" s="24">
        <v>0</v>
      </c>
      <c r="M16" s="22">
        <v>0</v>
      </c>
      <c r="N16" s="23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2">
        <v>0</v>
      </c>
      <c r="X16" s="23">
        <v>0</v>
      </c>
      <c r="Y16" s="24">
        <v>0</v>
      </c>
      <c r="Z16" s="24">
        <v>0</v>
      </c>
      <c r="AA16" s="24">
        <v>0</v>
      </c>
      <c r="AB16" s="24">
        <v>0</v>
      </c>
      <c r="AC16" s="24">
        <v>0</v>
      </c>
      <c r="AD16" s="24">
        <v>0</v>
      </c>
      <c r="AE16" s="24">
        <v>0</v>
      </c>
      <c r="AF16" s="24">
        <v>0</v>
      </c>
      <c r="AG16" s="22">
        <v>0</v>
      </c>
      <c r="AH16" s="203">
        <f t="shared" si="0"/>
        <v>1</v>
      </c>
      <c r="AI16" s="204">
        <f t="shared" si="1"/>
        <v>0</v>
      </c>
      <c r="AJ16" s="205">
        <f t="shared" si="2"/>
        <v>0</v>
      </c>
      <c r="AK16" s="206">
        <f t="shared" si="3"/>
        <v>1</v>
      </c>
      <c r="AL16" s="168"/>
      <c r="AM16" s="168"/>
      <c r="AN16" s="168"/>
      <c r="AO16" s="168"/>
      <c r="AP16" s="168"/>
      <c r="AQ16" s="168"/>
      <c r="AR16" s="168"/>
      <c r="AS16" s="168"/>
      <c r="AT16" s="168"/>
      <c r="AU16" s="168"/>
      <c r="AV16" s="191"/>
      <c r="AW16" s="191"/>
      <c r="AX16" s="191"/>
      <c r="AY16" s="191"/>
    </row>
    <row r="17" spans="1:51">
      <c r="A17" s="60" t="s">
        <v>30</v>
      </c>
      <c r="B17" s="163">
        <v>41079</v>
      </c>
      <c r="C17" s="107" t="s">
        <v>73</v>
      </c>
      <c r="D17" s="23">
        <v>0</v>
      </c>
      <c r="E17" s="24">
        <v>0</v>
      </c>
      <c r="F17" s="24">
        <v>0</v>
      </c>
      <c r="G17" s="24">
        <v>0</v>
      </c>
      <c r="H17" s="24">
        <v>0</v>
      </c>
      <c r="I17" s="24">
        <v>0</v>
      </c>
      <c r="J17" s="24">
        <v>10</v>
      </c>
      <c r="K17" s="24">
        <v>0</v>
      </c>
      <c r="L17" s="24">
        <v>0</v>
      </c>
      <c r="M17" s="22">
        <v>0</v>
      </c>
      <c r="N17" s="23">
        <v>0</v>
      </c>
      <c r="O17" s="24">
        <v>0</v>
      </c>
      <c r="P17" s="24">
        <v>0</v>
      </c>
      <c r="Q17" s="24">
        <v>0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2">
        <v>0</v>
      </c>
      <c r="X17" s="23">
        <v>0</v>
      </c>
      <c r="Y17" s="24">
        <v>0</v>
      </c>
      <c r="Z17" s="24">
        <v>0</v>
      </c>
      <c r="AA17" s="24">
        <v>0</v>
      </c>
      <c r="AB17" s="24">
        <v>0</v>
      </c>
      <c r="AC17" s="24">
        <v>0</v>
      </c>
      <c r="AD17" s="24">
        <v>0</v>
      </c>
      <c r="AE17" s="24">
        <v>0</v>
      </c>
      <c r="AF17" s="24">
        <v>0</v>
      </c>
      <c r="AG17" s="22">
        <v>0</v>
      </c>
      <c r="AH17" s="203">
        <f t="shared" si="0"/>
        <v>1</v>
      </c>
      <c r="AI17" s="204">
        <f t="shared" si="1"/>
        <v>0</v>
      </c>
      <c r="AJ17" s="205">
        <f t="shared" si="2"/>
        <v>0</v>
      </c>
      <c r="AK17" s="206">
        <f t="shared" si="3"/>
        <v>1</v>
      </c>
      <c r="AL17" s="168"/>
      <c r="AM17" s="168"/>
      <c r="AN17" s="168"/>
      <c r="AO17" s="168"/>
      <c r="AP17" s="168"/>
      <c r="AQ17" s="168"/>
      <c r="AR17" s="168"/>
      <c r="AS17" s="168"/>
      <c r="AT17" s="168"/>
      <c r="AU17" s="168"/>
      <c r="AV17" s="191"/>
      <c r="AW17" s="191"/>
      <c r="AX17" s="191"/>
      <c r="AY17" s="191"/>
    </row>
    <row r="18" spans="1:51">
      <c r="A18" s="60" t="s">
        <v>30</v>
      </c>
      <c r="B18" s="163">
        <v>41088</v>
      </c>
      <c r="C18" s="107" t="s">
        <v>84</v>
      </c>
      <c r="D18" s="23">
        <v>0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22">
        <v>0</v>
      </c>
      <c r="N18" s="23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5</v>
      </c>
      <c r="U18" s="24">
        <v>0</v>
      </c>
      <c r="V18" s="24">
        <v>0</v>
      </c>
      <c r="W18" s="22">
        <v>0</v>
      </c>
      <c r="X18" s="23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  <c r="AF18" s="24">
        <v>0</v>
      </c>
      <c r="AG18" s="22">
        <v>0</v>
      </c>
      <c r="AH18" s="203">
        <f t="shared" si="0"/>
        <v>0</v>
      </c>
      <c r="AI18" s="204">
        <f t="shared" si="1"/>
        <v>0.5</v>
      </c>
      <c r="AJ18" s="205">
        <f t="shared" si="2"/>
        <v>0</v>
      </c>
      <c r="AK18" s="206">
        <f t="shared" si="3"/>
        <v>0.5</v>
      </c>
      <c r="AL18" s="168"/>
      <c r="AM18" s="168"/>
      <c r="AN18" s="168"/>
      <c r="AO18" s="168"/>
      <c r="AP18" s="168"/>
      <c r="AQ18" s="168"/>
      <c r="AR18" s="168"/>
      <c r="AS18" s="168"/>
      <c r="AT18" s="168"/>
      <c r="AU18" s="168"/>
      <c r="AV18" s="191"/>
      <c r="AW18" s="191"/>
      <c r="AX18" s="191"/>
      <c r="AY18" s="191"/>
    </row>
    <row r="19" spans="1:51">
      <c r="A19" s="60" t="s">
        <v>30</v>
      </c>
      <c r="B19" s="163">
        <v>41096</v>
      </c>
      <c r="C19" s="107" t="s">
        <v>86</v>
      </c>
      <c r="D19" s="23">
        <v>0</v>
      </c>
      <c r="E19" s="24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2">
        <v>0</v>
      </c>
      <c r="N19" s="23">
        <v>0</v>
      </c>
      <c r="O19" s="24">
        <v>0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2">
        <v>0</v>
      </c>
      <c r="X19" s="23">
        <v>0</v>
      </c>
      <c r="Y19" s="24">
        <v>0</v>
      </c>
      <c r="Z19" s="24">
        <v>0</v>
      </c>
      <c r="AA19" s="24">
        <v>0</v>
      </c>
      <c r="AB19" s="24">
        <v>0</v>
      </c>
      <c r="AC19" s="24">
        <v>0</v>
      </c>
      <c r="AD19" s="24">
        <v>0</v>
      </c>
      <c r="AE19" s="24">
        <v>0</v>
      </c>
      <c r="AF19" s="24">
        <v>0</v>
      </c>
      <c r="AG19" s="22">
        <v>0</v>
      </c>
      <c r="AH19" s="203">
        <f t="shared" si="0"/>
        <v>0</v>
      </c>
      <c r="AI19" s="204">
        <f t="shared" si="1"/>
        <v>0</v>
      </c>
      <c r="AJ19" s="205">
        <f t="shared" si="2"/>
        <v>0</v>
      </c>
      <c r="AK19" s="206">
        <f t="shared" si="3"/>
        <v>0</v>
      </c>
      <c r="AL19" s="168"/>
      <c r="AM19" s="168"/>
      <c r="AN19" s="168"/>
      <c r="AO19" s="168"/>
      <c r="AP19" s="168"/>
      <c r="AQ19" s="168"/>
      <c r="AR19" s="168"/>
      <c r="AS19" s="168"/>
      <c r="AT19" s="168"/>
      <c r="AU19" s="168"/>
      <c r="AV19" s="191"/>
      <c r="AW19" s="191"/>
      <c r="AX19" s="191"/>
      <c r="AY19" s="191"/>
    </row>
    <row r="20" spans="1:51">
      <c r="A20" s="60" t="s">
        <v>30</v>
      </c>
      <c r="B20" s="163">
        <v>41103</v>
      </c>
      <c r="C20" s="107" t="s">
        <v>86</v>
      </c>
      <c r="D20" s="23">
        <v>0</v>
      </c>
      <c r="E20" s="24">
        <v>0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4">
        <v>0</v>
      </c>
      <c r="M20" s="22">
        <v>0</v>
      </c>
      <c r="N20" s="23">
        <v>0</v>
      </c>
      <c r="O20" s="24">
        <v>0</v>
      </c>
      <c r="P20" s="24">
        <v>0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2">
        <v>0</v>
      </c>
      <c r="X20" s="23">
        <v>0</v>
      </c>
      <c r="Y20" s="24">
        <v>0</v>
      </c>
      <c r="Z20" s="24">
        <v>0</v>
      </c>
      <c r="AA20" s="24">
        <v>0</v>
      </c>
      <c r="AB20" s="24">
        <v>0</v>
      </c>
      <c r="AC20" s="24">
        <v>0</v>
      </c>
      <c r="AD20" s="24">
        <v>0</v>
      </c>
      <c r="AE20" s="24">
        <v>0</v>
      </c>
      <c r="AF20" s="24">
        <v>0</v>
      </c>
      <c r="AG20" s="22">
        <v>0</v>
      </c>
      <c r="AH20" s="203">
        <f t="shared" si="0"/>
        <v>0</v>
      </c>
      <c r="AI20" s="204">
        <f t="shared" si="1"/>
        <v>0</v>
      </c>
      <c r="AJ20" s="205">
        <f t="shared" si="2"/>
        <v>0</v>
      </c>
      <c r="AK20" s="206">
        <f t="shared" si="3"/>
        <v>0</v>
      </c>
      <c r="AL20" s="168"/>
      <c r="AM20" s="168"/>
      <c r="AN20" s="168"/>
      <c r="AO20" s="168"/>
      <c r="AP20" s="168"/>
      <c r="AQ20" s="168"/>
      <c r="AR20" s="168"/>
      <c r="AS20" s="168"/>
      <c r="AT20" s="168"/>
      <c r="AU20" s="168"/>
      <c r="AV20" s="191"/>
      <c r="AW20" s="191"/>
      <c r="AX20" s="191"/>
      <c r="AY20" s="191"/>
    </row>
    <row r="21" spans="1:51">
      <c r="A21" s="60" t="s">
        <v>30</v>
      </c>
      <c r="B21" s="163">
        <v>41110</v>
      </c>
      <c r="C21" s="107" t="s">
        <v>86</v>
      </c>
      <c r="D21" s="23">
        <v>0</v>
      </c>
      <c r="E21" s="24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22">
        <v>0</v>
      </c>
      <c r="N21" s="23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2">
        <v>0</v>
      </c>
      <c r="X21" s="23">
        <v>0</v>
      </c>
      <c r="Y21" s="24">
        <v>0</v>
      </c>
      <c r="Z21" s="24">
        <v>0</v>
      </c>
      <c r="AA21" s="24">
        <v>0</v>
      </c>
      <c r="AB21" s="24">
        <v>0</v>
      </c>
      <c r="AC21" s="24">
        <v>0</v>
      </c>
      <c r="AD21" s="24">
        <v>0</v>
      </c>
      <c r="AE21" s="24">
        <v>0</v>
      </c>
      <c r="AF21" s="24">
        <v>0</v>
      </c>
      <c r="AG21" s="22">
        <v>0</v>
      </c>
      <c r="AH21" s="203">
        <f t="shared" si="0"/>
        <v>0</v>
      </c>
      <c r="AI21" s="204">
        <f t="shared" si="1"/>
        <v>0</v>
      </c>
      <c r="AJ21" s="205">
        <f t="shared" si="2"/>
        <v>0</v>
      </c>
      <c r="AK21" s="206">
        <f t="shared" si="3"/>
        <v>0</v>
      </c>
      <c r="AL21" s="168"/>
      <c r="AM21" s="168"/>
      <c r="AN21" s="168"/>
      <c r="AO21" s="168"/>
      <c r="AP21" s="168"/>
      <c r="AQ21" s="168"/>
      <c r="AR21" s="168"/>
      <c r="AS21" s="168"/>
      <c r="AT21" s="168"/>
      <c r="AU21" s="168"/>
      <c r="AV21" s="191"/>
      <c r="AW21" s="191"/>
      <c r="AX21" s="191"/>
      <c r="AY21" s="191"/>
    </row>
    <row r="22" spans="1:51">
      <c r="A22" s="60" t="s">
        <v>30</v>
      </c>
      <c r="B22" s="163">
        <v>41117</v>
      </c>
      <c r="C22" s="107" t="s">
        <v>86</v>
      </c>
      <c r="D22" s="23">
        <v>0</v>
      </c>
      <c r="E22" s="24">
        <v>0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4">
        <v>0</v>
      </c>
      <c r="M22" s="22">
        <v>0</v>
      </c>
      <c r="N22" s="23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2">
        <v>0</v>
      </c>
      <c r="X22" s="23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  <c r="AF22" s="24">
        <v>0</v>
      </c>
      <c r="AG22" s="22">
        <v>0</v>
      </c>
      <c r="AH22" s="203">
        <f t="shared" si="0"/>
        <v>0</v>
      </c>
      <c r="AI22" s="204">
        <f t="shared" si="1"/>
        <v>0</v>
      </c>
      <c r="AJ22" s="205">
        <f t="shared" si="2"/>
        <v>0</v>
      </c>
      <c r="AK22" s="206">
        <f t="shared" si="3"/>
        <v>0</v>
      </c>
      <c r="AL22" s="168"/>
      <c r="AM22" s="168"/>
      <c r="AN22" s="168"/>
      <c r="AO22" s="168"/>
      <c r="AP22" s="168"/>
      <c r="AQ22" s="168"/>
      <c r="AR22" s="168"/>
      <c r="AS22" s="168"/>
      <c r="AT22" s="168"/>
      <c r="AU22" s="168"/>
      <c r="AV22" s="191"/>
      <c r="AW22" s="191"/>
      <c r="AX22" s="191"/>
      <c r="AY22" s="191"/>
    </row>
    <row r="23" spans="1:51">
      <c r="A23" s="60" t="s">
        <v>30</v>
      </c>
      <c r="B23" s="163"/>
      <c r="C23" s="107"/>
      <c r="D23" s="23"/>
      <c r="E23" s="24"/>
      <c r="F23" s="24"/>
      <c r="G23" s="24"/>
      <c r="H23" s="24"/>
      <c r="I23" s="24"/>
      <c r="J23" s="24"/>
      <c r="K23" s="24"/>
      <c r="L23" s="24"/>
      <c r="M23" s="22"/>
      <c r="N23" s="23"/>
      <c r="O23" s="24"/>
      <c r="P23" s="24"/>
      <c r="Q23" s="24"/>
      <c r="R23" s="24"/>
      <c r="S23" s="24"/>
      <c r="T23" s="24"/>
      <c r="U23" s="24"/>
      <c r="V23" s="24"/>
      <c r="W23" s="22"/>
      <c r="X23" s="23"/>
      <c r="Y23" s="24"/>
      <c r="Z23" s="24"/>
      <c r="AA23" s="24"/>
      <c r="AB23" s="24"/>
      <c r="AC23" s="24"/>
      <c r="AD23" s="24"/>
      <c r="AE23" s="24"/>
      <c r="AF23" s="24"/>
      <c r="AG23" s="22"/>
      <c r="AH23" s="203" t="str">
        <f t="shared" si="0"/>
        <v/>
      </c>
      <c r="AI23" s="204" t="str">
        <f t="shared" si="1"/>
        <v/>
      </c>
      <c r="AJ23" s="205" t="str">
        <f t="shared" si="2"/>
        <v/>
      </c>
      <c r="AK23" s="206">
        <f t="shared" si="3"/>
        <v>0</v>
      </c>
      <c r="AL23" s="168"/>
      <c r="AM23" s="168"/>
      <c r="AN23" s="168"/>
      <c r="AO23" s="168"/>
      <c r="AP23" s="168"/>
      <c r="AQ23" s="168"/>
      <c r="AR23" s="168"/>
      <c r="AS23" s="168"/>
      <c r="AT23" s="168"/>
      <c r="AU23" s="168"/>
      <c r="AV23" s="191"/>
      <c r="AW23" s="191"/>
      <c r="AX23" s="191"/>
      <c r="AY23" s="191"/>
    </row>
    <row r="24" spans="1:51">
      <c r="A24" s="60" t="s">
        <v>30</v>
      </c>
      <c r="B24" s="163"/>
      <c r="C24" s="107"/>
      <c r="D24" s="23"/>
      <c r="E24" s="24"/>
      <c r="F24" s="24"/>
      <c r="G24" s="24"/>
      <c r="H24" s="24"/>
      <c r="I24" s="24"/>
      <c r="J24" s="24"/>
      <c r="K24" s="24"/>
      <c r="L24" s="24"/>
      <c r="M24" s="22"/>
      <c r="N24" s="23"/>
      <c r="O24" s="24"/>
      <c r="P24" s="24"/>
      <c r="Q24" s="24"/>
      <c r="R24" s="24"/>
      <c r="S24" s="24"/>
      <c r="T24" s="24"/>
      <c r="U24" s="24"/>
      <c r="V24" s="24"/>
      <c r="W24" s="22"/>
      <c r="X24" s="23"/>
      <c r="Y24" s="24"/>
      <c r="Z24" s="24"/>
      <c r="AA24" s="24"/>
      <c r="AB24" s="24"/>
      <c r="AC24" s="24"/>
      <c r="AD24" s="24"/>
      <c r="AE24" s="24"/>
      <c r="AF24" s="24"/>
      <c r="AG24" s="22"/>
      <c r="AH24" s="203" t="str">
        <f t="shared" si="0"/>
        <v/>
      </c>
      <c r="AI24" s="204" t="str">
        <f t="shared" si="1"/>
        <v/>
      </c>
      <c r="AJ24" s="205" t="str">
        <f t="shared" si="2"/>
        <v/>
      </c>
      <c r="AK24" s="206">
        <f t="shared" si="3"/>
        <v>0</v>
      </c>
      <c r="AL24" s="168"/>
      <c r="AM24" s="168"/>
      <c r="AN24" s="168"/>
      <c r="AO24" s="168"/>
      <c r="AP24" s="168"/>
      <c r="AQ24" s="168"/>
      <c r="AR24" s="168"/>
      <c r="AS24" s="168"/>
      <c r="AT24" s="168"/>
      <c r="AU24" s="168"/>
      <c r="AV24" s="191"/>
      <c r="AW24" s="191"/>
      <c r="AX24" s="191"/>
      <c r="AY24" s="191"/>
    </row>
    <row r="25" spans="1:51">
      <c r="A25" s="60" t="s">
        <v>30</v>
      </c>
      <c r="B25" s="163"/>
      <c r="C25" s="107"/>
      <c r="D25" s="23"/>
      <c r="E25" s="24"/>
      <c r="F25" s="24"/>
      <c r="G25" s="24"/>
      <c r="H25" s="24"/>
      <c r="I25" s="24"/>
      <c r="J25" s="24"/>
      <c r="K25" s="24"/>
      <c r="L25" s="24"/>
      <c r="M25" s="22"/>
      <c r="N25" s="23"/>
      <c r="O25" s="24"/>
      <c r="P25" s="24"/>
      <c r="Q25" s="24"/>
      <c r="R25" s="24"/>
      <c r="S25" s="24"/>
      <c r="T25" s="24"/>
      <c r="U25" s="24"/>
      <c r="V25" s="24"/>
      <c r="W25" s="22"/>
      <c r="X25" s="23"/>
      <c r="Y25" s="24"/>
      <c r="Z25" s="24"/>
      <c r="AA25" s="24"/>
      <c r="AB25" s="24"/>
      <c r="AC25" s="24"/>
      <c r="AD25" s="24"/>
      <c r="AE25" s="24"/>
      <c r="AF25" s="24"/>
      <c r="AG25" s="22"/>
      <c r="AH25" s="203" t="str">
        <f t="shared" si="0"/>
        <v/>
      </c>
      <c r="AI25" s="204" t="str">
        <f t="shared" si="1"/>
        <v/>
      </c>
      <c r="AJ25" s="205" t="str">
        <f t="shared" si="2"/>
        <v/>
      </c>
      <c r="AK25" s="206">
        <f t="shared" si="3"/>
        <v>0</v>
      </c>
      <c r="AL25" s="168"/>
      <c r="AM25" s="168"/>
      <c r="AN25" s="168"/>
      <c r="AO25" s="168"/>
      <c r="AP25" s="168"/>
      <c r="AQ25" s="168"/>
      <c r="AR25" s="168"/>
      <c r="AS25" s="168"/>
      <c r="AT25" s="168"/>
      <c r="AU25" s="168"/>
      <c r="AV25" s="191"/>
      <c r="AW25" s="191"/>
      <c r="AX25" s="191"/>
      <c r="AY25" s="191"/>
    </row>
    <row r="26" spans="1:51">
      <c r="A26" s="60" t="s">
        <v>30</v>
      </c>
      <c r="B26" s="163"/>
      <c r="C26" s="107"/>
      <c r="D26" s="23"/>
      <c r="E26" s="24"/>
      <c r="F26" s="24"/>
      <c r="G26" s="24"/>
      <c r="H26" s="24"/>
      <c r="I26" s="24"/>
      <c r="J26" s="24"/>
      <c r="K26" s="24"/>
      <c r="L26" s="24"/>
      <c r="M26" s="22"/>
      <c r="N26" s="23"/>
      <c r="O26" s="24"/>
      <c r="P26" s="24"/>
      <c r="Q26" s="24"/>
      <c r="R26" s="24"/>
      <c r="S26" s="24"/>
      <c r="T26" s="24"/>
      <c r="U26" s="24"/>
      <c r="V26" s="24"/>
      <c r="W26" s="22"/>
      <c r="X26" s="23"/>
      <c r="Y26" s="24"/>
      <c r="Z26" s="24"/>
      <c r="AA26" s="24"/>
      <c r="AB26" s="24"/>
      <c r="AC26" s="24"/>
      <c r="AD26" s="24"/>
      <c r="AE26" s="24"/>
      <c r="AF26" s="24"/>
      <c r="AG26" s="22"/>
      <c r="AH26" s="203" t="str">
        <f t="shared" si="0"/>
        <v/>
      </c>
      <c r="AI26" s="204" t="str">
        <f t="shared" si="1"/>
        <v/>
      </c>
      <c r="AJ26" s="205" t="str">
        <f t="shared" si="2"/>
        <v/>
      </c>
      <c r="AK26" s="206">
        <f t="shared" si="3"/>
        <v>0</v>
      </c>
      <c r="AL26" s="168"/>
      <c r="AM26" s="168"/>
      <c r="AN26" s="168"/>
      <c r="AO26" s="168"/>
      <c r="AP26" s="168"/>
      <c r="AQ26" s="168"/>
      <c r="AR26" s="168"/>
      <c r="AS26" s="168"/>
      <c r="AT26" s="168"/>
      <c r="AU26" s="168"/>
      <c r="AV26" s="191"/>
      <c r="AW26" s="191"/>
      <c r="AX26" s="191"/>
      <c r="AY26" s="191"/>
    </row>
    <row r="27" spans="1:51">
      <c r="A27" s="16" t="s">
        <v>30</v>
      </c>
      <c r="B27" s="163"/>
      <c r="C27" s="107"/>
      <c r="D27" s="23"/>
      <c r="E27" s="24"/>
      <c r="F27" s="24"/>
      <c r="G27" s="24"/>
      <c r="H27" s="24"/>
      <c r="I27" s="24"/>
      <c r="J27" s="24"/>
      <c r="K27" s="24"/>
      <c r="L27" s="24"/>
      <c r="M27" s="22"/>
      <c r="N27" s="23"/>
      <c r="O27" s="24"/>
      <c r="P27" s="24"/>
      <c r="Q27" s="24"/>
      <c r="R27" s="24"/>
      <c r="S27" s="24"/>
      <c r="T27" s="24"/>
      <c r="U27" s="24"/>
      <c r="V27" s="24"/>
      <c r="W27" s="22"/>
      <c r="X27" s="23"/>
      <c r="Y27" s="24"/>
      <c r="Z27" s="24"/>
      <c r="AA27" s="24"/>
      <c r="AB27" s="24"/>
      <c r="AC27" s="24"/>
      <c r="AD27" s="24"/>
      <c r="AE27" s="24"/>
      <c r="AF27" s="24"/>
      <c r="AG27" s="22"/>
      <c r="AH27" s="203" t="str">
        <f t="shared" si="0"/>
        <v/>
      </c>
      <c r="AI27" s="204" t="str">
        <f t="shared" si="1"/>
        <v/>
      </c>
      <c r="AJ27" s="205" t="str">
        <f t="shared" si="2"/>
        <v/>
      </c>
      <c r="AK27" s="206">
        <f t="shared" si="3"/>
        <v>0</v>
      </c>
      <c r="AL27" s="168"/>
      <c r="AM27" s="168"/>
      <c r="AN27" s="168"/>
      <c r="AO27" s="168"/>
      <c r="AP27" s="168"/>
      <c r="AQ27" s="168"/>
      <c r="AR27" s="168"/>
      <c r="AS27" s="168"/>
      <c r="AT27" s="168"/>
      <c r="AU27" s="168"/>
      <c r="AV27" s="191"/>
      <c r="AW27" s="191"/>
      <c r="AX27" s="191"/>
      <c r="AY27" s="191"/>
    </row>
    <row r="28" spans="1:51">
      <c r="A28" s="16" t="s">
        <v>30</v>
      </c>
      <c r="B28" s="163"/>
      <c r="C28" s="107"/>
      <c r="D28" s="23"/>
      <c r="E28" s="24"/>
      <c r="F28" s="24"/>
      <c r="G28" s="24"/>
      <c r="H28" s="24"/>
      <c r="I28" s="24"/>
      <c r="J28" s="24"/>
      <c r="K28" s="24"/>
      <c r="L28" s="24"/>
      <c r="M28" s="22"/>
      <c r="N28" s="23"/>
      <c r="O28" s="24"/>
      <c r="P28" s="24"/>
      <c r="Q28" s="24"/>
      <c r="R28" s="24"/>
      <c r="S28" s="24"/>
      <c r="T28" s="24"/>
      <c r="U28" s="24"/>
      <c r="V28" s="24"/>
      <c r="W28" s="22"/>
      <c r="X28" s="23"/>
      <c r="Y28" s="24"/>
      <c r="Z28" s="24"/>
      <c r="AA28" s="24"/>
      <c r="AB28" s="24"/>
      <c r="AC28" s="24"/>
      <c r="AD28" s="24"/>
      <c r="AE28" s="24"/>
      <c r="AF28" s="24"/>
      <c r="AG28" s="22"/>
      <c r="AH28" s="203" t="str">
        <f t="shared" si="0"/>
        <v/>
      </c>
      <c r="AI28" s="204" t="str">
        <f t="shared" si="1"/>
        <v/>
      </c>
      <c r="AJ28" s="205" t="str">
        <f t="shared" si="2"/>
        <v/>
      </c>
      <c r="AK28" s="206">
        <f t="shared" si="3"/>
        <v>0</v>
      </c>
      <c r="AL28" s="168"/>
      <c r="AM28" s="168"/>
      <c r="AN28" s="168"/>
      <c r="AO28" s="168"/>
      <c r="AP28" s="168"/>
      <c r="AQ28" s="168"/>
      <c r="AR28" s="168"/>
      <c r="AS28" s="168"/>
      <c r="AT28" s="168"/>
      <c r="AU28" s="168"/>
      <c r="AV28" s="191"/>
      <c r="AW28" s="191"/>
      <c r="AX28" s="191"/>
      <c r="AY28" s="191"/>
    </row>
    <row r="29" spans="1:51">
      <c r="A29" s="16" t="s">
        <v>30</v>
      </c>
      <c r="B29" s="163"/>
      <c r="C29" s="107"/>
      <c r="D29" s="23"/>
      <c r="E29" s="24"/>
      <c r="F29" s="24"/>
      <c r="G29" s="24"/>
      <c r="H29" s="24"/>
      <c r="I29" s="24"/>
      <c r="J29" s="24"/>
      <c r="K29" s="24"/>
      <c r="L29" s="24"/>
      <c r="M29" s="22"/>
      <c r="N29" s="23"/>
      <c r="O29" s="24"/>
      <c r="P29" s="24"/>
      <c r="Q29" s="24"/>
      <c r="R29" s="24"/>
      <c r="S29" s="24"/>
      <c r="T29" s="24"/>
      <c r="U29" s="24"/>
      <c r="V29" s="24"/>
      <c r="W29" s="22"/>
      <c r="X29" s="23"/>
      <c r="Y29" s="24"/>
      <c r="Z29" s="24"/>
      <c r="AA29" s="24"/>
      <c r="AB29" s="24"/>
      <c r="AC29" s="24"/>
      <c r="AD29" s="24"/>
      <c r="AE29" s="24"/>
      <c r="AF29" s="24"/>
      <c r="AG29" s="22"/>
      <c r="AH29" s="203" t="str">
        <f t="shared" si="0"/>
        <v/>
      </c>
      <c r="AI29" s="204" t="str">
        <f t="shared" si="1"/>
        <v/>
      </c>
      <c r="AJ29" s="205" t="str">
        <f t="shared" si="2"/>
        <v/>
      </c>
      <c r="AK29" s="206">
        <f t="shared" si="3"/>
        <v>0</v>
      </c>
      <c r="AL29" s="168"/>
      <c r="AM29" s="168"/>
      <c r="AN29" s="168"/>
      <c r="AO29" s="168"/>
      <c r="AP29" s="168"/>
      <c r="AQ29" s="168"/>
      <c r="AR29" s="168"/>
      <c r="AS29" s="168"/>
      <c r="AT29" s="168"/>
      <c r="AU29" s="168"/>
      <c r="AV29" s="191"/>
      <c r="AW29" s="191"/>
      <c r="AX29" s="191"/>
      <c r="AY29" s="191"/>
    </row>
    <row r="30" spans="1:51">
      <c r="A30" s="16" t="s">
        <v>30</v>
      </c>
      <c r="B30" s="163"/>
      <c r="C30" s="107"/>
      <c r="D30" s="23"/>
      <c r="E30" s="24"/>
      <c r="F30" s="24"/>
      <c r="G30" s="24"/>
      <c r="H30" s="24"/>
      <c r="I30" s="24"/>
      <c r="J30" s="24"/>
      <c r="K30" s="24"/>
      <c r="L30" s="24"/>
      <c r="M30" s="22"/>
      <c r="N30" s="23"/>
      <c r="O30" s="24"/>
      <c r="P30" s="24"/>
      <c r="Q30" s="24"/>
      <c r="R30" s="24"/>
      <c r="S30" s="24"/>
      <c r="T30" s="24"/>
      <c r="U30" s="24"/>
      <c r="V30" s="24"/>
      <c r="W30" s="22"/>
      <c r="X30" s="23"/>
      <c r="Y30" s="24"/>
      <c r="Z30" s="24"/>
      <c r="AA30" s="24"/>
      <c r="AB30" s="24"/>
      <c r="AC30" s="24"/>
      <c r="AD30" s="24"/>
      <c r="AE30" s="24"/>
      <c r="AF30" s="24"/>
      <c r="AG30" s="22"/>
      <c r="AH30" s="203" t="str">
        <f t="shared" si="0"/>
        <v/>
      </c>
      <c r="AI30" s="204" t="str">
        <f t="shared" si="1"/>
        <v/>
      </c>
      <c r="AJ30" s="205" t="str">
        <f t="shared" si="2"/>
        <v/>
      </c>
      <c r="AK30" s="206">
        <f t="shared" si="3"/>
        <v>0</v>
      </c>
      <c r="AL30" s="168"/>
      <c r="AM30" s="168"/>
      <c r="AN30" s="168"/>
      <c r="AO30" s="168"/>
      <c r="AP30" s="168"/>
      <c r="AQ30" s="168"/>
      <c r="AR30" s="168"/>
      <c r="AS30" s="168"/>
      <c r="AT30" s="168"/>
      <c r="AU30" s="168"/>
      <c r="AV30" s="191"/>
      <c r="AW30" s="191"/>
      <c r="AX30" s="191"/>
      <c r="AY30" s="191"/>
    </row>
    <row r="31" spans="1:51">
      <c r="A31" s="16" t="s">
        <v>30</v>
      </c>
      <c r="B31" s="163"/>
      <c r="C31" s="107"/>
      <c r="D31" s="23"/>
      <c r="E31" s="24"/>
      <c r="F31" s="24"/>
      <c r="G31" s="24"/>
      <c r="H31" s="24"/>
      <c r="I31" s="24"/>
      <c r="J31" s="24"/>
      <c r="K31" s="24"/>
      <c r="L31" s="24"/>
      <c r="M31" s="22"/>
      <c r="N31" s="23"/>
      <c r="O31" s="24"/>
      <c r="P31" s="24"/>
      <c r="Q31" s="24"/>
      <c r="R31" s="24"/>
      <c r="S31" s="24"/>
      <c r="T31" s="24"/>
      <c r="U31" s="24"/>
      <c r="V31" s="24"/>
      <c r="W31" s="22"/>
      <c r="X31" s="23"/>
      <c r="Y31" s="24"/>
      <c r="Z31" s="24"/>
      <c r="AA31" s="24"/>
      <c r="AB31" s="24"/>
      <c r="AC31" s="24"/>
      <c r="AD31" s="24"/>
      <c r="AE31" s="24"/>
      <c r="AF31" s="24"/>
      <c r="AG31" s="22"/>
      <c r="AH31" s="203" t="str">
        <f t="shared" si="0"/>
        <v/>
      </c>
      <c r="AI31" s="204" t="str">
        <f t="shared" si="1"/>
        <v/>
      </c>
      <c r="AJ31" s="205" t="str">
        <f t="shared" si="2"/>
        <v/>
      </c>
      <c r="AK31" s="206">
        <f t="shared" si="3"/>
        <v>0</v>
      </c>
      <c r="AL31" s="168"/>
      <c r="AM31" s="168"/>
      <c r="AN31" s="168"/>
      <c r="AO31" s="168"/>
      <c r="AP31" s="168"/>
      <c r="AQ31" s="168"/>
      <c r="AR31" s="168"/>
      <c r="AS31" s="168"/>
      <c r="AT31" s="168"/>
      <c r="AU31" s="168"/>
      <c r="AV31" s="191"/>
      <c r="AW31" s="191"/>
      <c r="AX31" s="191"/>
      <c r="AY31" s="191"/>
    </row>
    <row r="32" spans="1:51">
      <c r="A32" s="16" t="s">
        <v>30</v>
      </c>
      <c r="B32" s="163"/>
      <c r="C32" s="107"/>
      <c r="D32" s="23"/>
      <c r="E32" s="24"/>
      <c r="F32" s="24"/>
      <c r="G32" s="24"/>
      <c r="H32" s="24"/>
      <c r="I32" s="24"/>
      <c r="J32" s="24"/>
      <c r="K32" s="24"/>
      <c r="L32" s="24"/>
      <c r="M32" s="22"/>
      <c r="N32" s="23"/>
      <c r="O32" s="24"/>
      <c r="P32" s="24"/>
      <c r="Q32" s="24"/>
      <c r="R32" s="24"/>
      <c r="S32" s="24"/>
      <c r="T32" s="24"/>
      <c r="U32" s="24"/>
      <c r="V32" s="24"/>
      <c r="W32" s="22"/>
      <c r="X32" s="23"/>
      <c r="Y32" s="24"/>
      <c r="Z32" s="24"/>
      <c r="AA32" s="24"/>
      <c r="AB32" s="24"/>
      <c r="AC32" s="24"/>
      <c r="AD32" s="24"/>
      <c r="AE32" s="24"/>
      <c r="AF32" s="24"/>
      <c r="AG32" s="22"/>
      <c r="AH32" s="203" t="str">
        <f t="shared" si="0"/>
        <v/>
      </c>
      <c r="AI32" s="204" t="str">
        <f t="shared" si="1"/>
        <v/>
      </c>
      <c r="AJ32" s="205" t="str">
        <f t="shared" si="2"/>
        <v/>
      </c>
      <c r="AK32" s="206">
        <f t="shared" si="3"/>
        <v>0</v>
      </c>
      <c r="AL32" s="168"/>
      <c r="AM32" s="168"/>
      <c r="AN32" s="168"/>
      <c r="AO32" s="168"/>
      <c r="AP32" s="168"/>
      <c r="AQ32" s="168"/>
      <c r="AR32" s="168"/>
      <c r="AS32" s="168"/>
      <c r="AT32" s="168"/>
      <c r="AU32" s="168"/>
      <c r="AV32" s="191"/>
      <c r="AW32" s="191"/>
      <c r="AX32" s="191"/>
      <c r="AY32" s="191"/>
    </row>
    <row r="33" spans="1:51">
      <c r="A33" s="16" t="s">
        <v>30</v>
      </c>
      <c r="B33" s="163"/>
      <c r="C33" s="107"/>
      <c r="D33" s="23"/>
      <c r="E33" s="24"/>
      <c r="F33" s="24"/>
      <c r="G33" s="24"/>
      <c r="H33" s="24"/>
      <c r="I33" s="24"/>
      <c r="J33" s="24"/>
      <c r="K33" s="24"/>
      <c r="L33" s="24"/>
      <c r="M33" s="22"/>
      <c r="N33" s="23"/>
      <c r="O33" s="24"/>
      <c r="P33" s="24"/>
      <c r="Q33" s="24"/>
      <c r="R33" s="24"/>
      <c r="S33" s="24"/>
      <c r="T33" s="24"/>
      <c r="U33" s="24"/>
      <c r="V33" s="24"/>
      <c r="W33" s="22"/>
      <c r="X33" s="23"/>
      <c r="Y33" s="24"/>
      <c r="Z33" s="24"/>
      <c r="AA33" s="24"/>
      <c r="AB33" s="24"/>
      <c r="AC33" s="24"/>
      <c r="AD33" s="24"/>
      <c r="AE33" s="24"/>
      <c r="AF33" s="24"/>
      <c r="AG33" s="22"/>
      <c r="AH33" s="203" t="str">
        <f t="shared" si="0"/>
        <v/>
      </c>
      <c r="AI33" s="204" t="str">
        <f t="shared" si="1"/>
        <v/>
      </c>
      <c r="AJ33" s="205" t="str">
        <f t="shared" si="2"/>
        <v/>
      </c>
      <c r="AK33" s="206">
        <f t="shared" si="3"/>
        <v>0</v>
      </c>
      <c r="AL33" s="168"/>
      <c r="AM33" s="168"/>
      <c r="AN33" s="168"/>
      <c r="AO33" s="168"/>
      <c r="AP33" s="168"/>
      <c r="AQ33" s="168"/>
      <c r="AR33" s="168"/>
      <c r="AS33" s="168"/>
      <c r="AT33" s="168"/>
      <c r="AU33" s="168"/>
      <c r="AV33" s="191"/>
      <c r="AW33" s="191"/>
      <c r="AX33" s="191"/>
      <c r="AY33" s="191"/>
    </row>
    <row r="34" spans="1:51">
      <c r="A34" s="16" t="s">
        <v>30</v>
      </c>
      <c r="B34" s="163"/>
      <c r="C34" s="107"/>
      <c r="D34" s="23"/>
      <c r="E34" s="24"/>
      <c r="F34" s="24"/>
      <c r="G34" s="24"/>
      <c r="H34" s="24"/>
      <c r="I34" s="24"/>
      <c r="J34" s="24"/>
      <c r="K34" s="24"/>
      <c r="L34" s="24"/>
      <c r="M34" s="22"/>
      <c r="N34" s="23"/>
      <c r="O34" s="24"/>
      <c r="P34" s="24"/>
      <c r="Q34" s="24"/>
      <c r="R34" s="24"/>
      <c r="S34" s="24"/>
      <c r="T34" s="24"/>
      <c r="U34" s="24"/>
      <c r="V34" s="24"/>
      <c r="W34" s="22"/>
      <c r="X34" s="23"/>
      <c r="Y34" s="24"/>
      <c r="Z34" s="24"/>
      <c r="AA34" s="24"/>
      <c r="AB34" s="24"/>
      <c r="AC34" s="24"/>
      <c r="AD34" s="24"/>
      <c r="AE34" s="24"/>
      <c r="AF34" s="24"/>
      <c r="AG34" s="22"/>
      <c r="AH34" s="203" t="str">
        <f t="shared" si="0"/>
        <v/>
      </c>
      <c r="AI34" s="204" t="str">
        <f t="shared" si="1"/>
        <v/>
      </c>
      <c r="AJ34" s="205" t="str">
        <f t="shared" si="2"/>
        <v/>
      </c>
      <c r="AK34" s="206">
        <f t="shared" si="3"/>
        <v>0</v>
      </c>
      <c r="AL34" s="168"/>
      <c r="AM34" s="168"/>
      <c r="AN34" s="168"/>
      <c r="AO34" s="168"/>
      <c r="AP34" s="168"/>
      <c r="AQ34" s="168"/>
      <c r="AR34" s="168"/>
      <c r="AS34" s="168"/>
      <c r="AT34" s="168"/>
      <c r="AU34" s="168"/>
      <c r="AV34" s="191"/>
      <c r="AW34" s="191"/>
      <c r="AX34" s="191"/>
      <c r="AY34" s="191"/>
    </row>
    <row r="35" spans="1:51">
      <c r="A35" s="16" t="s">
        <v>30</v>
      </c>
      <c r="B35" s="163"/>
      <c r="C35" s="107"/>
      <c r="D35" s="23"/>
      <c r="E35" s="24"/>
      <c r="F35" s="24"/>
      <c r="G35" s="24"/>
      <c r="H35" s="24"/>
      <c r="I35" s="24"/>
      <c r="J35" s="24"/>
      <c r="K35" s="24"/>
      <c r="L35" s="24"/>
      <c r="M35" s="22"/>
      <c r="N35" s="23"/>
      <c r="O35" s="24"/>
      <c r="P35" s="24"/>
      <c r="Q35" s="24"/>
      <c r="R35" s="24"/>
      <c r="S35" s="24"/>
      <c r="T35" s="24"/>
      <c r="U35" s="24"/>
      <c r="V35" s="24"/>
      <c r="W35" s="22"/>
      <c r="X35" s="23"/>
      <c r="Y35" s="24"/>
      <c r="Z35" s="24"/>
      <c r="AA35" s="24"/>
      <c r="AB35" s="24"/>
      <c r="AC35" s="24"/>
      <c r="AD35" s="24"/>
      <c r="AE35" s="24"/>
      <c r="AF35" s="24"/>
      <c r="AG35" s="22"/>
      <c r="AH35" s="203" t="str">
        <f t="shared" si="0"/>
        <v/>
      </c>
      <c r="AI35" s="204" t="str">
        <f t="shared" si="1"/>
        <v/>
      </c>
      <c r="AJ35" s="205" t="str">
        <f t="shared" si="2"/>
        <v/>
      </c>
      <c r="AK35" s="206">
        <f t="shared" si="3"/>
        <v>0</v>
      </c>
      <c r="AL35" s="168"/>
      <c r="AM35" s="168"/>
      <c r="AN35" s="168"/>
      <c r="AO35" s="168"/>
      <c r="AP35" s="168"/>
      <c r="AQ35" s="168"/>
      <c r="AR35" s="168"/>
      <c r="AS35" s="168"/>
      <c r="AT35" s="168"/>
      <c r="AU35" s="168"/>
      <c r="AV35" s="191"/>
      <c r="AW35" s="191"/>
      <c r="AX35" s="191"/>
      <c r="AY35" s="191"/>
    </row>
    <row r="36" spans="1:51">
      <c r="A36" s="16" t="s">
        <v>30</v>
      </c>
      <c r="B36" s="163"/>
      <c r="C36" s="107"/>
      <c r="D36" s="23"/>
      <c r="E36" s="24"/>
      <c r="F36" s="24"/>
      <c r="G36" s="24"/>
      <c r="H36" s="24"/>
      <c r="I36" s="24"/>
      <c r="J36" s="24"/>
      <c r="K36" s="24"/>
      <c r="L36" s="24"/>
      <c r="M36" s="22"/>
      <c r="N36" s="23"/>
      <c r="O36" s="24"/>
      <c r="P36" s="24"/>
      <c r="Q36" s="24"/>
      <c r="R36" s="24"/>
      <c r="S36" s="24"/>
      <c r="T36" s="24"/>
      <c r="U36" s="24"/>
      <c r="V36" s="24"/>
      <c r="W36" s="22"/>
      <c r="X36" s="23"/>
      <c r="Y36" s="24"/>
      <c r="Z36" s="24"/>
      <c r="AA36" s="24"/>
      <c r="AB36" s="24"/>
      <c r="AC36" s="24"/>
      <c r="AD36" s="24"/>
      <c r="AE36" s="24"/>
      <c r="AF36" s="24"/>
      <c r="AG36" s="22"/>
      <c r="AH36" s="203" t="str">
        <f t="shared" si="0"/>
        <v/>
      </c>
      <c r="AI36" s="204" t="str">
        <f t="shared" si="1"/>
        <v/>
      </c>
      <c r="AJ36" s="205" t="str">
        <f t="shared" si="2"/>
        <v/>
      </c>
      <c r="AK36" s="206">
        <f t="shared" si="3"/>
        <v>0</v>
      </c>
      <c r="AL36" s="168"/>
      <c r="AM36" s="168"/>
      <c r="AN36" s="168"/>
      <c r="AO36" s="168"/>
      <c r="AP36" s="168"/>
      <c r="AQ36" s="168"/>
      <c r="AR36" s="168"/>
      <c r="AS36" s="168"/>
      <c r="AT36" s="168"/>
      <c r="AU36" s="168"/>
      <c r="AV36" s="191"/>
      <c r="AW36" s="191"/>
      <c r="AX36" s="191"/>
      <c r="AY36" s="191"/>
    </row>
    <row r="37" spans="1:51">
      <c r="A37" s="16" t="s">
        <v>30</v>
      </c>
      <c r="B37" s="163"/>
      <c r="C37" s="107"/>
      <c r="D37" s="23"/>
      <c r="E37" s="24"/>
      <c r="F37" s="24"/>
      <c r="G37" s="24"/>
      <c r="H37" s="24"/>
      <c r="I37" s="24"/>
      <c r="J37" s="24"/>
      <c r="K37" s="24"/>
      <c r="L37" s="24"/>
      <c r="M37" s="22"/>
      <c r="N37" s="23"/>
      <c r="O37" s="24"/>
      <c r="P37" s="24"/>
      <c r="Q37" s="24"/>
      <c r="R37" s="24"/>
      <c r="S37" s="24"/>
      <c r="T37" s="24"/>
      <c r="U37" s="24"/>
      <c r="V37" s="24"/>
      <c r="W37" s="22"/>
      <c r="X37" s="23"/>
      <c r="Y37" s="24"/>
      <c r="Z37" s="24"/>
      <c r="AA37" s="24"/>
      <c r="AB37" s="24"/>
      <c r="AC37" s="24"/>
      <c r="AD37" s="24"/>
      <c r="AE37" s="24"/>
      <c r="AF37" s="24"/>
      <c r="AG37" s="22"/>
      <c r="AH37" s="203" t="str">
        <f t="shared" si="0"/>
        <v/>
      </c>
      <c r="AI37" s="204" t="str">
        <f t="shared" si="1"/>
        <v/>
      </c>
      <c r="AJ37" s="205" t="str">
        <f t="shared" si="2"/>
        <v/>
      </c>
      <c r="AK37" s="206">
        <f t="shared" si="3"/>
        <v>0</v>
      </c>
      <c r="AL37" s="168"/>
      <c r="AM37" s="168"/>
      <c r="AN37" s="168"/>
      <c r="AO37" s="168"/>
      <c r="AP37" s="168"/>
      <c r="AQ37" s="168"/>
      <c r="AR37" s="168"/>
      <c r="AS37" s="168"/>
      <c r="AT37" s="168"/>
      <c r="AU37" s="168"/>
      <c r="AV37" s="191"/>
      <c r="AW37" s="191"/>
      <c r="AX37" s="191"/>
      <c r="AY37" s="191"/>
    </row>
    <row r="38" spans="1:51">
      <c r="A38" s="16" t="s">
        <v>30</v>
      </c>
      <c r="B38" s="163"/>
      <c r="C38" s="107"/>
      <c r="D38" s="23"/>
      <c r="E38" s="24"/>
      <c r="F38" s="24"/>
      <c r="G38" s="24"/>
      <c r="H38" s="24"/>
      <c r="I38" s="24"/>
      <c r="J38" s="24"/>
      <c r="K38" s="24"/>
      <c r="L38" s="24"/>
      <c r="M38" s="22"/>
      <c r="N38" s="23"/>
      <c r="O38" s="24"/>
      <c r="P38" s="24"/>
      <c r="Q38" s="24"/>
      <c r="R38" s="24"/>
      <c r="S38" s="24"/>
      <c r="T38" s="24"/>
      <c r="U38" s="24"/>
      <c r="V38" s="24"/>
      <c r="W38" s="22"/>
      <c r="X38" s="23"/>
      <c r="Y38" s="24"/>
      <c r="Z38" s="24"/>
      <c r="AA38" s="24"/>
      <c r="AB38" s="24"/>
      <c r="AC38" s="24"/>
      <c r="AD38" s="24"/>
      <c r="AE38" s="24"/>
      <c r="AF38" s="24"/>
      <c r="AG38" s="22"/>
      <c r="AH38" s="203" t="str">
        <f t="shared" si="0"/>
        <v/>
      </c>
      <c r="AI38" s="204" t="str">
        <f t="shared" si="1"/>
        <v/>
      </c>
      <c r="AJ38" s="205" t="str">
        <f t="shared" si="2"/>
        <v/>
      </c>
      <c r="AK38" s="206">
        <f t="shared" si="3"/>
        <v>0</v>
      </c>
      <c r="AL38" s="168"/>
      <c r="AM38" s="168"/>
      <c r="AN38" s="168"/>
      <c r="AO38" s="168"/>
      <c r="AP38" s="168"/>
      <c r="AQ38" s="168"/>
      <c r="AR38" s="168"/>
      <c r="AS38" s="168"/>
      <c r="AT38" s="168"/>
      <c r="AU38" s="168"/>
      <c r="AV38" s="191"/>
      <c r="AW38" s="191"/>
      <c r="AX38" s="191"/>
      <c r="AY38" s="191"/>
    </row>
    <row r="39" spans="1:51">
      <c r="A39" s="16" t="s">
        <v>30</v>
      </c>
      <c r="B39" s="163"/>
      <c r="C39" s="107"/>
      <c r="D39" s="23"/>
      <c r="E39" s="24"/>
      <c r="F39" s="24"/>
      <c r="G39" s="24"/>
      <c r="H39" s="24"/>
      <c r="I39" s="24"/>
      <c r="J39" s="24"/>
      <c r="K39" s="24"/>
      <c r="L39" s="24"/>
      <c r="M39" s="22"/>
      <c r="N39" s="23"/>
      <c r="O39" s="24"/>
      <c r="P39" s="24"/>
      <c r="Q39" s="24"/>
      <c r="R39" s="24"/>
      <c r="S39" s="24"/>
      <c r="T39" s="24"/>
      <c r="U39" s="24"/>
      <c r="V39" s="24"/>
      <c r="W39" s="22"/>
      <c r="X39" s="23"/>
      <c r="Y39" s="24"/>
      <c r="Z39" s="24"/>
      <c r="AA39" s="24"/>
      <c r="AB39" s="24"/>
      <c r="AC39" s="24"/>
      <c r="AD39" s="24"/>
      <c r="AE39" s="24"/>
      <c r="AF39" s="24"/>
      <c r="AG39" s="22"/>
      <c r="AH39" s="203" t="str">
        <f t="shared" si="0"/>
        <v/>
      </c>
      <c r="AI39" s="204" t="str">
        <f t="shared" si="1"/>
        <v/>
      </c>
      <c r="AJ39" s="205" t="str">
        <f t="shared" si="2"/>
        <v/>
      </c>
      <c r="AK39" s="206">
        <f t="shared" si="3"/>
        <v>0</v>
      </c>
      <c r="AL39" s="168"/>
      <c r="AM39" s="168"/>
      <c r="AN39" s="168"/>
      <c r="AO39" s="168"/>
      <c r="AP39" s="168"/>
      <c r="AQ39" s="168"/>
      <c r="AR39" s="168"/>
      <c r="AS39" s="168"/>
      <c r="AT39" s="168"/>
      <c r="AU39" s="168"/>
      <c r="AV39" s="191"/>
      <c r="AW39" s="191"/>
      <c r="AX39" s="191"/>
      <c r="AY39" s="191"/>
    </row>
    <row r="40" spans="1:51">
      <c r="A40" s="16" t="s">
        <v>30</v>
      </c>
      <c r="B40" s="163"/>
      <c r="C40" s="107"/>
      <c r="D40" s="23"/>
      <c r="E40" s="24"/>
      <c r="F40" s="24"/>
      <c r="G40" s="24"/>
      <c r="H40" s="24"/>
      <c r="I40" s="24"/>
      <c r="J40" s="24"/>
      <c r="K40" s="24"/>
      <c r="L40" s="24"/>
      <c r="M40" s="22"/>
      <c r="N40" s="23"/>
      <c r="O40" s="24"/>
      <c r="P40" s="24"/>
      <c r="Q40" s="24"/>
      <c r="R40" s="24"/>
      <c r="S40" s="24"/>
      <c r="T40" s="24"/>
      <c r="U40" s="24"/>
      <c r="V40" s="24"/>
      <c r="W40" s="22"/>
      <c r="X40" s="23"/>
      <c r="Y40" s="24"/>
      <c r="Z40" s="24"/>
      <c r="AA40" s="24"/>
      <c r="AB40" s="24"/>
      <c r="AC40" s="24"/>
      <c r="AD40" s="24"/>
      <c r="AE40" s="24"/>
      <c r="AF40" s="24"/>
      <c r="AG40" s="22"/>
      <c r="AH40" s="203" t="str">
        <f t="shared" si="0"/>
        <v/>
      </c>
      <c r="AI40" s="204" t="str">
        <f t="shared" si="1"/>
        <v/>
      </c>
      <c r="AJ40" s="205" t="str">
        <f t="shared" si="2"/>
        <v/>
      </c>
      <c r="AK40" s="206">
        <f t="shared" si="3"/>
        <v>0</v>
      </c>
      <c r="AL40" s="168"/>
      <c r="AM40" s="168"/>
      <c r="AN40" s="168"/>
      <c r="AO40" s="168"/>
      <c r="AP40" s="168"/>
      <c r="AQ40" s="168"/>
      <c r="AR40" s="168"/>
      <c r="AS40" s="168"/>
      <c r="AT40" s="168"/>
      <c r="AU40" s="168"/>
      <c r="AV40" s="191"/>
      <c r="AW40" s="191"/>
      <c r="AX40" s="191"/>
      <c r="AY40" s="191"/>
    </row>
    <row r="41" spans="1:51">
      <c r="A41" s="16" t="s">
        <v>30</v>
      </c>
      <c r="B41" s="163"/>
      <c r="C41" s="107"/>
      <c r="D41" s="23"/>
      <c r="E41" s="24"/>
      <c r="F41" s="24"/>
      <c r="G41" s="24"/>
      <c r="H41" s="24"/>
      <c r="I41" s="24"/>
      <c r="J41" s="24"/>
      <c r="K41" s="24"/>
      <c r="L41" s="24"/>
      <c r="M41" s="22"/>
      <c r="N41" s="23"/>
      <c r="O41" s="24"/>
      <c r="P41" s="24"/>
      <c r="Q41" s="24"/>
      <c r="R41" s="24"/>
      <c r="S41" s="24"/>
      <c r="T41" s="24"/>
      <c r="U41" s="24"/>
      <c r="V41" s="24"/>
      <c r="W41" s="22"/>
      <c r="X41" s="23"/>
      <c r="Y41" s="24"/>
      <c r="Z41" s="24"/>
      <c r="AA41" s="24"/>
      <c r="AB41" s="24"/>
      <c r="AC41" s="24"/>
      <c r="AD41" s="24"/>
      <c r="AE41" s="24"/>
      <c r="AF41" s="24"/>
      <c r="AG41" s="22"/>
      <c r="AH41" s="203" t="str">
        <f t="shared" si="0"/>
        <v/>
      </c>
      <c r="AI41" s="204" t="str">
        <f t="shared" si="1"/>
        <v/>
      </c>
      <c r="AJ41" s="205" t="str">
        <f t="shared" si="2"/>
        <v/>
      </c>
      <c r="AK41" s="206">
        <f t="shared" si="3"/>
        <v>0</v>
      </c>
      <c r="AL41" s="168"/>
      <c r="AM41" s="168"/>
      <c r="AN41" s="168"/>
      <c r="AO41" s="168"/>
      <c r="AP41" s="168"/>
      <c r="AQ41" s="168"/>
      <c r="AR41" s="168"/>
      <c r="AS41" s="168"/>
      <c r="AT41" s="168"/>
      <c r="AU41" s="168"/>
      <c r="AV41" s="191"/>
      <c r="AW41" s="191"/>
      <c r="AX41" s="191"/>
      <c r="AY41" s="191"/>
    </row>
    <row r="42" spans="1:51" ht="13" thickBot="1">
      <c r="A42" s="17" t="s">
        <v>30</v>
      </c>
      <c r="B42" s="164"/>
      <c r="C42" s="117"/>
      <c r="D42" s="31"/>
      <c r="E42" s="32"/>
      <c r="F42" s="32"/>
      <c r="G42" s="32"/>
      <c r="H42" s="32"/>
      <c r="I42" s="32"/>
      <c r="J42" s="32"/>
      <c r="K42" s="32"/>
      <c r="L42" s="32"/>
      <c r="M42" s="30"/>
      <c r="N42" s="31"/>
      <c r="O42" s="32"/>
      <c r="P42" s="32"/>
      <c r="Q42" s="32"/>
      <c r="R42" s="32"/>
      <c r="S42" s="32"/>
      <c r="T42" s="32"/>
      <c r="U42" s="32"/>
      <c r="V42" s="32"/>
      <c r="W42" s="30"/>
      <c r="X42" s="31"/>
      <c r="Y42" s="32"/>
      <c r="Z42" s="32"/>
      <c r="AA42" s="32"/>
      <c r="AB42" s="32"/>
      <c r="AC42" s="32"/>
      <c r="AD42" s="32"/>
      <c r="AE42" s="32"/>
      <c r="AF42" s="32"/>
      <c r="AG42" s="30"/>
      <c r="AH42" s="207" t="str">
        <f t="shared" si="0"/>
        <v/>
      </c>
      <c r="AI42" s="208" t="str">
        <f t="shared" si="1"/>
        <v/>
      </c>
      <c r="AJ42" s="185" t="str">
        <f t="shared" si="2"/>
        <v/>
      </c>
      <c r="AK42" s="209">
        <f t="shared" si="3"/>
        <v>0</v>
      </c>
      <c r="AL42" s="168"/>
      <c r="AM42" s="168"/>
      <c r="AN42" s="168"/>
      <c r="AO42" s="168"/>
      <c r="AP42" s="168"/>
      <c r="AQ42" s="168"/>
      <c r="AR42" s="168"/>
      <c r="AS42" s="168"/>
      <c r="AT42" s="168"/>
      <c r="AU42" s="168"/>
      <c r="AV42" s="191"/>
      <c r="AW42" s="191"/>
      <c r="AX42" s="191"/>
      <c r="AY42" s="191"/>
    </row>
    <row r="43" spans="1:51" ht="13" thickBot="1">
      <c r="A43" s="294" t="s">
        <v>31</v>
      </c>
      <c r="B43" s="154"/>
      <c r="C43" s="154"/>
      <c r="D43" s="92"/>
      <c r="E43" s="93"/>
      <c r="F43" s="93"/>
      <c r="G43" s="93"/>
      <c r="H43" s="93"/>
      <c r="I43" s="93"/>
      <c r="J43" s="93"/>
      <c r="K43" s="93"/>
      <c r="L43" s="93"/>
      <c r="M43" s="96"/>
      <c r="N43" s="92"/>
      <c r="O43" s="93"/>
      <c r="P43" s="93"/>
      <c r="Q43" s="93"/>
      <c r="R43" s="93"/>
      <c r="S43" s="93"/>
      <c r="T43" s="93"/>
      <c r="U43" s="93"/>
      <c r="V43" s="93"/>
      <c r="W43" s="96"/>
      <c r="X43" s="354"/>
      <c r="Y43" s="355"/>
      <c r="Z43" s="355"/>
      <c r="AA43" s="355"/>
      <c r="AB43" s="355"/>
      <c r="AC43" s="355"/>
      <c r="AD43" s="355"/>
      <c r="AE43" s="355"/>
      <c r="AF43" s="355"/>
      <c r="AG43" s="356"/>
      <c r="AH43" s="304" t="s">
        <v>49</v>
      </c>
      <c r="AI43" s="305" t="s">
        <v>50</v>
      </c>
      <c r="AJ43" s="305" t="s">
        <v>51</v>
      </c>
      <c r="AK43" s="210"/>
      <c r="AL43" s="168"/>
      <c r="AM43" s="168"/>
      <c r="AN43" s="168"/>
      <c r="AO43" s="168"/>
      <c r="AP43" s="168"/>
      <c r="AQ43" s="168"/>
      <c r="AR43" s="168"/>
      <c r="AS43" s="168"/>
      <c r="AT43" s="168"/>
      <c r="AU43" s="168"/>
      <c r="AV43" s="191"/>
      <c r="AW43" s="191"/>
      <c r="AX43" s="191"/>
      <c r="AY43" s="191"/>
    </row>
    <row r="44" spans="1:51">
      <c r="A44" s="15" t="s">
        <v>31</v>
      </c>
      <c r="B44" s="163">
        <v>41067</v>
      </c>
      <c r="C44" s="107" t="s">
        <v>72</v>
      </c>
      <c r="D44" s="23">
        <v>0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4">
        <v>0</v>
      </c>
      <c r="M44" s="22">
        <v>0</v>
      </c>
      <c r="N44" s="23"/>
      <c r="O44" s="24"/>
      <c r="P44" s="24"/>
      <c r="Q44" s="24"/>
      <c r="R44" s="24"/>
      <c r="S44" s="24"/>
      <c r="T44" s="24"/>
      <c r="U44" s="24"/>
      <c r="V44" s="24"/>
      <c r="W44" s="22"/>
      <c r="X44" s="23"/>
      <c r="Y44" s="24"/>
      <c r="Z44" s="24"/>
      <c r="AA44" s="24"/>
      <c r="AB44" s="24"/>
      <c r="AC44" s="24"/>
      <c r="AD44" s="24"/>
      <c r="AE44" s="24"/>
      <c r="AF44" s="24"/>
      <c r="AG44" s="22"/>
      <c r="AH44" s="199">
        <f t="shared" ref="AH44:AH73" si="4">IF(COUNT(D44:M44)=0,"",AVERAGE(D44:M44))</f>
        <v>0</v>
      </c>
      <c r="AI44" s="204" t="str">
        <f t="shared" ref="AI44:AI73" si="5">IF(COUNT(N44:W44)=0,"",AVERAGE(N44:W44))</f>
        <v/>
      </c>
      <c r="AJ44" s="204" t="str">
        <f t="shared" ref="AJ44:AJ73" si="6">IF(COUNT(X44:AG44)=0,"",AVERAGE(X44:AG44))</f>
        <v/>
      </c>
      <c r="AK44" s="202">
        <f t="shared" ref="AK44:AK73" si="7">IF(ISNUMBER(AH44),AH44,0)+IF(ISNUMBER(AI44),AI44,0)+IF(ISNUMBER(AJ44),AJ44,0)</f>
        <v>0</v>
      </c>
      <c r="AL44" s="168"/>
      <c r="AM44" s="168"/>
      <c r="AN44" s="168"/>
      <c r="AO44" s="168"/>
      <c r="AP44" s="168"/>
      <c r="AQ44" s="168"/>
      <c r="AR44" s="168"/>
      <c r="AS44" s="168"/>
      <c r="AT44" s="168"/>
      <c r="AU44" s="168"/>
      <c r="AV44" s="168"/>
      <c r="AW44" s="168"/>
      <c r="AX44" s="168"/>
      <c r="AY44" s="168"/>
    </row>
    <row r="45" spans="1:51">
      <c r="A45" s="16" t="s">
        <v>31</v>
      </c>
      <c r="B45" s="163">
        <v>41071</v>
      </c>
      <c r="C45" s="107" t="s">
        <v>72</v>
      </c>
      <c r="D45" s="23">
        <v>1</v>
      </c>
      <c r="E45" s="24">
        <v>4</v>
      </c>
      <c r="F45" s="24">
        <v>0</v>
      </c>
      <c r="G45" s="24">
        <v>0</v>
      </c>
      <c r="H45" s="24">
        <v>2</v>
      </c>
      <c r="I45" s="24">
        <v>0</v>
      </c>
      <c r="J45" s="24">
        <v>0</v>
      </c>
      <c r="K45" s="24">
        <v>2</v>
      </c>
      <c r="L45" s="24">
        <v>0</v>
      </c>
      <c r="M45" s="22">
        <v>0</v>
      </c>
      <c r="N45" s="23"/>
      <c r="O45" s="24"/>
      <c r="P45" s="24"/>
      <c r="Q45" s="24"/>
      <c r="R45" s="24"/>
      <c r="S45" s="24"/>
      <c r="T45" s="24"/>
      <c r="U45" s="24"/>
      <c r="V45" s="24"/>
      <c r="W45" s="22"/>
      <c r="X45" s="23"/>
      <c r="Y45" s="24"/>
      <c r="Z45" s="24"/>
      <c r="AA45" s="24"/>
      <c r="AB45" s="24"/>
      <c r="AC45" s="24"/>
      <c r="AD45" s="24"/>
      <c r="AE45" s="24"/>
      <c r="AF45" s="24"/>
      <c r="AG45" s="22"/>
      <c r="AH45" s="203">
        <f t="shared" si="4"/>
        <v>0.9</v>
      </c>
      <c r="AI45" s="204" t="str">
        <f t="shared" si="5"/>
        <v/>
      </c>
      <c r="AJ45" s="205" t="str">
        <f t="shared" si="6"/>
        <v/>
      </c>
      <c r="AK45" s="206">
        <f t="shared" si="7"/>
        <v>0.9</v>
      </c>
      <c r="AL45" s="168"/>
      <c r="AM45" s="168"/>
      <c r="AN45" s="168"/>
      <c r="AO45" s="168"/>
      <c r="AP45" s="168"/>
      <c r="AQ45" s="168"/>
      <c r="AR45" s="168"/>
      <c r="AS45" s="168"/>
      <c r="AT45" s="168"/>
      <c r="AU45" s="168"/>
      <c r="AV45" s="168"/>
      <c r="AW45" s="168"/>
      <c r="AX45" s="168"/>
      <c r="AY45" s="168"/>
    </row>
    <row r="46" spans="1:51">
      <c r="A46" s="16" t="s">
        <v>31</v>
      </c>
      <c r="B46" s="163">
        <v>41078</v>
      </c>
      <c r="C46" s="107" t="s">
        <v>72</v>
      </c>
      <c r="D46" s="23">
        <v>20</v>
      </c>
      <c r="E46" s="24">
        <v>9</v>
      </c>
      <c r="F46" s="24">
        <v>1</v>
      </c>
      <c r="G46" s="24">
        <v>3</v>
      </c>
      <c r="H46" s="24">
        <v>27</v>
      </c>
      <c r="I46" s="24">
        <v>12</v>
      </c>
      <c r="J46" s="24">
        <v>0</v>
      </c>
      <c r="K46" s="24">
        <v>13</v>
      </c>
      <c r="L46" s="24">
        <v>5</v>
      </c>
      <c r="M46" s="22">
        <v>0</v>
      </c>
      <c r="N46" s="23"/>
      <c r="O46" s="24"/>
      <c r="P46" s="24"/>
      <c r="Q46" s="24"/>
      <c r="R46" s="24"/>
      <c r="S46" s="24"/>
      <c r="T46" s="24"/>
      <c r="U46" s="24"/>
      <c r="V46" s="24"/>
      <c r="W46" s="22"/>
      <c r="X46" s="23"/>
      <c r="Y46" s="24"/>
      <c r="Z46" s="24"/>
      <c r="AA46" s="24"/>
      <c r="AB46" s="24"/>
      <c r="AC46" s="24"/>
      <c r="AD46" s="24"/>
      <c r="AE46" s="24"/>
      <c r="AF46" s="24"/>
      <c r="AG46" s="22"/>
      <c r="AH46" s="203">
        <f t="shared" si="4"/>
        <v>9</v>
      </c>
      <c r="AI46" s="204" t="str">
        <f t="shared" si="5"/>
        <v/>
      </c>
      <c r="AJ46" s="205" t="str">
        <f t="shared" si="6"/>
        <v/>
      </c>
      <c r="AK46" s="206">
        <f t="shared" si="7"/>
        <v>9</v>
      </c>
      <c r="AL46" s="168"/>
      <c r="AM46" s="168"/>
      <c r="AN46" s="168"/>
      <c r="AO46" s="168"/>
      <c r="AP46" s="168"/>
      <c r="AQ46" s="168"/>
      <c r="AR46" s="168"/>
      <c r="AS46" s="168"/>
      <c r="AT46" s="168"/>
      <c r="AU46" s="168"/>
      <c r="AV46" s="168"/>
      <c r="AW46" s="168"/>
      <c r="AX46" s="168"/>
      <c r="AY46" s="168"/>
    </row>
    <row r="47" spans="1:51">
      <c r="A47" s="16" t="s">
        <v>31</v>
      </c>
      <c r="B47" s="163">
        <v>41086</v>
      </c>
      <c r="C47" s="107" t="s">
        <v>80</v>
      </c>
      <c r="D47" s="23">
        <v>38</v>
      </c>
      <c r="E47" s="24">
        <v>31</v>
      </c>
      <c r="F47" s="24">
        <v>30</v>
      </c>
      <c r="G47" s="24">
        <v>42</v>
      </c>
      <c r="H47" s="24">
        <v>102</v>
      </c>
      <c r="I47" s="24">
        <v>33</v>
      </c>
      <c r="J47" s="24">
        <v>10</v>
      </c>
      <c r="K47" s="24">
        <v>31</v>
      </c>
      <c r="L47" s="24">
        <v>20</v>
      </c>
      <c r="M47" s="22">
        <v>5</v>
      </c>
      <c r="N47" s="23">
        <v>0</v>
      </c>
      <c r="O47" s="24">
        <v>0</v>
      </c>
      <c r="P47" s="24">
        <v>11</v>
      </c>
      <c r="Q47" s="24">
        <v>6</v>
      </c>
      <c r="R47" s="24">
        <v>0</v>
      </c>
      <c r="S47" s="24">
        <v>0</v>
      </c>
      <c r="T47" s="24">
        <v>0</v>
      </c>
      <c r="U47" s="24">
        <v>5</v>
      </c>
      <c r="V47" s="24">
        <v>4</v>
      </c>
      <c r="W47" s="22">
        <v>0</v>
      </c>
      <c r="X47" s="23"/>
      <c r="Y47" s="24"/>
      <c r="Z47" s="24"/>
      <c r="AA47" s="24"/>
      <c r="AB47" s="24"/>
      <c r="AC47" s="24"/>
      <c r="AD47" s="24"/>
      <c r="AE47" s="24"/>
      <c r="AF47" s="24"/>
      <c r="AG47" s="22"/>
      <c r="AH47" s="203">
        <f t="shared" si="4"/>
        <v>34.200000000000003</v>
      </c>
      <c r="AI47" s="204">
        <f t="shared" si="5"/>
        <v>2.6</v>
      </c>
      <c r="AJ47" s="205" t="str">
        <f t="shared" si="6"/>
        <v/>
      </c>
      <c r="AK47" s="206">
        <f t="shared" si="7"/>
        <v>36.800000000000004</v>
      </c>
      <c r="AL47" s="168"/>
      <c r="AM47" s="168"/>
      <c r="AN47" s="168"/>
      <c r="AO47" s="168"/>
      <c r="AP47" s="168"/>
      <c r="AQ47" s="168"/>
      <c r="AR47" s="168"/>
      <c r="AS47" s="168"/>
      <c r="AT47" s="168"/>
      <c r="AU47" s="168"/>
      <c r="AV47" s="168"/>
      <c r="AW47" s="168"/>
      <c r="AX47" s="168"/>
      <c r="AY47" s="168"/>
    </row>
    <row r="48" spans="1:51">
      <c r="A48" s="16" t="s">
        <v>31</v>
      </c>
      <c r="B48" s="163">
        <v>41098</v>
      </c>
      <c r="C48" s="107" t="s">
        <v>72</v>
      </c>
      <c r="D48" s="23">
        <v>1</v>
      </c>
      <c r="E48" s="24">
        <v>2</v>
      </c>
      <c r="F48" s="24">
        <v>0</v>
      </c>
      <c r="G48" s="24">
        <v>4</v>
      </c>
      <c r="H48" s="24">
        <v>7</v>
      </c>
      <c r="I48" s="24">
        <v>1</v>
      </c>
      <c r="J48" s="24">
        <v>0</v>
      </c>
      <c r="K48" s="24">
        <v>9</v>
      </c>
      <c r="L48" s="24">
        <v>0</v>
      </c>
      <c r="M48" s="22">
        <v>0</v>
      </c>
      <c r="N48" s="23">
        <v>43</v>
      </c>
      <c r="O48" s="24">
        <v>14</v>
      </c>
      <c r="P48" s="24">
        <v>15</v>
      </c>
      <c r="Q48" s="24">
        <v>13</v>
      </c>
      <c r="R48" s="24">
        <v>78</v>
      </c>
      <c r="S48" s="24">
        <v>9</v>
      </c>
      <c r="T48" s="24">
        <v>2</v>
      </c>
      <c r="U48" s="24">
        <v>20</v>
      </c>
      <c r="V48" s="24">
        <v>11</v>
      </c>
      <c r="W48" s="22">
        <v>0</v>
      </c>
      <c r="X48" s="23"/>
      <c r="Y48" s="24"/>
      <c r="Z48" s="24"/>
      <c r="AA48" s="24"/>
      <c r="AB48" s="24"/>
      <c r="AC48" s="24"/>
      <c r="AD48" s="24"/>
      <c r="AE48" s="24"/>
      <c r="AF48" s="24"/>
      <c r="AG48" s="22"/>
      <c r="AH48" s="203">
        <f t="shared" si="4"/>
        <v>2.4</v>
      </c>
      <c r="AI48" s="204">
        <f t="shared" si="5"/>
        <v>20.5</v>
      </c>
      <c r="AJ48" s="205" t="str">
        <f t="shared" si="6"/>
        <v/>
      </c>
      <c r="AK48" s="206">
        <f t="shared" si="7"/>
        <v>22.9</v>
      </c>
      <c r="AL48" s="168"/>
      <c r="AM48" s="168"/>
      <c r="AN48" s="168"/>
      <c r="AO48" s="168"/>
      <c r="AP48" s="168"/>
      <c r="AQ48" s="168"/>
      <c r="AR48" s="168"/>
      <c r="AS48" s="168"/>
      <c r="AT48" s="168"/>
      <c r="AU48" s="168"/>
      <c r="AV48" s="168"/>
      <c r="AW48" s="168"/>
      <c r="AX48" s="168"/>
      <c r="AY48" s="168"/>
    </row>
    <row r="49" spans="1:51">
      <c r="A49" s="16" t="s">
        <v>31</v>
      </c>
      <c r="B49" s="163">
        <v>41105</v>
      </c>
      <c r="C49" s="107" t="s">
        <v>72</v>
      </c>
      <c r="D49" s="23">
        <v>0</v>
      </c>
      <c r="E49" s="24">
        <v>0</v>
      </c>
      <c r="F49" s="24">
        <v>0</v>
      </c>
      <c r="G49" s="24">
        <v>0</v>
      </c>
      <c r="H49" s="24">
        <v>0</v>
      </c>
      <c r="I49" s="24">
        <v>0</v>
      </c>
      <c r="J49" s="24">
        <v>0</v>
      </c>
      <c r="K49" s="24">
        <v>0</v>
      </c>
      <c r="L49" s="24">
        <v>0</v>
      </c>
      <c r="M49" s="22">
        <v>0</v>
      </c>
      <c r="N49" s="23">
        <v>39</v>
      </c>
      <c r="O49" s="24">
        <v>6</v>
      </c>
      <c r="P49" s="24">
        <v>17</v>
      </c>
      <c r="Q49" s="24">
        <v>3</v>
      </c>
      <c r="R49" s="24">
        <v>50</v>
      </c>
      <c r="S49" s="24">
        <v>10</v>
      </c>
      <c r="T49" s="24">
        <v>13</v>
      </c>
      <c r="U49" s="24">
        <v>19</v>
      </c>
      <c r="V49" s="24">
        <v>3</v>
      </c>
      <c r="W49" s="22">
        <v>10</v>
      </c>
      <c r="X49" s="23"/>
      <c r="Y49" s="24"/>
      <c r="Z49" s="24"/>
      <c r="AA49" s="24"/>
      <c r="AB49" s="24"/>
      <c r="AC49" s="24"/>
      <c r="AD49" s="24"/>
      <c r="AE49" s="24"/>
      <c r="AF49" s="24"/>
      <c r="AG49" s="22"/>
      <c r="AH49" s="203">
        <f t="shared" si="4"/>
        <v>0</v>
      </c>
      <c r="AI49" s="204">
        <f t="shared" si="5"/>
        <v>17</v>
      </c>
      <c r="AJ49" s="205" t="str">
        <f t="shared" si="6"/>
        <v/>
      </c>
      <c r="AK49" s="206">
        <f t="shared" si="7"/>
        <v>17</v>
      </c>
      <c r="AL49" s="168"/>
      <c r="AM49" s="168"/>
      <c r="AN49" s="168"/>
      <c r="AO49" s="168"/>
      <c r="AP49" s="168"/>
      <c r="AQ49" s="168"/>
      <c r="AR49" s="168"/>
      <c r="AS49" s="168"/>
      <c r="AT49" s="168"/>
      <c r="AU49" s="168"/>
      <c r="AV49" s="168"/>
      <c r="AW49" s="168"/>
      <c r="AX49" s="168"/>
      <c r="AY49" s="168"/>
    </row>
    <row r="50" spans="1:51">
      <c r="A50" s="16" t="s">
        <v>31</v>
      </c>
      <c r="B50" s="163">
        <v>41113</v>
      </c>
      <c r="C50" s="107" t="s">
        <v>72</v>
      </c>
      <c r="D50" s="23">
        <v>0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2">
        <v>0</v>
      </c>
      <c r="N50" s="23">
        <v>30</v>
      </c>
      <c r="O50" s="24">
        <v>4</v>
      </c>
      <c r="P50" s="24">
        <v>22</v>
      </c>
      <c r="Q50" s="24">
        <v>14</v>
      </c>
      <c r="R50" s="24">
        <v>30</v>
      </c>
      <c r="S50" s="24">
        <v>10</v>
      </c>
      <c r="T50" s="24">
        <v>10</v>
      </c>
      <c r="U50" s="24">
        <v>14</v>
      </c>
      <c r="V50" s="24">
        <v>8</v>
      </c>
      <c r="W50" s="22">
        <v>6</v>
      </c>
      <c r="X50" s="23"/>
      <c r="Y50" s="24"/>
      <c r="Z50" s="24"/>
      <c r="AA50" s="24"/>
      <c r="AB50" s="24"/>
      <c r="AC50" s="24"/>
      <c r="AD50" s="24"/>
      <c r="AE50" s="24"/>
      <c r="AF50" s="24"/>
      <c r="AG50" s="22"/>
      <c r="AH50" s="203">
        <f t="shared" si="4"/>
        <v>0</v>
      </c>
      <c r="AI50" s="204">
        <f t="shared" si="5"/>
        <v>14.8</v>
      </c>
      <c r="AJ50" s="205" t="str">
        <f t="shared" si="6"/>
        <v/>
      </c>
      <c r="AK50" s="206">
        <f t="shared" si="7"/>
        <v>14.8</v>
      </c>
      <c r="AL50" s="168"/>
      <c r="AM50" s="168"/>
      <c r="AN50" s="168"/>
      <c r="AO50" s="168"/>
      <c r="AP50" s="168"/>
      <c r="AQ50" s="168"/>
      <c r="AR50" s="168"/>
      <c r="AS50" s="168"/>
      <c r="AT50" s="168"/>
      <c r="AU50" s="168"/>
      <c r="AV50" s="168"/>
      <c r="AW50" s="168"/>
      <c r="AX50" s="168"/>
      <c r="AY50" s="168"/>
    </row>
    <row r="51" spans="1:51">
      <c r="A51" s="16" t="s">
        <v>31</v>
      </c>
      <c r="B51" s="163">
        <v>41120</v>
      </c>
      <c r="C51" s="107" t="s">
        <v>72</v>
      </c>
      <c r="D51" s="23">
        <v>0</v>
      </c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24">
        <v>0</v>
      </c>
      <c r="K51" s="24">
        <v>0</v>
      </c>
      <c r="L51" s="24">
        <v>0</v>
      </c>
      <c r="M51" s="22">
        <v>0</v>
      </c>
      <c r="N51" s="23">
        <v>16</v>
      </c>
      <c r="O51" s="24">
        <v>8</v>
      </c>
      <c r="P51" s="24">
        <v>9</v>
      </c>
      <c r="Q51" s="24">
        <v>4</v>
      </c>
      <c r="R51" s="24">
        <v>17</v>
      </c>
      <c r="S51" s="24">
        <v>6</v>
      </c>
      <c r="T51" s="24">
        <v>8</v>
      </c>
      <c r="U51" s="24">
        <v>21</v>
      </c>
      <c r="V51" s="24">
        <v>3</v>
      </c>
      <c r="W51" s="22">
        <v>3</v>
      </c>
      <c r="X51" s="23"/>
      <c r="Y51" s="24"/>
      <c r="Z51" s="24"/>
      <c r="AA51" s="24"/>
      <c r="AB51" s="24"/>
      <c r="AC51" s="24"/>
      <c r="AD51" s="24"/>
      <c r="AE51" s="24"/>
      <c r="AF51" s="24"/>
      <c r="AG51" s="22"/>
      <c r="AH51" s="203">
        <f t="shared" si="4"/>
        <v>0</v>
      </c>
      <c r="AI51" s="204">
        <f t="shared" si="5"/>
        <v>9.5</v>
      </c>
      <c r="AJ51" s="205" t="str">
        <f t="shared" si="6"/>
        <v/>
      </c>
      <c r="AK51" s="206">
        <f t="shared" si="7"/>
        <v>9.5</v>
      </c>
      <c r="AL51" s="168"/>
      <c r="AM51" s="168"/>
      <c r="AN51" s="168"/>
      <c r="AO51" s="168"/>
      <c r="AP51" s="168"/>
      <c r="AQ51" s="168"/>
      <c r="AR51" s="168"/>
      <c r="AS51" s="168"/>
      <c r="AT51" s="168"/>
      <c r="AU51" s="168"/>
      <c r="AV51" s="168"/>
      <c r="AW51" s="168"/>
      <c r="AX51" s="168"/>
      <c r="AY51" s="168"/>
    </row>
    <row r="52" spans="1:51">
      <c r="A52" s="16" t="s">
        <v>31</v>
      </c>
      <c r="B52" s="163">
        <v>41127</v>
      </c>
      <c r="C52" s="107" t="s">
        <v>72</v>
      </c>
      <c r="D52" s="23">
        <v>0</v>
      </c>
      <c r="E52" s="24">
        <v>0</v>
      </c>
      <c r="F52" s="24">
        <v>0</v>
      </c>
      <c r="G52" s="24">
        <v>0</v>
      </c>
      <c r="H52" s="24">
        <v>0</v>
      </c>
      <c r="I52" s="24">
        <v>0</v>
      </c>
      <c r="J52" s="24">
        <v>0</v>
      </c>
      <c r="K52" s="24">
        <v>0</v>
      </c>
      <c r="L52" s="24">
        <v>0</v>
      </c>
      <c r="M52" s="22">
        <v>0</v>
      </c>
      <c r="N52" s="23">
        <v>26</v>
      </c>
      <c r="O52" s="24">
        <v>6</v>
      </c>
      <c r="P52" s="24">
        <v>17</v>
      </c>
      <c r="Q52" s="24">
        <v>1</v>
      </c>
      <c r="R52" s="24">
        <v>15</v>
      </c>
      <c r="S52" s="24">
        <v>2</v>
      </c>
      <c r="T52" s="24">
        <v>8</v>
      </c>
      <c r="U52" s="24">
        <v>8</v>
      </c>
      <c r="V52" s="24">
        <v>2</v>
      </c>
      <c r="W52" s="22">
        <v>3</v>
      </c>
      <c r="X52" s="23"/>
      <c r="Y52" s="24"/>
      <c r="Z52" s="24"/>
      <c r="AA52" s="24"/>
      <c r="AB52" s="24"/>
      <c r="AC52" s="24"/>
      <c r="AD52" s="24"/>
      <c r="AE52" s="24"/>
      <c r="AF52" s="24"/>
      <c r="AG52" s="22"/>
      <c r="AH52" s="203">
        <f t="shared" si="4"/>
        <v>0</v>
      </c>
      <c r="AI52" s="204">
        <f t="shared" si="5"/>
        <v>8.8000000000000007</v>
      </c>
      <c r="AJ52" s="205" t="str">
        <f t="shared" si="6"/>
        <v/>
      </c>
      <c r="AK52" s="206">
        <f t="shared" si="7"/>
        <v>8.8000000000000007</v>
      </c>
      <c r="AL52" s="168"/>
      <c r="AM52" s="168"/>
      <c r="AN52" s="168"/>
      <c r="AO52" s="168"/>
      <c r="AP52" s="168"/>
      <c r="AQ52" s="168"/>
      <c r="AR52" s="168"/>
      <c r="AS52" s="168"/>
      <c r="AT52" s="168"/>
      <c r="AU52" s="168"/>
      <c r="AV52" s="168"/>
      <c r="AW52" s="168"/>
      <c r="AX52" s="168"/>
      <c r="AY52" s="168"/>
    </row>
    <row r="53" spans="1:51">
      <c r="A53" s="16" t="s">
        <v>31</v>
      </c>
      <c r="B53" s="163">
        <v>41134</v>
      </c>
      <c r="C53" s="107" t="s">
        <v>72</v>
      </c>
      <c r="D53" s="23"/>
      <c r="E53" s="24"/>
      <c r="F53" s="24"/>
      <c r="G53" s="24"/>
      <c r="H53" s="24"/>
      <c r="I53" s="24"/>
      <c r="J53" s="24"/>
      <c r="K53" s="24"/>
      <c r="L53" s="24"/>
      <c r="M53" s="22"/>
      <c r="N53" s="23">
        <v>26</v>
      </c>
      <c r="O53" s="24">
        <v>2</v>
      </c>
      <c r="P53" s="24">
        <v>14</v>
      </c>
      <c r="Q53" s="24">
        <v>8</v>
      </c>
      <c r="R53" s="24">
        <v>16</v>
      </c>
      <c r="S53" s="24">
        <v>0</v>
      </c>
      <c r="T53" s="24">
        <v>4</v>
      </c>
      <c r="U53" s="24">
        <v>20</v>
      </c>
      <c r="V53" s="24">
        <v>4</v>
      </c>
      <c r="W53" s="22">
        <v>4</v>
      </c>
      <c r="X53" s="23"/>
      <c r="Y53" s="24"/>
      <c r="Z53" s="24"/>
      <c r="AA53" s="24"/>
      <c r="AB53" s="24"/>
      <c r="AC53" s="24"/>
      <c r="AD53" s="24"/>
      <c r="AE53" s="24"/>
      <c r="AF53" s="24"/>
      <c r="AG53" s="22"/>
      <c r="AH53" s="203" t="str">
        <f t="shared" si="4"/>
        <v/>
      </c>
      <c r="AI53" s="204">
        <f t="shared" si="5"/>
        <v>9.8000000000000007</v>
      </c>
      <c r="AJ53" s="205" t="str">
        <f t="shared" si="6"/>
        <v/>
      </c>
      <c r="AK53" s="206">
        <f t="shared" si="7"/>
        <v>9.8000000000000007</v>
      </c>
      <c r="AL53" s="168"/>
      <c r="AM53" s="168"/>
      <c r="AN53" s="168"/>
      <c r="AO53" s="168"/>
      <c r="AP53" s="168"/>
      <c r="AQ53" s="168"/>
      <c r="AR53" s="168"/>
      <c r="AS53" s="168"/>
      <c r="AT53" s="168"/>
      <c r="AU53" s="168"/>
      <c r="AV53" s="168"/>
      <c r="AW53" s="168"/>
      <c r="AX53" s="168"/>
      <c r="AY53" s="168"/>
    </row>
    <row r="54" spans="1:51">
      <c r="A54" s="16" t="s">
        <v>31</v>
      </c>
      <c r="B54" s="163">
        <v>41141</v>
      </c>
      <c r="C54" s="107" t="s">
        <v>72</v>
      </c>
      <c r="D54" s="23"/>
      <c r="E54" s="24"/>
      <c r="F54" s="24"/>
      <c r="G54" s="24"/>
      <c r="H54" s="24"/>
      <c r="I54" s="24"/>
      <c r="J54" s="24"/>
      <c r="K54" s="24"/>
      <c r="L54" s="24"/>
      <c r="M54" s="22"/>
      <c r="N54" s="23">
        <v>22</v>
      </c>
      <c r="O54" s="24">
        <v>3</v>
      </c>
      <c r="P54" s="24">
        <v>11</v>
      </c>
      <c r="Q54" s="24">
        <v>8</v>
      </c>
      <c r="R54" s="24">
        <v>12</v>
      </c>
      <c r="S54" s="24">
        <v>4</v>
      </c>
      <c r="T54" s="24">
        <v>6</v>
      </c>
      <c r="U54" s="24">
        <v>18</v>
      </c>
      <c r="V54" s="24">
        <v>0</v>
      </c>
      <c r="W54" s="22">
        <v>4</v>
      </c>
      <c r="X54" s="23"/>
      <c r="Y54" s="24"/>
      <c r="Z54" s="24"/>
      <c r="AA54" s="24"/>
      <c r="AB54" s="24"/>
      <c r="AC54" s="24"/>
      <c r="AD54" s="24"/>
      <c r="AE54" s="24"/>
      <c r="AF54" s="24"/>
      <c r="AG54" s="22"/>
      <c r="AH54" s="203" t="str">
        <f t="shared" si="4"/>
        <v/>
      </c>
      <c r="AI54" s="204">
        <f t="shared" si="5"/>
        <v>8.8000000000000007</v>
      </c>
      <c r="AJ54" s="205" t="str">
        <f t="shared" si="6"/>
        <v/>
      </c>
      <c r="AK54" s="206">
        <f t="shared" si="7"/>
        <v>8.8000000000000007</v>
      </c>
      <c r="AL54" s="168"/>
      <c r="AM54" s="168"/>
      <c r="AN54" s="168"/>
      <c r="AO54" s="168"/>
      <c r="AP54" s="168"/>
      <c r="AQ54" s="168"/>
      <c r="AR54" s="168"/>
      <c r="AS54" s="168"/>
      <c r="AT54" s="168"/>
      <c r="AU54" s="168"/>
      <c r="AV54" s="168"/>
      <c r="AW54" s="168"/>
      <c r="AX54" s="168"/>
      <c r="AY54" s="168"/>
    </row>
    <row r="55" spans="1:51">
      <c r="A55" s="16" t="s">
        <v>31</v>
      </c>
      <c r="B55" s="163">
        <v>41150</v>
      </c>
      <c r="C55" s="107" t="s">
        <v>72</v>
      </c>
      <c r="D55" s="23"/>
      <c r="E55" s="24"/>
      <c r="F55" s="24"/>
      <c r="G55" s="24"/>
      <c r="H55" s="24"/>
      <c r="I55" s="24"/>
      <c r="J55" s="24"/>
      <c r="K55" s="24"/>
      <c r="L55" s="24"/>
      <c r="M55" s="22"/>
      <c r="N55" s="23">
        <v>7</v>
      </c>
      <c r="O55" s="24">
        <v>2</v>
      </c>
      <c r="P55" s="24">
        <v>5</v>
      </c>
      <c r="Q55" s="24">
        <v>5</v>
      </c>
      <c r="R55" s="24">
        <v>7</v>
      </c>
      <c r="S55" s="24">
        <v>2</v>
      </c>
      <c r="T55" s="24">
        <v>3</v>
      </c>
      <c r="U55" s="24">
        <v>7</v>
      </c>
      <c r="V55" s="24">
        <v>0</v>
      </c>
      <c r="W55" s="22">
        <v>4</v>
      </c>
      <c r="X55" s="23">
        <v>12</v>
      </c>
      <c r="Y55" s="24">
        <v>1</v>
      </c>
      <c r="Z55" s="24">
        <v>6</v>
      </c>
      <c r="AA55" s="24">
        <v>5</v>
      </c>
      <c r="AB55" s="24">
        <v>5</v>
      </c>
      <c r="AC55" s="24">
        <v>1</v>
      </c>
      <c r="AD55" s="24">
        <v>4</v>
      </c>
      <c r="AE55" s="24">
        <v>9</v>
      </c>
      <c r="AF55" s="24">
        <v>0</v>
      </c>
      <c r="AG55" s="22">
        <v>0</v>
      </c>
      <c r="AH55" s="203" t="str">
        <f t="shared" si="4"/>
        <v/>
      </c>
      <c r="AI55" s="204">
        <f t="shared" si="5"/>
        <v>4.2</v>
      </c>
      <c r="AJ55" s="205">
        <f t="shared" si="6"/>
        <v>4.3</v>
      </c>
      <c r="AK55" s="206">
        <f t="shared" si="7"/>
        <v>8.5</v>
      </c>
      <c r="AL55" s="168"/>
      <c r="AM55" s="168"/>
      <c r="AN55" s="168"/>
      <c r="AO55" s="168"/>
      <c r="AP55" s="168"/>
      <c r="AQ55" s="168"/>
      <c r="AR55" s="168"/>
      <c r="AS55" s="168"/>
      <c r="AT55" s="168"/>
      <c r="AU55" s="168"/>
      <c r="AV55" s="168"/>
      <c r="AW55" s="168"/>
      <c r="AX55" s="168"/>
      <c r="AY55" s="168"/>
    </row>
    <row r="56" spans="1:51">
      <c r="A56" s="16" t="s">
        <v>31</v>
      </c>
      <c r="B56" s="163">
        <v>41158</v>
      </c>
      <c r="C56" s="107" t="s">
        <v>72</v>
      </c>
      <c r="D56" s="23"/>
      <c r="E56" s="24"/>
      <c r="F56" s="24"/>
      <c r="G56" s="24"/>
      <c r="H56" s="24"/>
      <c r="I56" s="24"/>
      <c r="J56" s="24"/>
      <c r="K56" s="24"/>
      <c r="L56" s="24"/>
      <c r="M56" s="22"/>
      <c r="N56" s="23">
        <v>0</v>
      </c>
      <c r="O56" s="24">
        <v>0</v>
      </c>
      <c r="P56" s="24">
        <v>0</v>
      </c>
      <c r="Q56" s="24">
        <v>2</v>
      </c>
      <c r="R56" s="24">
        <v>2</v>
      </c>
      <c r="S56" s="24">
        <v>1</v>
      </c>
      <c r="T56" s="24">
        <v>0</v>
      </c>
      <c r="U56" s="24">
        <v>1</v>
      </c>
      <c r="V56" s="24">
        <v>0</v>
      </c>
      <c r="W56" s="22">
        <v>1</v>
      </c>
      <c r="X56" s="23">
        <v>17</v>
      </c>
      <c r="Y56" s="24">
        <v>3</v>
      </c>
      <c r="Z56" s="24">
        <v>10</v>
      </c>
      <c r="AA56" s="24">
        <v>4</v>
      </c>
      <c r="AB56" s="24">
        <v>8</v>
      </c>
      <c r="AC56" s="24">
        <v>0</v>
      </c>
      <c r="AD56" s="24">
        <v>3</v>
      </c>
      <c r="AE56" s="24">
        <v>16</v>
      </c>
      <c r="AF56" s="24">
        <v>1</v>
      </c>
      <c r="AG56" s="22">
        <v>3</v>
      </c>
      <c r="AH56" s="203" t="str">
        <f t="shared" si="4"/>
        <v/>
      </c>
      <c r="AI56" s="204">
        <f t="shared" si="5"/>
        <v>0.7</v>
      </c>
      <c r="AJ56" s="205">
        <f t="shared" si="6"/>
        <v>6.5</v>
      </c>
      <c r="AK56" s="206">
        <f t="shared" si="7"/>
        <v>7.2</v>
      </c>
      <c r="AL56" s="168"/>
      <c r="AM56" s="168"/>
      <c r="AN56" s="168"/>
      <c r="AO56" s="168"/>
      <c r="AP56" s="168"/>
      <c r="AQ56" s="168"/>
      <c r="AR56" s="168"/>
      <c r="AS56" s="168"/>
      <c r="AT56" s="168"/>
      <c r="AU56" s="168"/>
      <c r="AV56" s="168"/>
      <c r="AW56" s="168"/>
      <c r="AX56" s="168"/>
      <c r="AY56" s="168"/>
    </row>
    <row r="57" spans="1:51">
      <c r="A57" s="16" t="s">
        <v>31</v>
      </c>
      <c r="B57" s="163">
        <v>41170</v>
      </c>
      <c r="C57" s="107" t="s">
        <v>72</v>
      </c>
      <c r="D57" s="23"/>
      <c r="E57" s="24"/>
      <c r="F57" s="24"/>
      <c r="G57" s="24"/>
      <c r="H57" s="24"/>
      <c r="I57" s="24"/>
      <c r="J57" s="24"/>
      <c r="K57" s="24"/>
      <c r="L57" s="24"/>
      <c r="M57" s="22"/>
      <c r="N57" s="23"/>
      <c r="O57" s="24"/>
      <c r="P57" s="24"/>
      <c r="Q57" s="24"/>
      <c r="R57" s="24"/>
      <c r="S57" s="24"/>
      <c r="T57" s="24"/>
      <c r="U57" s="24"/>
      <c r="V57" s="24"/>
      <c r="W57" s="22"/>
      <c r="X57" s="23">
        <v>12</v>
      </c>
      <c r="Y57" s="24">
        <v>1</v>
      </c>
      <c r="Z57" s="24">
        <v>8</v>
      </c>
      <c r="AA57" s="24">
        <v>5</v>
      </c>
      <c r="AB57" s="24">
        <v>2</v>
      </c>
      <c r="AC57" s="24">
        <v>2</v>
      </c>
      <c r="AD57" s="24">
        <v>2</v>
      </c>
      <c r="AE57" s="24">
        <v>15</v>
      </c>
      <c r="AF57" s="24">
        <v>0</v>
      </c>
      <c r="AG57" s="22">
        <v>2</v>
      </c>
      <c r="AH57" s="203" t="str">
        <f t="shared" si="4"/>
        <v/>
      </c>
      <c r="AI57" s="204" t="str">
        <f t="shared" si="5"/>
        <v/>
      </c>
      <c r="AJ57" s="205">
        <f t="shared" si="6"/>
        <v>4.9000000000000004</v>
      </c>
      <c r="AK57" s="206">
        <f t="shared" si="7"/>
        <v>4.9000000000000004</v>
      </c>
      <c r="AL57" s="168"/>
      <c r="AM57" s="168"/>
      <c r="AN57" s="168"/>
      <c r="AO57" s="168"/>
      <c r="AP57" s="168"/>
      <c r="AQ57" s="168"/>
      <c r="AR57" s="168"/>
      <c r="AS57" s="168"/>
      <c r="AT57" s="168"/>
      <c r="AU57" s="168"/>
      <c r="AV57" s="168"/>
      <c r="AW57" s="168"/>
      <c r="AX57" s="168"/>
      <c r="AY57" s="168"/>
    </row>
    <row r="58" spans="1:51">
      <c r="A58" s="16" t="s">
        <v>31</v>
      </c>
      <c r="B58" s="163"/>
      <c r="C58" s="107"/>
      <c r="D58" s="23"/>
      <c r="E58" s="24"/>
      <c r="F58" s="24"/>
      <c r="G58" s="24"/>
      <c r="H58" s="24"/>
      <c r="I58" s="24"/>
      <c r="J58" s="24"/>
      <c r="K58" s="24"/>
      <c r="L58" s="24"/>
      <c r="M58" s="22"/>
      <c r="N58" s="23"/>
      <c r="O58" s="24"/>
      <c r="P58" s="24"/>
      <c r="Q58" s="24"/>
      <c r="R58" s="24"/>
      <c r="S58" s="24"/>
      <c r="T58" s="24"/>
      <c r="U58" s="24"/>
      <c r="V58" s="24"/>
      <c r="W58" s="22"/>
      <c r="X58" s="23"/>
      <c r="Y58" s="24"/>
      <c r="Z58" s="24"/>
      <c r="AA58" s="24"/>
      <c r="AB58" s="24"/>
      <c r="AC58" s="24"/>
      <c r="AD58" s="24"/>
      <c r="AE58" s="24"/>
      <c r="AF58" s="24"/>
      <c r="AG58" s="22"/>
      <c r="AH58" s="203" t="str">
        <f t="shared" si="4"/>
        <v/>
      </c>
      <c r="AI58" s="204" t="str">
        <f t="shared" si="5"/>
        <v/>
      </c>
      <c r="AJ58" s="205" t="str">
        <f t="shared" si="6"/>
        <v/>
      </c>
      <c r="AK58" s="206">
        <f t="shared" si="7"/>
        <v>0</v>
      </c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</row>
    <row r="59" spans="1:51">
      <c r="A59" s="16" t="s">
        <v>31</v>
      </c>
      <c r="B59" s="163"/>
      <c r="C59" s="107"/>
      <c r="D59" s="23"/>
      <c r="E59" s="24"/>
      <c r="F59" s="24"/>
      <c r="G59" s="24"/>
      <c r="H59" s="24"/>
      <c r="I59" s="24"/>
      <c r="J59" s="24"/>
      <c r="K59" s="24"/>
      <c r="L59" s="24"/>
      <c r="M59" s="22"/>
      <c r="N59" s="23"/>
      <c r="O59" s="24"/>
      <c r="P59" s="24"/>
      <c r="Q59" s="24"/>
      <c r="R59" s="24"/>
      <c r="S59" s="24"/>
      <c r="T59" s="24"/>
      <c r="U59" s="24"/>
      <c r="V59" s="24"/>
      <c r="W59" s="22"/>
      <c r="X59" s="23"/>
      <c r="Y59" s="24"/>
      <c r="Z59" s="24"/>
      <c r="AA59" s="24"/>
      <c r="AB59" s="24"/>
      <c r="AC59" s="24"/>
      <c r="AD59" s="24"/>
      <c r="AE59" s="24"/>
      <c r="AF59" s="24"/>
      <c r="AG59" s="22"/>
      <c r="AH59" s="203" t="str">
        <f t="shared" si="4"/>
        <v/>
      </c>
      <c r="AI59" s="204" t="str">
        <f t="shared" si="5"/>
        <v/>
      </c>
      <c r="AJ59" s="205" t="str">
        <f t="shared" si="6"/>
        <v/>
      </c>
      <c r="AK59" s="206">
        <f t="shared" si="7"/>
        <v>0</v>
      </c>
      <c r="AL59" s="168"/>
      <c r="AM59" s="168"/>
      <c r="AN59" s="168"/>
      <c r="AO59" s="168"/>
      <c r="AP59" s="168"/>
      <c r="AQ59" s="168"/>
      <c r="AR59" s="168"/>
      <c r="AS59" s="168"/>
      <c r="AT59" s="168"/>
      <c r="AU59" s="168"/>
      <c r="AV59" s="168"/>
      <c r="AW59" s="168"/>
      <c r="AX59" s="168"/>
      <c r="AY59" s="168"/>
    </row>
    <row r="60" spans="1:51">
      <c r="A60" s="16" t="s">
        <v>31</v>
      </c>
      <c r="B60" s="163"/>
      <c r="C60" s="107"/>
      <c r="D60" s="23"/>
      <c r="E60" s="24"/>
      <c r="F60" s="24"/>
      <c r="G60" s="24"/>
      <c r="H60" s="24"/>
      <c r="I60" s="24"/>
      <c r="J60" s="24"/>
      <c r="K60" s="24"/>
      <c r="L60" s="24"/>
      <c r="M60" s="22"/>
      <c r="N60" s="23"/>
      <c r="O60" s="24"/>
      <c r="P60" s="24"/>
      <c r="Q60" s="24"/>
      <c r="R60" s="24"/>
      <c r="S60" s="24"/>
      <c r="T60" s="24"/>
      <c r="U60" s="24"/>
      <c r="V60" s="24"/>
      <c r="W60" s="22"/>
      <c r="X60" s="23"/>
      <c r="Y60" s="24"/>
      <c r="Z60" s="24"/>
      <c r="AA60" s="24"/>
      <c r="AB60" s="24"/>
      <c r="AC60" s="24"/>
      <c r="AD60" s="24"/>
      <c r="AE60" s="24"/>
      <c r="AF60" s="24"/>
      <c r="AG60" s="22"/>
      <c r="AH60" s="203" t="str">
        <f t="shared" si="4"/>
        <v/>
      </c>
      <c r="AI60" s="204" t="str">
        <f t="shared" si="5"/>
        <v/>
      </c>
      <c r="AJ60" s="205" t="str">
        <f t="shared" si="6"/>
        <v/>
      </c>
      <c r="AK60" s="206">
        <f t="shared" si="7"/>
        <v>0</v>
      </c>
      <c r="AL60" s="168"/>
      <c r="AM60" s="168"/>
      <c r="AN60" s="168"/>
      <c r="AO60" s="168"/>
      <c r="AP60" s="168"/>
      <c r="AQ60" s="168"/>
      <c r="AR60" s="168"/>
      <c r="AS60" s="168"/>
      <c r="AT60" s="168"/>
      <c r="AU60" s="168"/>
      <c r="AV60" s="168"/>
      <c r="AW60" s="168"/>
      <c r="AX60" s="168"/>
      <c r="AY60" s="168"/>
    </row>
    <row r="61" spans="1:51">
      <c r="A61" s="16" t="s">
        <v>31</v>
      </c>
      <c r="B61" s="163"/>
      <c r="C61" s="107"/>
      <c r="D61" s="23"/>
      <c r="E61" s="24"/>
      <c r="F61" s="24"/>
      <c r="G61" s="24"/>
      <c r="H61" s="24"/>
      <c r="I61" s="24"/>
      <c r="J61" s="24"/>
      <c r="K61" s="24"/>
      <c r="L61" s="24"/>
      <c r="M61" s="22"/>
      <c r="N61" s="23"/>
      <c r="O61" s="24"/>
      <c r="P61" s="24"/>
      <c r="Q61" s="24"/>
      <c r="R61" s="24"/>
      <c r="S61" s="24"/>
      <c r="T61" s="24"/>
      <c r="U61" s="24"/>
      <c r="V61" s="24"/>
      <c r="W61" s="22"/>
      <c r="X61" s="23"/>
      <c r="Y61" s="24"/>
      <c r="Z61" s="24"/>
      <c r="AA61" s="24"/>
      <c r="AB61" s="24"/>
      <c r="AC61" s="24"/>
      <c r="AD61" s="24"/>
      <c r="AE61" s="24"/>
      <c r="AF61" s="24"/>
      <c r="AG61" s="22"/>
      <c r="AH61" s="203" t="str">
        <f t="shared" si="4"/>
        <v/>
      </c>
      <c r="AI61" s="204" t="str">
        <f t="shared" si="5"/>
        <v/>
      </c>
      <c r="AJ61" s="205" t="str">
        <f t="shared" si="6"/>
        <v/>
      </c>
      <c r="AK61" s="206">
        <f t="shared" si="7"/>
        <v>0</v>
      </c>
      <c r="AL61" s="168"/>
      <c r="AM61" s="168"/>
      <c r="AN61" s="168"/>
      <c r="AO61" s="168"/>
      <c r="AP61" s="168"/>
      <c r="AQ61" s="168"/>
      <c r="AR61" s="168"/>
      <c r="AS61" s="168"/>
      <c r="AT61" s="168"/>
      <c r="AU61" s="168"/>
      <c r="AV61" s="168"/>
      <c r="AW61" s="168"/>
      <c r="AX61" s="168"/>
      <c r="AY61" s="168"/>
    </row>
    <row r="62" spans="1:51">
      <c r="A62" s="16" t="s">
        <v>31</v>
      </c>
      <c r="B62" s="163"/>
      <c r="C62" s="107"/>
      <c r="D62" s="23"/>
      <c r="E62" s="24"/>
      <c r="F62" s="24"/>
      <c r="G62" s="24"/>
      <c r="H62" s="24"/>
      <c r="I62" s="24"/>
      <c r="J62" s="24"/>
      <c r="K62" s="24"/>
      <c r="L62" s="24"/>
      <c r="M62" s="22"/>
      <c r="N62" s="23"/>
      <c r="O62" s="24"/>
      <c r="P62" s="24"/>
      <c r="Q62" s="24"/>
      <c r="R62" s="24"/>
      <c r="S62" s="24"/>
      <c r="T62" s="24"/>
      <c r="U62" s="24"/>
      <c r="V62" s="24"/>
      <c r="W62" s="22"/>
      <c r="X62" s="23"/>
      <c r="Y62" s="24"/>
      <c r="Z62" s="24"/>
      <c r="AA62" s="24"/>
      <c r="AB62" s="24"/>
      <c r="AC62" s="24"/>
      <c r="AD62" s="24"/>
      <c r="AE62" s="24"/>
      <c r="AF62" s="24"/>
      <c r="AG62" s="22"/>
      <c r="AH62" s="203" t="str">
        <f t="shared" si="4"/>
        <v/>
      </c>
      <c r="AI62" s="204" t="str">
        <f t="shared" si="5"/>
        <v/>
      </c>
      <c r="AJ62" s="205" t="str">
        <f t="shared" si="6"/>
        <v/>
      </c>
      <c r="AK62" s="206">
        <f t="shared" si="7"/>
        <v>0</v>
      </c>
      <c r="AL62" s="168"/>
      <c r="AM62" s="168"/>
      <c r="AN62" s="168"/>
      <c r="AO62" s="168"/>
      <c r="AP62" s="168"/>
      <c r="AQ62" s="168"/>
      <c r="AR62" s="168"/>
      <c r="AS62" s="168"/>
      <c r="AT62" s="168"/>
      <c r="AU62" s="168"/>
      <c r="AV62" s="168"/>
      <c r="AW62" s="168"/>
      <c r="AX62" s="168"/>
      <c r="AY62" s="168"/>
    </row>
    <row r="63" spans="1:51">
      <c r="A63" s="16" t="s">
        <v>31</v>
      </c>
      <c r="B63" s="163"/>
      <c r="C63" s="107"/>
      <c r="D63" s="23"/>
      <c r="E63" s="24"/>
      <c r="F63" s="24"/>
      <c r="G63" s="24"/>
      <c r="H63" s="24"/>
      <c r="I63" s="24"/>
      <c r="J63" s="24"/>
      <c r="K63" s="24"/>
      <c r="L63" s="24"/>
      <c r="M63" s="22"/>
      <c r="N63" s="23"/>
      <c r="O63" s="24"/>
      <c r="P63" s="24"/>
      <c r="Q63" s="24"/>
      <c r="R63" s="24"/>
      <c r="S63" s="24"/>
      <c r="T63" s="24"/>
      <c r="U63" s="24"/>
      <c r="V63" s="24"/>
      <c r="W63" s="22"/>
      <c r="X63" s="23"/>
      <c r="Y63" s="24"/>
      <c r="Z63" s="24"/>
      <c r="AA63" s="24"/>
      <c r="AB63" s="24"/>
      <c r="AC63" s="24"/>
      <c r="AD63" s="24"/>
      <c r="AE63" s="24"/>
      <c r="AF63" s="24"/>
      <c r="AG63" s="22"/>
      <c r="AH63" s="203" t="str">
        <f t="shared" si="4"/>
        <v/>
      </c>
      <c r="AI63" s="204" t="str">
        <f t="shared" si="5"/>
        <v/>
      </c>
      <c r="AJ63" s="205" t="str">
        <f t="shared" si="6"/>
        <v/>
      </c>
      <c r="AK63" s="206">
        <f t="shared" si="7"/>
        <v>0</v>
      </c>
      <c r="AL63" s="168"/>
      <c r="AM63" s="168"/>
      <c r="AN63" s="168"/>
      <c r="AO63" s="168"/>
      <c r="AP63" s="168"/>
      <c r="AQ63" s="168"/>
      <c r="AR63" s="168"/>
      <c r="AS63" s="168"/>
      <c r="AT63" s="168"/>
      <c r="AU63" s="168"/>
      <c r="AV63" s="168"/>
      <c r="AW63" s="168"/>
      <c r="AX63" s="168"/>
      <c r="AY63" s="168"/>
    </row>
    <row r="64" spans="1:51">
      <c r="A64" s="16" t="s">
        <v>31</v>
      </c>
      <c r="B64" s="163"/>
      <c r="C64" s="107"/>
      <c r="D64" s="23"/>
      <c r="E64" s="24"/>
      <c r="F64" s="24"/>
      <c r="G64" s="24"/>
      <c r="H64" s="24"/>
      <c r="I64" s="24"/>
      <c r="J64" s="24"/>
      <c r="K64" s="24"/>
      <c r="L64" s="24"/>
      <c r="M64" s="22"/>
      <c r="N64" s="23"/>
      <c r="O64" s="24"/>
      <c r="P64" s="24"/>
      <c r="Q64" s="24"/>
      <c r="R64" s="24"/>
      <c r="S64" s="24"/>
      <c r="T64" s="24"/>
      <c r="U64" s="24"/>
      <c r="V64" s="24"/>
      <c r="W64" s="22"/>
      <c r="X64" s="23"/>
      <c r="Y64" s="24"/>
      <c r="Z64" s="24"/>
      <c r="AA64" s="24"/>
      <c r="AB64" s="24"/>
      <c r="AC64" s="24"/>
      <c r="AD64" s="24"/>
      <c r="AE64" s="24"/>
      <c r="AF64" s="24"/>
      <c r="AG64" s="22"/>
      <c r="AH64" s="203" t="str">
        <f t="shared" si="4"/>
        <v/>
      </c>
      <c r="AI64" s="204" t="str">
        <f t="shared" si="5"/>
        <v/>
      </c>
      <c r="AJ64" s="205" t="str">
        <f t="shared" si="6"/>
        <v/>
      </c>
      <c r="AK64" s="206">
        <f t="shared" si="7"/>
        <v>0</v>
      </c>
      <c r="AL64" s="168"/>
      <c r="AM64" s="168"/>
      <c r="AN64" s="168"/>
      <c r="AO64" s="168"/>
      <c r="AP64" s="168"/>
      <c r="AQ64" s="168"/>
      <c r="AR64" s="168"/>
      <c r="AS64" s="168"/>
      <c r="AT64" s="168"/>
      <c r="AU64" s="168"/>
      <c r="AV64" s="168"/>
      <c r="AW64" s="168"/>
      <c r="AX64" s="168"/>
      <c r="AY64" s="168"/>
    </row>
    <row r="65" spans="1:51">
      <c r="A65" s="16" t="s">
        <v>31</v>
      </c>
      <c r="B65" s="163"/>
      <c r="C65" s="107"/>
      <c r="D65" s="23"/>
      <c r="E65" s="24"/>
      <c r="F65" s="24"/>
      <c r="G65" s="24"/>
      <c r="H65" s="24"/>
      <c r="I65" s="24"/>
      <c r="J65" s="24"/>
      <c r="K65" s="24"/>
      <c r="L65" s="24"/>
      <c r="M65" s="22"/>
      <c r="N65" s="23"/>
      <c r="O65" s="24"/>
      <c r="P65" s="24"/>
      <c r="Q65" s="24"/>
      <c r="R65" s="24"/>
      <c r="S65" s="24"/>
      <c r="T65" s="24"/>
      <c r="U65" s="24"/>
      <c r="V65" s="24"/>
      <c r="W65" s="22"/>
      <c r="X65" s="23"/>
      <c r="Y65" s="24"/>
      <c r="Z65" s="24"/>
      <c r="AA65" s="24"/>
      <c r="AB65" s="24"/>
      <c r="AC65" s="24"/>
      <c r="AD65" s="24"/>
      <c r="AE65" s="24"/>
      <c r="AF65" s="24"/>
      <c r="AG65" s="22"/>
      <c r="AH65" s="203" t="str">
        <f t="shared" si="4"/>
        <v/>
      </c>
      <c r="AI65" s="204" t="str">
        <f t="shared" si="5"/>
        <v/>
      </c>
      <c r="AJ65" s="205" t="str">
        <f t="shared" si="6"/>
        <v/>
      </c>
      <c r="AK65" s="206">
        <f t="shared" si="7"/>
        <v>0</v>
      </c>
      <c r="AL65" s="168"/>
      <c r="AM65" s="168"/>
      <c r="AN65" s="168"/>
      <c r="AO65" s="168"/>
      <c r="AP65" s="168"/>
      <c r="AQ65" s="168"/>
      <c r="AR65" s="168"/>
      <c r="AS65" s="168"/>
      <c r="AT65" s="168"/>
      <c r="AU65" s="168"/>
      <c r="AV65" s="168"/>
      <c r="AW65" s="168"/>
      <c r="AX65" s="168"/>
      <c r="AY65" s="168"/>
    </row>
    <row r="66" spans="1:51">
      <c r="A66" s="16" t="s">
        <v>31</v>
      </c>
      <c r="B66" s="163"/>
      <c r="C66" s="107"/>
      <c r="D66" s="23"/>
      <c r="E66" s="24"/>
      <c r="F66" s="24"/>
      <c r="G66" s="24"/>
      <c r="H66" s="24"/>
      <c r="I66" s="24"/>
      <c r="J66" s="24"/>
      <c r="K66" s="24"/>
      <c r="L66" s="24"/>
      <c r="M66" s="22"/>
      <c r="N66" s="23"/>
      <c r="O66" s="24"/>
      <c r="P66" s="24"/>
      <c r="Q66" s="24"/>
      <c r="R66" s="24"/>
      <c r="S66" s="24"/>
      <c r="T66" s="24"/>
      <c r="U66" s="24"/>
      <c r="V66" s="24"/>
      <c r="W66" s="22"/>
      <c r="X66" s="23"/>
      <c r="Y66" s="24"/>
      <c r="Z66" s="24"/>
      <c r="AA66" s="24"/>
      <c r="AB66" s="24"/>
      <c r="AC66" s="24"/>
      <c r="AD66" s="24"/>
      <c r="AE66" s="24"/>
      <c r="AF66" s="24"/>
      <c r="AG66" s="22"/>
      <c r="AH66" s="203" t="str">
        <f t="shared" si="4"/>
        <v/>
      </c>
      <c r="AI66" s="204" t="str">
        <f t="shared" si="5"/>
        <v/>
      </c>
      <c r="AJ66" s="205" t="str">
        <f t="shared" si="6"/>
        <v/>
      </c>
      <c r="AK66" s="206">
        <f t="shared" si="7"/>
        <v>0</v>
      </c>
      <c r="AL66" s="168"/>
      <c r="AM66" s="168"/>
      <c r="AN66" s="168"/>
      <c r="AO66" s="168"/>
      <c r="AP66" s="168"/>
      <c r="AQ66" s="168"/>
      <c r="AR66" s="168"/>
      <c r="AS66" s="168"/>
      <c r="AT66" s="168"/>
      <c r="AU66" s="168"/>
      <c r="AV66" s="168"/>
      <c r="AW66" s="168"/>
      <c r="AX66" s="168"/>
      <c r="AY66" s="168"/>
    </row>
    <row r="67" spans="1:51">
      <c r="A67" s="16" t="s">
        <v>31</v>
      </c>
      <c r="B67" s="163"/>
      <c r="C67" s="107"/>
      <c r="D67" s="23"/>
      <c r="E67" s="24"/>
      <c r="F67" s="24"/>
      <c r="G67" s="24"/>
      <c r="H67" s="24"/>
      <c r="I67" s="24"/>
      <c r="J67" s="24"/>
      <c r="K67" s="24"/>
      <c r="L67" s="24"/>
      <c r="M67" s="22"/>
      <c r="N67" s="23"/>
      <c r="O67" s="24"/>
      <c r="P67" s="24"/>
      <c r="Q67" s="24"/>
      <c r="R67" s="24"/>
      <c r="S67" s="24"/>
      <c r="T67" s="24"/>
      <c r="U67" s="24"/>
      <c r="V67" s="24"/>
      <c r="W67" s="22"/>
      <c r="X67" s="23"/>
      <c r="Y67" s="24"/>
      <c r="Z67" s="24"/>
      <c r="AA67" s="24"/>
      <c r="AB67" s="24"/>
      <c r="AC67" s="24"/>
      <c r="AD67" s="24"/>
      <c r="AE67" s="24"/>
      <c r="AF67" s="24"/>
      <c r="AG67" s="22"/>
      <c r="AH67" s="203" t="str">
        <f t="shared" si="4"/>
        <v/>
      </c>
      <c r="AI67" s="204" t="str">
        <f t="shared" si="5"/>
        <v/>
      </c>
      <c r="AJ67" s="205" t="str">
        <f t="shared" si="6"/>
        <v/>
      </c>
      <c r="AK67" s="206">
        <f t="shared" si="7"/>
        <v>0</v>
      </c>
      <c r="AL67" s="168"/>
      <c r="AM67" s="168"/>
      <c r="AN67" s="168"/>
      <c r="AO67" s="168"/>
      <c r="AP67" s="168"/>
      <c r="AQ67" s="168"/>
      <c r="AR67" s="168"/>
      <c r="AS67" s="168"/>
      <c r="AT67" s="168"/>
      <c r="AU67" s="168"/>
      <c r="AV67" s="168"/>
      <c r="AW67" s="168"/>
      <c r="AX67" s="168"/>
      <c r="AY67" s="168"/>
    </row>
    <row r="68" spans="1:51">
      <c r="A68" s="16" t="s">
        <v>31</v>
      </c>
      <c r="B68" s="163"/>
      <c r="C68" s="107"/>
      <c r="D68" s="23"/>
      <c r="E68" s="24"/>
      <c r="F68" s="24"/>
      <c r="G68" s="24"/>
      <c r="H68" s="24"/>
      <c r="I68" s="24"/>
      <c r="J68" s="24"/>
      <c r="K68" s="24"/>
      <c r="L68" s="24"/>
      <c r="M68" s="22"/>
      <c r="N68" s="23"/>
      <c r="O68" s="24"/>
      <c r="P68" s="24"/>
      <c r="Q68" s="24"/>
      <c r="R68" s="24"/>
      <c r="S68" s="24"/>
      <c r="T68" s="24"/>
      <c r="U68" s="24"/>
      <c r="V68" s="24"/>
      <c r="W68" s="22"/>
      <c r="X68" s="23"/>
      <c r="Y68" s="24"/>
      <c r="Z68" s="24"/>
      <c r="AA68" s="24"/>
      <c r="AB68" s="24"/>
      <c r="AC68" s="24"/>
      <c r="AD68" s="24"/>
      <c r="AE68" s="24"/>
      <c r="AF68" s="24"/>
      <c r="AG68" s="22"/>
      <c r="AH68" s="203" t="str">
        <f t="shared" si="4"/>
        <v/>
      </c>
      <c r="AI68" s="204" t="str">
        <f t="shared" si="5"/>
        <v/>
      </c>
      <c r="AJ68" s="205" t="str">
        <f t="shared" si="6"/>
        <v/>
      </c>
      <c r="AK68" s="206">
        <f t="shared" si="7"/>
        <v>0</v>
      </c>
      <c r="AL68" s="168"/>
      <c r="AM68" s="168"/>
      <c r="AN68" s="168"/>
      <c r="AO68" s="168"/>
      <c r="AP68" s="168"/>
      <c r="AQ68" s="168"/>
      <c r="AR68" s="168"/>
      <c r="AS68" s="168"/>
      <c r="AT68" s="168"/>
      <c r="AU68" s="168"/>
      <c r="AV68" s="168"/>
      <c r="AW68" s="168"/>
      <c r="AX68" s="168"/>
      <c r="AY68" s="168"/>
    </row>
    <row r="69" spans="1:51">
      <c r="A69" s="16" t="s">
        <v>31</v>
      </c>
      <c r="B69" s="163"/>
      <c r="C69" s="107"/>
      <c r="D69" s="23"/>
      <c r="E69" s="24"/>
      <c r="F69" s="24"/>
      <c r="G69" s="24"/>
      <c r="H69" s="24"/>
      <c r="I69" s="24"/>
      <c r="J69" s="24"/>
      <c r="K69" s="24"/>
      <c r="L69" s="24"/>
      <c r="M69" s="22"/>
      <c r="N69" s="23"/>
      <c r="O69" s="24"/>
      <c r="P69" s="24"/>
      <c r="Q69" s="24"/>
      <c r="R69" s="24"/>
      <c r="S69" s="24"/>
      <c r="T69" s="24"/>
      <c r="U69" s="24"/>
      <c r="V69" s="24"/>
      <c r="W69" s="22"/>
      <c r="X69" s="23"/>
      <c r="Y69" s="24"/>
      <c r="Z69" s="24"/>
      <c r="AA69" s="24"/>
      <c r="AB69" s="24"/>
      <c r="AC69" s="24"/>
      <c r="AD69" s="24"/>
      <c r="AE69" s="24"/>
      <c r="AF69" s="24"/>
      <c r="AG69" s="22"/>
      <c r="AH69" s="203" t="str">
        <f t="shared" si="4"/>
        <v/>
      </c>
      <c r="AI69" s="204" t="str">
        <f t="shared" si="5"/>
        <v/>
      </c>
      <c r="AJ69" s="205" t="str">
        <f t="shared" si="6"/>
        <v/>
      </c>
      <c r="AK69" s="206">
        <f t="shared" si="7"/>
        <v>0</v>
      </c>
      <c r="AL69" s="168"/>
      <c r="AM69" s="168"/>
      <c r="AN69" s="168"/>
      <c r="AO69" s="168"/>
      <c r="AP69" s="168"/>
      <c r="AQ69" s="168"/>
      <c r="AR69" s="168"/>
      <c r="AS69" s="168"/>
      <c r="AT69" s="168"/>
      <c r="AU69" s="168"/>
      <c r="AV69" s="168"/>
      <c r="AW69" s="168"/>
      <c r="AX69" s="168"/>
      <c r="AY69" s="168"/>
    </row>
    <row r="70" spans="1:51">
      <c r="A70" s="16" t="s">
        <v>31</v>
      </c>
      <c r="B70" s="163"/>
      <c r="C70" s="107"/>
      <c r="D70" s="23"/>
      <c r="E70" s="24"/>
      <c r="F70" s="24"/>
      <c r="G70" s="24"/>
      <c r="H70" s="24"/>
      <c r="I70" s="24"/>
      <c r="J70" s="24"/>
      <c r="K70" s="24"/>
      <c r="L70" s="24"/>
      <c r="M70" s="22"/>
      <c r="N70" s="23"/>
      <c r="O70" s="24"/>
      <c r="P70" s="24"/>
      <c r="Q70" s="24"/>
      <c r="R70" s="24"/>
      <c r="S70" s="24"/>
      <c r="T70" s="24"/>
      <c r="U70" s="24"/>
      <c r="V70" s="24"/>
      <c r="W70" s="22"/>
      <c r="X70" s="23"/>
      <c r="Y70" s="24"/>
      <c r="Z70" s="24"/>
      <c r="AA70" s="24"/>
      <c r="AB70" s="24"/>
      <c r="AC70" s="24"/>
      <c r="AD70" s="24"/>
      <c r="AE70" s="24"/>
      <c r="AF70" s="24"/>
      <c r="AG70" s="22"/>
      <c r="AH70" s="203" t="str">
        <f t="shared" si="4"/>
        <v/>
      </c>
      <c r="AI70" s="204" t="str">
        <f t="shared" si="5"/>
        <v/>
      </c>
      <c r="AJ70" s="205" t="str">
        <f t="shared" si="6"/>
        <v/>
      </c>
      <c r="AK70" s="206">
        <f t="shared" si="7"/>
        <v>0</v>
      </c>
      <c r="AL70" s="168"/>
      <c r="AM70" s="168"/>
      <c r="AN70" s="168"/>
      <c r="AO70" s="168"/>
      <c r="AP70" s="168"/>
      <c r="AQ70" s="168"/>
      <c r="AR70" s="168"/>
      <c r="AS70" s="168"/>
      <c r="AT70" s="168"/>
      <c r="AU70" s="168"/>
      <c r="AV70" s="168"/>
      <c r="AW70" s="168"/>
      <c r="AX70" s="168"/>
      <c r="AY70" s="168"/>
    </row>
    <row r="71" spans="1:51">
      <c r="A71" s="16" t="s">
        <v>31</v>
      </c>
      <c r="B71" s="163"/>
      <c r="C71" s="107"/>
      <c r="D71" s="23"/>
      <c r="E71" s="24"/>
      <c r="F71" s="24"/>
      <c r="G71" s="24"/>
      <c r="H71" s="24"/>
      <c r="I71" s="24"/>
      <c r="J71" s="24"/>
      <c r="K71" s="24"/>
      <c r="L71" s="24"/>
      <c r="M71" s="22"/>
      <c r="N71" s="23"/>
      <c r="O71" s="24"/>
      <c r="P71" s="24"/>
      <c r="Q71" s="24"/>
      <c r="R71" s="24"/>
      <c r="S71" s="24"/>
      <c r="T71" s="24"/>
      <c r="U71" s="24"/>
      <c r="V71" s="24"/>
      <c r="W71" s="22"/>
      <c r="X71" s="23"/>
      <c r="Y71" s="24"/>
      <c r="Z71" s="24"/>
      <c r="AA71" s="24"/>
      <c r="AB71" s="24"/>
      <c r="AC71" s="24"/>
      <c r="AD71" s="24"/>
      <c r="AE71" s="24"/>
      <c r="AF71" s="24"/>
      <c r="AG71" s="22"/>
      <c r="AH71" s="203" t="str">
        <f t="shared" si="4"/>
        <v/>
      </c>
      <c r="AI71" s="204" t="str">
        <f t="shared" si="5"/>
        <v/>
      </c>
      <c r="AJ71" s="205" t="str">
        <f t="shared" si="6"/>
        <v/>
      </c>
      <c r="AK71" s="206">
        <f t="shared" si="7"/>
        <v>0</v>
      </c>
      <c r="AL71" s="168"/>
      <c r="AM71" s="168"/>
      <c r="AN71" s="168"/>
      <c r="AO71" s="168"/>
      <c r="AP71" s="168"/>
      <c r="AQ71" s="168"/>
      <c r="AR71" s="168"/>
      <c r="AS71" s="168"/>
      <c r="AT71" s="168"/>
      <c r="AU71" s="168"/>
      <c r="AV71" s="168"/>
      <c r="AW71" s="168"/>
      <c r="AX71" s="168"/>
      <c r="AY71" s="168"/>
    </row>
    <row r="72" spans="1:51">
      <c r="A72" s="16" t="s">
        <v>31</v>
      </c>
      <c r="B72" s="163"/>
      <c r="C72" s="107"/>
      <c r="D72" s="23"/>
      <c r="E72" s="24"/>
      <c r="F72" s="24"/>
      <c r="G72" s="24"/>
      <c r="H72" s="24"/>
      <c r="I72" s="24"/>
      <c r="J72" s="24"/>
      <c r="K72" s="24"/>
      <c r="L72" s="24"/>
      <c r="M72" s="22"/>
      <c r="N72" s="23"/>
      <c r="O72" s="24"/>
      <c r="P72" s="24"/>
      <c r="Q72" s="24"/>
      <c r="R72" s="24"/>
      <c r="S72" s="24"/>
      <c r="T72" s="24"/>
      <c r="U72" s="24"/>
      <c r="V72" s="24"/>
      <c r="W72" s="22"/>
      <c r="X72" s="23"/>
      <c r="Y72" s="24"/>
      <c r="Z72" s="24"/>
      <c r="AA72" s="24"/>
      <c r="AB72" s="24"/>
      <c r="AC72" s="24"/>
      <c r="AD72" s="24"/>
      <c r="AE72" s="24"/>
      <c r="AF72" s="24"/>
      <c r="AG72" s="22"/>
      <c r="AH72" s="203" t="str">
        <f t="shared" si="4"/>
        <v/>
      </c>
      <c r="AI72" s="204" t="str">
        <f t="shared" si="5"/>
        <v/>
      </c>
      <c r="AJ72" s="205" t="str">
        <f t="shared" si="6"/>
        <v/>
      </c>
      <c r="AK72" s="206">
        <f t="shared" si="7"/>
        <v>0</v>
      </c>
      <c r="AL72" s="168"/>
      <c r="AM72" s="168"/>
      <c r="AN72" s="168"/>
      <c r="AO72" s="168"/>
      <c r="AP72" s="168"/>
      <c r="AQ72" s="168"/>
      <c r="AR72" s="168"/>
      <c r="AS72" s="168"/>
      <c r="AT72" s="168"/>
      <c r="AU72" s="168"/>
      <c r="AV72" s="168"/>
      <c r="AW72" s="168"/>
      <c r="AX72" s="168"/>
      <c r="AY72" s="168"/>
    </row>
    <row r="73" spans="1:51" ht="13" thickBot="1">
      <c r="A73" s="17" t="s">
        <v>31</v>
      </c>
      <c r="B73" s="163"/>
      <c r="C73" s="107"/>
      <c r="D73" s="23"/>
      <c r="E73" s="24"/>
      <c r="F73" s="24"/>
      <c r="G73" s="24"/>
      <c r="H73" s="24"/>
      <c r="I73" s="24"/>
      <c r="J73" s="24"/>
      <c r="K73" s="24"/>
      <c r="L73" s="24"/>
      <c r="M73" s="22"/>
      <c r="N73" s="23"/>
      <c r="O73" s="24"/>
      <c r="P73" s="24"/>
      <c r="Q73" s="24"/>
      <c r="R73" s="24"/>
      <c r="S73" s="24"/>
      <c r="T73" s="24"/>
      <c r="U73" s="24"/>
      <c r="V73" s="24"/>
      <c r="W73" s="22"/>
      <c r="X73" s="31"/>
      <c r="Y73" s="32"/>
      <c r="Z73" s="32"/>
      <c r="AA73" s="32"/>
      <c r="AB73" s="32"/>
      <c r="AC73" s="32"/>
      <c r="AD73" s="32"/>
      <c r="AE73" s="32"/>
      <c r="AF73" s="32"/>
      <c r="AG73" s="30"/>
      <c r="AH73" s="207" t="str">
        <f t="shared" si="4"/>
        <v/>
      </c>
      <c r="AI73" s="208" t="str">
        <f t="shared" si="5"/>
        <v/>
      </c>
      <c r="AJ73" s="185" t="str">
        <f t="shared" si="6"/>
        <v/>
      </c>
      <c r="AK73" s="209">
        <f t="shared" si="7"/>
        <v>0</v>
      </c>
      <c r="AL73" s="168"/>
      <c r="AM73" s="168"/>
      <c r="AN73" s="168"/>
      <c r="AO73" s="168"/>
      <c r="AP73" s="168"/>
      <c r="AQ73" s="168"/>
      <c r="AR73" s="168"/>
      <c r="AS73" s="168"/>
      <c r="AT73" s="168"/>
      <c r="AU73" s="168"/>
      <c r="AV73" s="168"/>
      <c r="AW73" s="168"/>
      <c r="AX73" s="168"/>
      <c r="AY73" s="168"/>
    </row>
    <row r="74" spans="1:51" ht="13" thickBot="1">
      <c r="A74" s="294" t="s">
        <v>32</v>
      </c>
      <c r="B74" s="154"/>
      <c r="C74" s="154"/>
      <c r="D74" s="92"/>
      <c r="E74" s="93"/>
      <c r="F74" s="93"/>
      <c r="G74" s="93"/>
      <c r="H74" s="93"/>
      <c r="I74" s="93"/>
      <c r="J74" s="93"/>
      <c r="K74" s="93"/>
      <c r="L74" s="93"/>
      <c r="M74" s="96"/>
      <c r="N74" s="92"/>
      <c r="O74" s="93"/>
      <c r="P74" s="93"/>
      <c r="Q74" s="93"/>
      <c r="R74" s="93"/>
      <c r="S74" s="93"/>
      <c r="T74" s="93"/>
      <c r="U74" s="93"/>
      <c r="V74" s="93"/>
      <c r="W74" s="96"/>
      <c r="X74" s="354"/>
      <c r="Y74" s="355"/>
      <c r="Z74" s="355"/>
      <c r="AA74" s="355"/>
      <c r="AB74" s="355"/>
      <c r="AC74" s="355"/>
      <c r="AD74" s="355"/>
      <c r="AE74" s="355"/>
      <c r="AF74" s="355"/>
      <c r="AG74" s="356"/>
      <c r="AH74" s="304" t="s">
        <v>49</v>
      </c>
      <c r="AI74" s="305" t="s">
        <v>50</v>
      </c>
      <c r="AJ74" s="305" t="s">
        <v>51</v>
      </c>
      <c r="AK74" s="210"/>
      <c r="AL74" s="168"/>
      <c r="AM74" s="168"/>
      <c r="AN74" s="168"/>
      <c r="AO74" s="168"/>
      <c r="AP74" s="168"/>
      <c r="AQ74" s="168"/>
      <c r="AR74" s="168"/>
      <c r="AS74" s="168"/>
      <c r="AT74" s="168"/>
      <c r="AU74" s="168"/>
      <c r="AV74" s="168"/>
      <c r="AW74" s="168"/>
      <c r="AX74" s="168"/>
      <c r="AY74" s="168"/>
    </row>
    <row r="75" spans="1:51">
      <c r="A75" s="15" t="s">
        <v>32</v>
      </c>
      <c r="B75" s="130">
        <v>41022</v>
      </c>
      <c r="C75" s="83" t="s">
        <v>83</v>
      </c>
      <c r="D75" s="23">
        <v>0</v>
      </c>
      <c r="E75" s="24">
        <v>0</v>
      </c>
      <c r="F75" s="24">
        <v>0</v>
      </c>
      <c r="G75" s="24">
        <v>0</v>
      </c>
      <c r="H75" s="24">
        <v>0</v>
      </c>
      <c r="I75" s="24">
        <v>0</v>
      </c>
      <c r="J75" s="24">
        <v>0</v>
      </c>
      <c r="K75" s="24">
        <v>0</v>
      </c>
      <c r="L75" s="24">
        <v>0</v>
      </c>
      <c r="M75" s="22">
        <v>0</v>
      </c>
      <c r="N75" s="23"/>
      <c r="O75" s="24"/>
      <c r="P75" s="24"/>
      <c r="Q75" s="24"/>
      <c r="R75" s="24"/>
      <c r="S75" s="24"/>
      <c r="T75" s="24"/>
      <c r="U75" s="24"/>
      <c r="V75" s="24"/>
      <c r="W75" s="22"/>
      <c r="X75" s="23"/>
      <c r="Y75" s="24"/>
      <c r="Z75" s="24"/>
      <c r="AA75" s="24"/>
      <c r="AB75" s="24"/>
      <c r="AC75" s="24"/>
      <c r="AD75" s="24"/>
      <c r="AE75" s="24"/>
      <c r="AF75" s="24"/>
      <c r="AG75" s="22"/>
      <c r="AH75" s="199">
        <f t="shared" ref="AH75:AH104" si="8">IF(COUNT(D75:M75)=0,"",AVERAGE(D75:M75))</f>
        <v>0</v>
      </c>
      <c r="AI75" s="200" t="str">
        <f t="shared" ref="AI75:AI104" si="9">IF(COUNT(N75:W75)=0,"",AVERAGE(N75:W75))</f>
        <v/>
      </c>
      <c r="AJ75" s="184" t="str">
        <f t="shared" ref="AJ75:AJ104" si="10">IF(COUNT(X75:AG75)=0,"",AVERAGE(X75:AG75))</f>
        <v/>
      </c>
      <c r="AK75" s="202">
        <f t="shared" ref="AK75:AK104" si="11">IF(ISNUMBER(AH75),AH75,0)+IF(ISNUMBER(AI75),AI75,0)+IF(ISNUMBER(AJ75),AJ75,0)</f>
        <v>0</v>
      </c>
      <c r="AL75" s="168"/>
      <c r="AM75" s="168"/>
      <c r="AN75" s="168"/>
      <c r="AO75" s="168"/>
      <c r="AP75" s="168"/>
      <c r="AQ75" s="168"/>
      <c r="AR75" s="168"/>
      <c r="AS75" s="168"/>
      <c r="AT75" s="168"/>
      <c r="AU75" s="168"/>
      <c r="AV75" s="168"/>
      <c r="AW75" s="168"/>
      <c r="AX75" s="168"/>
      <c r="AY75" s="168"/>
    </row>
    <row r="76" spans="1:51">
      <c r="A76" s="16" t="s">
        <v>32</v>
      </c>
      <c r="B76" s="131">
        <v>41026</v>
      </c>
      <c r="C76" s="83" t="s">
        <v>82</v>
      </c>
      <c r="D76" s="23">
        <v>0</v>
      </c>
      <c r="E76" s="24">
        <v>0</v>
      </c>
      <c r="F76" s="24">
        <v>0</v>
      </c>
      <c r="G76" s="24">
        <v>0</v>
      </c>
      <c r="H76" s="24">
        <v>0</v>
      </c>
      <c r="I76" s="24">
        <v>0</v>
      </c>
      <c r="J76" s="24">
        <v>0</v>
      </c>
      <c r="K76" s="24">
        <v>0</v>
      </c>
      <c r="L76" s="24">
        <v>0</v>
      </c>
      <c r="M76" s="22">
        <v>0</v>
      </c>
      <c r="N76" s="23"/>
      <c r="O76" s="24"/>
      <c r="P76" s="24"/>
      <c r="Q76" s="24"/>
      <c r="R76" s="24"/>
      <c r="S76" s="24"/>
      <c r="T76" s="24"/>
      <c r="U76" s="24"/>
      <c r="V76" s="24"/>
      <c r="W76" s="22"/>
      <c r="X76" s="23"/>
      <c r="Y76" s="24"/>
      <c r="Z76" s="24"/>
      <c r="AA76" s="24"/>
      <c r="AB76" s="24"/>
      <c r="AC76" s="24"/>
      <c r="AD76" s="24"/>
      <c r="AE76" s="24"/>
      <c r="AF76" s="24"/>
      <c r="AG76" s="22"/>
      <c r="AH76" s="203">
        <f t="shared" si="8"/>
        <v>0</v>
      </c>
      <c r="AI76" s="204" t="str">
        <f t="shared" si="9"/>
        <v/>
      </c>
      <c r="AJ76" s="205" t="str">
        <f t="shared" si="10"/>
        <v/>
      </c>
      <c r="AK76" s="206">
        <f t="shared" si="11"/>
        <v>0</v>
      </c>
      <c r="AL76" s="168"/>
      <c r="AM76" s="168"/>
      <c r="AN76" s="168"/>
      <c r="AO76" s="168"/>
      <c r="AP76" s="168"/>
      <c r="AQ76" s="168"/>
      <c r="AR76" s="168"/>
      <c r="AS76" s="168"/>
      <c r="AT76" s="168"/>
      <c r="AU76" s="168"/>
      <c r="AV76" s="168"/>
      <c r="AW76" s="168"/>
      <c r="AX76" s="168"/>
      <c r="AY76" s="168"/>
    </row>
    <row r="77" spans="1:51">
      <c r="A77" s="16" t="s">
        <v>32</v>
      </c>
      <c r="B77" s="131">
        <v>41031</v>
      </c>
      <c r="C77" s="83" t="s">
        <v>82</v>
      </c>
      <c r="D77" s="23">
        <v>0</v>
      </c>
      <c r="E77" s="24">
        <v>0</v>
      </c>
      <c r="F77" s="24">
        <v>0</v>
      </c>
      <c r="G77" s="24">
        <v>0</v>
      </c>
      <c r="H77" s="24">
        <v>0</v>
      </c>
      <c r="I77" s="24">
        <v>0</v>
      </c>
      <c r="J77" s="24">
        <v>0</v>
      </c>
      <c r="K77" s="24">
        <v>0</v>
      </c>
      <c r="L77" s="24">
        <v>0</v>
      </c>
      <c r="M77" s="22">
        <v>0</v>
      </c>
      <c r="N77" s="23"/>
      <c r="O77" s="24"/>
      <c r="P77" s="24"/>
      <c r="Q77" s="24"/>
      <c r="R77" s="24"/>
      <c r="S77" s="24"/>
      <c r="T77" s="24"/>
      <c r="U77" s="24"/>
      <c r="V77" s="24"/>
      <c r="W77" s="22"/>
      <c r="X77" s="23"/>
      <c r="Y77" s="24"/>
      <c r="Z77" s="24"/>
      <c r="AA77" s="24"/>
      <c r="AB77" s="24"/>
      <c r="AC77" s="24"/>
      <c r="AD77" s="24"/>
      <c r="AE77" s="24"/>
      <c r="AF77" s="24"/>
      <c r="AG77" s="22"/>
      <c r="AH77" s="203">
        <f t="shared" si="8"/>
        <v>0</v>
      </c>
      <c r="AI77" s="204" t="str">
        <f t="shared" si="9"/>
        <v/>
      </c>
      <c r="AJ77" s="205" t="str">
        <f t="shared" si="10"/>
        <v/>
      </c>
      <c r="AK77" s="206">
        <f t="shared" si="11"/>
        <v>0</v>
      </c>
      <c r="AL77" s="168"/>
      <c r="AM77" s="168"/>
      <c r="AN77" s="168"/>
      <c r="AO77" s="168"/>
      <c r="AP77" s="168"/>
      <c r="AQ77" s="168"/>
      <c r="AR77" s="168"/>
      <c r="AS77" s="168"/>
      <c r="AT77" s="168"/>
      <c r="AU77" s="168"/>
      <c r="AV77" s="168"/>
      <c r="AW77" s="168"/>
      <c r="AX77" s="168"/>
      <c r="AY77" s="168"/>
    </row>
    <row r="78" spans="1:51">
      <c r="A78" s="16" t="s">
        <v>32</v>
      </c>
      <c r="B78" s="131">
        <v>41036</v>
      </c>
      <c r="C78" s="83" t="s">
        <v>83</v>
      </c>
      <c r="D78" s="23">
        <v>0</v>
      </c>
      <c r="E78" s="24">
        <v>0</v>
      </c>
      <c r="F78" s="24">
        <v>0</v>
      </c>
      <c r="G78" s="24">
        <v>0</v>
      </c>
      <c r="H78" s="24">
        <v>0</v>
      </c>
      <c r="I78" s="24">
        <v>0</v>
      </c>
      <c r="J78" s="24">
        <v>0</v>
      </c>
      <c r="K78" s="24">
        <v>0</v>
      </c>
      <c r="L78" s="24">
        <v>0</v>
      </c>
      <c r="M78" s="22">
        <v>0</v>
      </c>
      <c r="N78" s="23"/>
      <c r="O78" s="24"/>
      <c r="P78" s="24"/>
      <c r="Q78" s="24"/>
      <c r="R78" s="24"/>
      <c r="S78" s="24"/>
      <c r="T78" s="24"/>
      <c r="U78" s="24"/>
      <c r="V78" s="24"/>
      <c r="W78" s="22"/>
      <c r="X78" s="23"/>
      <c r="Y78" s="24"/>
      <c r="Z78" s="24"/>
      <c r="AA78" s="24"/>
      <c r="AB78" s="24"/>
      <c r="AC78" s="24"/>
      <c r="AD78" s="24"/>
      <c r="AE78" s="24"/>
      <c r="AF78" s="24"/>
      <c r="AG78" s="22"/>
      <c r="AH78" s="203">
        <f t="shared" si="8"/>
        <v>0</v>
      </c>
      <c r="AI78" s="204" t="str">
        <f t="shared" si="9"/>
        <v/>
      </c>
      <c r="AJ78" s="205" t="str">
        <f t="shared" si="10"/>
        <v/>
      </c>
      <c r="AK78" s="206">
        <f t="shared" si="11"/>
        <v>0</v>
      </c>
      <c r="AL78" s="168"/>
      <c r="AM78" s="168"/>
      <c r="AN78" s="168"/>
      <c r="AO78" s="168"/>
      <c r="AP78" s="168"/>
      <c r="AQ78" s="168"/>
      <c r="AR78" s="168"/>
      <c r="AS78" s="168"/>
      <c r="AT78" s="168"/>
      <c r="AU78" s="168"/>
      <c r="AV78" s="168"/>
      <c r="AW78" s="168"/>
      <c r="AX78" s="168"/>
      <c r="AY78" s="168"/>
    </row>
    <row r="79" spans="1:51">
      <c r="A79" s="16" t="s">
        <v>32</v>
      </c>
      <c r="B79" s="131">
        <v>41039</v>
      </c>
      <c r="C79" s="83" t="s">
        <v>83</v>
      </c>
      <c r="D79" s="23">
        <v>0</v>
      </c>
      <c r="E79" s="24">
        <v>0</v>
      </c>
      <c r="F79" s="24">
        <v>0</v>
      </c>
      <c r="G79" s="24">
        <v>0</v>
      </c>
      <c r="H79" s="24">
        <v>0</v>
      </c>
      <c r="I79" s="24">
        <v>0</v>
      </c>
      <c r="J79" s="24">
        <v>0</v>
      </c>
      <c r="K79" s="24">
        <v>0</v>
      </c>
      <c r="L79" s="24">
        <v>0</v>
      </c>
      <c r="M79" s="22">
        <v>0</v>
      </c>
      <c r="N79" s="23"/>
      <c r="O79" s="24"/>
      <c r="P79" s="24"/>
      <c r="Q79" s="24"/>
      <c r="R79" s="24"/>
      <c r="S79" s="24"/>
      <c r="T79" s="24"/>
      <c r="U79" s="24"/>
      <c r="V79" s="24"/>
      <c r="W79" s="22"/>
      <c r="X79" s="23"/>
      <c r="Y79" s="24"/>
      <c r="Z79" s="24"/>
      <c r="AA79" s="24"/>
      <c r="AB79" s="24"/>
      <c r="AC79" s="24"/>
      <c r="AD79" s="24"/>
      <c r="AE79" s="24"/>
      <c r="AF79" s="24"/>
      <c r="AG79" s="22"/>
      <c r="AH79" s="203">
        <f t="shared" si="8"/>
        <v>0</v>
      </c>
      <c r="AI79" s="204" t="str">
        <f t="shared" si="9"/>
        <v/>
      </c>
      <c r="AJ79" s="205" t="str">
        <f t="shared" si="10"/>
        <v/>
      </c>
      <c r="AK79" s="206">
        <f t="shared" si="11"/>
        <v>0</v>
      </c>
      <c r="AL79" s="168"/>
      <c r="AM79" s="168"/>
      <c r="AN79" s="168"/>
      <c r="AO79" s="168"/>
      <c r="AP79" s="168"/>
      <c r="AQ79" s="168"/>
      <c r="AR79" s="168"/>
      <c r="AS79" s="168"/>
      <c r="AT79" s="168"/>
      <c r="AU79" s="168"/>
      <c r="AV79" s="168"/>
      <c r="AW79" s="168"/>
      <c r="AX79" s="168"/>
      <c r="AY79" s="168"/>
    </row>
    <row r="80" spans="1:51">
      <c r="A80" s="16" t="s">
        <v>32</v>
      </c>
      <c r="B80" s="131">
        <v>41044</v>
      </c>
      <c r="C80" s="83" t="s">
        <v>83</v>
      </c>
      <c r="D80" s="23">
        <v>0</v>
      </c>
      <c r="E80" s="24">
        <v>0</v>
      </c>
      <c r="F80" s="24">
        <v>0</v>
      </c>
      <c r="G80" s="24">
        <v>0</v>
      </c>
      <c r="H80" s="24">
        <v>0</v>
      </c>
      <c r="I80" s="24">
        <v>0</v>
      </c>
      <c r="J80" s="24">
        <v>0</v>
      </c>
      <c r="K80" s="24">
        <v>0</v>
      </c>
      <c r="L80" s="24">
        <v>0</v>
      </c>
      <c r="M80" s="22">
        <v>0</v>
      </c>
      <c r="N80" s="23"/>
      <c r="O80" s="24"/>
      <c r="P80" s="24"/>
      <c r="Q80" s="24"/>
      <c r="R80" s="24"/>
      <c r="S80" s="24"/>
      <c r="T80" s="24"/>
      <c r="U80" s="24"/>
      <c r="V80" s="24"/>
      <c r="W80" s="22"/>
      <c r="X80" s="23"/>
      <c r="Y80" s="24"/>
      <c r="Z80" s="24"/>
      <c r="AA80" s="24"/>
      <c r="AB80" s="24"/>
      <c r="AC80" s="24"/>
      <c r="AD80" s="24"/>
      <c r="AE80" s="24"/>
      <c r="AF80" s="24"/>
      <c r="AG80" s="22"/>
      <c r="AH80" s="203">
        <f t="shared" si="8"/>
        <v>0</v>
      </c>
      <c r="AI80" s="204" t="str">
        <f t="shared" si="9"/>
        <v/>
      </c>
      <c r="AJ80" s="205" t="str">
        <f t="shared" si="10"/>
        <v/>
      </c>
      <c r="AK80" s="206">
        <f t="shared" si="11"/>
        <v>0</v>
      </c>
      <c r="AL80" s="168"/>
      <c r="AM80" s="168"/>
      <c r="AN80" s="168"/>
      <c r="AO80" s="168"/>
      <c r="AP80" s="168"/>
      <c r="AQ80" s="168"/>
      <c r="AR80" s="168"/>
      <c r="AS80" s="168"/>
      <c r="AT80" s="168"/>
      <c r="AU80" s="168"/>
      <c r="AV80" s="168"/>
      <c r="AW80" s="168"/>
      <c r="AX80" s="168"/>
      <c r="AY80" s="168"/>
    </row>
    <row r="81" spans="1:51">
      <c r="A81" s="16" t="s">
        <v>32</v>
      </c>
      <c r="B81" s="131">
        <v>41053</v>
      </c>
      <c r="C81" s="83" t="s">
        <v>83</v>
      </c>
      <c r="D81" s="23">
        <v>0</v>
      </c>
      <c r="E81" s="24">
        <v>0</v>
      </c>
      <c r="F81" s="24">
        <v>0</v>
      </c>
      <c r="G81" s="24">
        <v>0</v>
      </c>
      <c r="H81" s="24">
        <v>0</v>
      </c>
      <c r="I81" s="24">
        <v>0</v>
      </c>
      <c r="J81" s="24">
        <v>0</v>
      </c>
      <c r="K81" s="24">
        <v>0</v>
      </c>
      <c r="L81" s="24">
        <v>0</v>
      </c>
      <c r="M81" s="22">
        <v>0</v>
      </c>
      <c r="N81" s="23"/>
      <c r="O81" s="24"/>
      <c r="P81" s="24"/>
      <c r="Q81" s="24"/>
      <c r="R81" s="24"/>
      <c r="S81" s="24"/>
      <c r="T81" s="24"/>
      <c r="U81" s="24"/>
      <c r="V81" s="24"/>
      <c r="W81" s="22"/>
      <c r="X81" s="23"/>
      <c r="Y81" s="24"/>
      <c r="Z81" s="24"/>
      <c r="AA81" s="24"/>
      <c r="AB81" s="24"/>
      <c r="AC81" s="24"/>
      <c r="AD81" s="24"/>
      <c r="AE81" s="24"/>
      <c r="AF81" s="24"/>
      <c r="AG81" s="22"/>
      <c r="AH81" s="203">
        <f t="shared" si="8"/>
        <v>0</v>
      </c>
      <c r="AI81" s="204" t="str">
        <f t="shared" si="9"/>
        <v/>
      </c>
      <c r="AJ81" s="205" t="str">
        <f t="shared" si="10"/>
        <v/>
      </c>
      <c r="AK81" s="206">
        <f t="shared" si="11"/>
        <v>0</v>
      </c>
      <c r="AL81" s="168"/>
      <c r="AM81" s="168"/>
      <c r="AN81" s="168"/>
      <c r="AO81" s="168"/>
      <c r="AP81" s="168"/>
      <c r="AQ81" s="168"/>
      <c r="AR81" s="168"/>
      <c r="AS81" s="168"/>
      <c r="AT81" s="168"/>
      <c r="AU81" s="168"/>
      <c r="AV81" s="168"/>
      <c r="AW81" s="168"/>
      <c r="AX81" s="168"/>
      <c r="AY81" s="168"/>
    </row>
    <row r="82" spans="1:51">
      <c r="A82" s="16" t="s">
        <v>32</v>
      </c>
      <c r="B82" s="131">
        <v>41059</v>
      </c>
      <c r="C82" s="83" t="s">
        <v>83</v>
      </c>
      <c r="D82" s="23">
        <v>1</v>
      </c>
      <c r="E82" s="24">
        <v>6</v>
      </c>
      <c r="F82" s="24">
        <v>13</v>
      </c>
      <c r="G82" s="24">
        <v>0</v>
      </c>
      <c r="H82" s="24">
        <v>9</v>
      </c>
      <c r="I82" s="24">
        <v>4</v>
      </c>
      <c r="J82" s="24">
        <v>0</v>
      </c>
      <c r="K82" s="24">
        <v>0</v>
      </c>
      <c r="L82" s="24">
        <v>0</v>
      </c>
      <c r="M82" s="22">
        <v>69</v>
      </c>
      <c r="N82" s="23"/>
      <c r="O82" s="24"/>
      <c r="P82" s="24"/>
      <c r="Q82" s="24"/>
      <c r="R82" s="24"/>
      <c r="S82" s="24"/>
      <c r="T82" s="24"/>
      <c r="U82" s="24"/>
      <c r="V82" s="24"/>
      <c r="W82" s="22"/>
      <c r="X82" s="23"/>
      <c r="Y82" s="24"/>
      <c r="Z82" s="24"/>
      <c r="AA82" s="24"/>
      <c r="AB82" s="24"/>
      <c r="AC82" s="24"/>
      <c r="AD82" s="24"/>
      <c r="AE82" s="24"/>
      <c r="AF82" s="24"/>
      <c r="AG82" s="22"/>
      <c r="AH82" s="203">
        <f t="shared" si="8"/>
        <v>10.199999999999999</v>
      </c>
      <c r="AI82" s="204" t="str">
        <f t="shared" si="9"/>
        <v/>
      </c>
      <c r="AJ82" s="205" t="str">
        <f t="shared" si="10"/>
        <v/>
      </c>
      <c r="AK82" s="206">
        <f t="shared" si="11"/>
        <v>10.199999999999999</v>
      </c>
      <c r="AL82" s="168"/>
      <c r="AM82" s="168"/>
      <c r="AN82" s="168"/>
      <c r="AO82" s="168"/>
      <c r="AP82" s="168"/>
      <c r="AQ82" s="168"/>
      <c r="AR82" s="168"/>
      <c r="AS82" s="168"/>
      <c r="AT82" s="168"/>
      <c r="AU82" s="168"/>
      <c r="AV82" s="168"/>
      <c r="AW82" s="168"/>
      <c r="AX82" s="168"/>
      <c r="AY82" s="168"/>
    </row>
    <row r="83" spans="1:51">
      <c r="A83" s="16" t="s">
        <v>32</v>
      </c>
      <c r="B83" s="131">
        <v>41073</v>
      </c>
      <c r="C83" s="83" t="s">
        <v>83</v>
      </c>
      <c r="D83" s="23">
        <v>115</v>
      </c>
      <c r="E83" s="24">
        <v>144</v>
      </c>
      <c r="F83" s="24">
        <v>108</v>
      </c>
      <c r="G83" s="24">
        <v>42</v>
      </c>
      <c r="H83" s="24">
        <v>99</v>
      </c>
      <c r="I83" s="24">
        <v>99</v>
      </c>
      <c r="J83" s="24">
        <v>42</v>
      </c>
      <c r="K83" s="24">
        <v>66</v>
      </c>
      <c r="L83" s="24">
        <v>147</v>
      </c>
      <c r="M83" s="22">
        <v>60</v>
      </c>
      <c r="N83" s="23">
        <v>0</v>
      </c>
      <c r="O83" s="24">
        <v>0</v>
      </c>
      <c r="P83" s="24">
        <v>0</v>
      </c>
      <c r="Q83" s="24">
        <v>0</v>
      </c>
      <c r="R83" s="24">
        <v>0</v>
      </c>
      <c r="S83" s="24">
        <v>0</v>
      </c>
      <c r="T83" s="24">
        <v>0</v>
      </c>
      <c r="U83" s="24">
        <v>0</v>
      </c>
      <c r="V83" s="24">
        <v>0</v>
      </c>
      <c r="W83" s="22">
        <v>40</v>
      </c>
      <c r="X83" s="23"/>
      <c r="Y83" s="24"/>
      <c r="Z83" s="24"/>
      <c r="AA83" s="24"/>
      <c r="AB83" s="24"/>
      <c r="AC83" s="24"/>
      <c r="AD83" s="24"/>
      <c r="AE83" s="24"/>
      <c r="AF83" s="24"/>
      <c r="AG83" s="22"/>
      <c r="AH83" s="203">
        <f t="shared" si="8"/>
        <v>92.2</v>
      </c>
      <c r="AI83" s="204">
        <f t="shared" si="9"/>
        <v>4</v>
      </c>
      <c r="AJ83" s="205" t="str">
        <f t="shared" si="10"/>
        <v/>
      </c>
      <c r="AK83" s="206">
        <f t="shared" si="11"/>
        <v>96.2</v>
      </c>
      <c r="AL83" s="168"/>
      <c r="AM83" s="168"/>
      <c r="AN83" s="168"/>
      <c r="AO83" s="168"/>
      <c r="AP83" s="168"/>
      <c r="AQ83" s="168"/>
      <c r="AR83" s="168"/>
      <c r="AS83" s="168"/>
      <c r="AT83" s="168"/>
      <c r="AU83" s="168"/>
      <c r="AV83" s="168"/>
      <c r="AW83" s="168"/>
      <c r="AX83" s="168"/>
      <c r="AY83" s="168"/>
    </row>
    <row r="84" spans="1:51">
      <c r="A84" s="16" t="s">
        <v>32</v>
      </c>
      <c r="B84" s="163">
        <v>41092</v>
      </c>
      <c r="C84" s="107" t="s">
        <v>82</v>
      </c>
      <c r="D84" s="23">
        <v>10</v>
      </c>
      <c r="E84" s="24">
        <v>22</v>
      </c>
      <c r="F84" s="24">
        <v>16</v>
      </c>
      <c r="G84" s="24">
        <v>27</v>
      </c>
      <c r="H84" s="24">
        <v>23</v>
      </c>
      <c r="I84" s="24">
        <v>32</v>
      </c>
      <c r="J84" s="24">
        <v>52</v>
      </c>
      <c r="K84" s="24">
        <v>3</v>
      </c>
      <c r="L84" s="24">
        <v>4</v>
      </c>
      <c r="M84" s="22">
        <v>0</v>
      </c>
      <c r="N84" s="23">
        <v>85</v>
      </c>
      <c r="O84" s="24">
        <v>70</v>
      </c>
      <c r="P84" s="24">
        <v>95</v>
      </c>
      <c r="Q84" s="24">
        <v>55</v>
      </c>
      <c r="R84" s="24">
        <v>45</v>
      </c>
      <c r="S84" s="24">
        <v>15</v>
      </c>
      <c r="T84" s="24">
        <v>17</v>
      </c>
      <c r="U84" s="24">
        <v>55</v>
      </c>
      <c r="V84" s="24">
        <v>80</v>
      </c>
      <c r="W84" s="22">
        <v>105</v>
      </c>
      <c r="X84" s="23"/>
      <c r="Y84" s="24"/>
      <c r="Z84" s="24"/>
      <c r="AA84" s="24"/>
      <c r="AB84" s="24"/>
      <c r="AC84" s="24"/>
      <c r="AD84" s="24"/>
      <c r="AE84" s="24"/>
      <c r="AF84" s="24"/>
      <c r="AG84" s="22"/>
      <c r="AH84" s="203">
        <f t="shared" si="8"/>
        <v>18.899999999999999</v>
      </c>
      <c r="AI84" s="204">
        <f t="shared" si="9"/>
        <v>62.2</v>
      </c>
      <c r="AJ84" s="205" t="str">
        <f t="shared" si="10"/>
        <v/>
      </c>
      <c r="AK84" s="206">
        <f t="shared" si="11"/>
        <v>81.099999999999994</v>
      </c>
      <c r="AL84" s="168"/>
      <c r="AM84" s="168"/>
      <c r="AN84" s="168"/>
      <c r="AO84" s="168"/>
      <c r="AP84" s="168"/>
      <c r="AQ84" s="168"/>
      <c r="AR84" s="168"/>
      <c r="AS84" s="168"/>
      <c r="AT84" s="168"/>
      <c r="AU84" s="168"/>
      <c r="AV84" s="168"/>
      <c r="AW84" s="168"/>
      <c r="AX84" s="168"/>
      <c r="AY84" s="168"/>
    </row>
    <row r="85" spans="1:51">
      <c r="A85" s="16" t="s">
        <v>32</v>
      </c>
      <c r="B85" s="163"/>
      <c r="C85" s="107"/>
      <c r="D85" s="23"/>
      <c r="E85" s="24"/>
      <c r="F85" s="24"/>
      <c r="G85" s="24"/>
      <c r="H85" s="24"/>
      <c r="I85" s="24"/>
      <c r="J85" s="24"/>
      <c r="K85" s="24"/>
      <c r="L85" s="24"/>
      <c r="M85" s="22"/>
      <c r="N85" s="23"/>
      <c r="O85" s="24"/>
      <c r="P85" s="24"/>
      <c r="Q85" s="24"/>
      <c r="R85" s="24"/>
      <c r="S85" s="24"/>
      <c r="T85" s="24"/>
      <c r="U85" s="24"/>
      <c r="V85" s="24"/>
      <c r="W85" s="22"/>
      <c r="X85" s="23"/>
      <c r="Y85" s="24"/>
      <c r="Z85" s="24"/>
      <c r="AA85" s="24"/>
      <c r="AB85" s="24"/>
      <c r="AC85" s="24"/>
      <c r="AD85" s="24"/>
      <c r="AE85" s="24"/>
      <c r="AF85" s="24"/>
      <c r="AG85" s="22"/>
      <c r="AH85" s="203" t="str">
        <f t="shared" si="8"/>
        <v/>
      </c>
      <c r="AI85" s="204" t="str">
        <f t="shared" si="9"/>
        <v/>
      </c>
      <c r="AJ85" s="205" t="str">
        <f t="shared" si="10"/>
        <v/>
      </c>
      <c r="AK85" s="206">
        <f t="shared" si="11"/>
        <v>0</v>
      </c>
      <c r="AL85" s="168"/>
      <c r="AM85" s="168"/>
      <c r="AN85" s="168"/>
      <c r="AO85" s="168"/>
      <c r="AP85" s="168"/>
      <c r="AQ85" s="168"/>
      <c r="AR85" s="168"/>
      <c r="AS85" s="168"/>
      <c r="AT85" s="168"/>
      <c r="AU85" s="168"/>
      <c r="AV85" s="168"/>
      <c r="AW85" s="168"/>
      <c r="AX85" s="168"/>
      <c r="AY85" s="168"/>
    </row>
    <row r="86" spans="1:51">
      <c r="A86" s="16" t="s">
        <v>32</v>
      </c>
      <c r="B86" s="163"/>
      <c r="C86" s="107"/>
      <c r="D86" s="23"/>
      <c r="E86" s="24"/>
      <c r="F86" s="24"/>
      <c r="G86" s="24"/>
      <c r="H86" s="24"/>
      <c r="I86" s="24"/>
      <c r="J86" s="24"/>
      <c r="K86" s="24"/>
      <c r="L86" s="24"/>
      <c r="M86" s="22"/>
      <c r="N86" s="23"/>
      <c r="O86" s="24"/>
      <c r="P86" s="24"/>
      <c r="Q86" s="24"/>
      <c r="R86" s="24"/>
      <c r="S86" s="24"/>
      <c r="T86" s="24"/>
      <c r="U86" s="24"/>
      <c r="V86" s="24"/>
      <c r="W86" s="22"/>
      <c r="X86" s="23"/>
      <c r="Y86" s="24"/>
      <c r="Z86" s="24"/>
      <c r="AA86" s="24"/>
      <c r="AB86" s="24"/>
      <c r="AC86" s="24"/>
      <c r="AD86" s="24"/>
      <c r="AE86" s="24"/>
      <c r="AF86" s="24"/>
      <c r="AG86" s="22"/>
      <c r="AH86" s="203" t="str">
        <f t="shared" si="8"/>
        <v/>
      </c>
      <c r="AI86" s="204" t="str">
        <f t="shared" si="9"/>
        <v/>
      </c>
      <c r="AJ86" s="205" t="str">
        <f t="shared" si="10"/>
        <v/>
      </c>
      <c r="AK86" s="206">
        <f t="shared" si="11"/>
        <v>0</v>
      </c>
      <c r="AL86" s="168"/>
      <c r="AM86" s="168"/>
      <c r="AN86" s="168"/>
      <c r="AO86" s="168"/>
      <c r="AP86" s="168"/>
      <c r="AQ86" s="168"/>
      <c r="AR86" s="168"/>
      <c r="AS86" s="168"/>
      <c r="AT86" s="168"/>
      <c r="AU86" s="168"/>
      <c r="AV86" s="168"/>
      <c r="AW86" s="168"/>
      <c r="AX86" s="168"/>
      <c r="AY86" s="168"/>
    </row>
    <row r="87" spans="1:51">
      <c r="A87" s="16" t="s">
        <v>32</v>
      </c>
      <c r="B87" s="163"/>
      <c r="C87" s="107"/>
      <c r="D87" s="23"/>
      <c r="E87" s="24"/>
      <c r="F87" s="24"/>
      <c r="G87" s="24"/>
      <c r="H87" s="24"/>
      <c r="I87" s="24"/>
      <c r="J87" s="24"/>
      <c r="K87" s="24"/>
      <c r="L87" s="24"/>
      <c r="M87" s="22"/>
      <c r="N87" s="23"/>
      <c r="O87" s="24"/>
      <c r="P87" s="24"/>
      <c r="Q87" s="24"/>
      <c r="R87" s="24"/>
      <c r="S87" s="24"/>
      <c r="T87" s="24"/>
      <c r="U87" s="24"/>
      <c r="V87" s="24"/>
      <c r="W87" s="22"/>
      <c r="X87" s="23"/>
      <c r="Y87" s="24"/>
      <c r="Z87" s="24"/>
      <c r="AA87" s="24"/>
      <c r="AB87" s="24"/>
      <c r="AC87" s="24"/>
      <c r="AD87" s="24"/>
      <c r="AE87" s="24"/>
      <c r="AF87" s="24"/>
      <c r="AG87" s="22"/>
      <c r="AH87" s="203" t="str">
        <f t="shared" si="8"/>
        <v/>
      </c>
      <c r="AI87" s="204" t="str">
        <f t="shared" si="9"/>
        <v/>
      </c>
      <c r="AJ87" s="205" t="str">
        <f t="shared" si="10"/>
        <v/>
      </c>
      <c r="AK87" s="206">
        <f t="shared" si="11"/>
        <v>0</v>
      </c>
      <c r="AL87" s="168"/>
      <c r="AM87" s="168"/>
      <c r="AN87" s="168"/>
      <c r="AO87" s="168"/>
      <c r="AP87" s="168"/>
      <c r="AQ87" s="168"/>
      <c r="AR87" s="168"/>
      <c r="AS87" s="168"/>
      <c r="AT87" s="168"/>
      <c r="AU87" s="168"/>
      <c r="AV87" s="168"/>
      <c r="AW87" s="168"/>
      <c r="AX87" s="168"/>
      <c r="AY87" s="168"/>
    </row>
    <row r="88" spans="1:51">
      <c r="A88" s="16" t="s">
        <v>32</v>
      </c>
      <c r="B88" s="163"/>
      <c r="C88" s="107"/>
      <c r="D88" s="23"/>
      <c r="E88" s="24"/>
      <c r="F88" s="24"/>
      <c r="G88" s="24"/>
      <c r="H88" s="24"/>
      <c r="I88" s="24"/>
      <c r="J88" s="24"/>
      <c r="K88" s="24"/>
      <c r="L88" s="24"/>
      <c r="M88" s="22"/>
      <c r="N88" s="23"/>
      <c r="O88" s="24"/>
      <c r="P88" s="24"/>
      <c r="Q88" s="24"/>
      <c r="R88" s="24"/>
      <c r="S88" s="24"/>
      <c r="T88" s="24"/>
      <c r="U88" s="24"/>
      <c r="V88" s="24"/>
      <c r="W88" s="22"/>
      <c r="X88" s="23"/>
      <c r="Y88" s="24"/>
      <c r="Z88" s="24"/>
      <c r="AA88" s="24"/>
      <c r="AB88" s="24"/>
      <c r="AC88" s="24"/>
      <c r="AD88" s="24"/>
      <c r="AE88" s="24"/>
      <c r="AF88" s="24"/>
      <c r="AG88" s="22"/>
      <c r="AH88" s="203" t="str">
        <f t="shared" si="8"/>
        <v/>
      </c>
      <c r="AI88" s="204" t="str">
        <f t="shared" si="9"/>
        <v/>
      </c>
      <c r="AJ88" s="205" t="str">
        <f t="shared" si="10"/>
        <v/>
      </c>
      <c r="AK88" s="206">
        <f t="shared" si="11"/>
        <v>0</v>
      </c>
      <c r="AL88" s="168"/>
      <c r="AM88" s="168"/>
      <c r="AN88" s="168"/>
      <c r="AO88" s="168"/>
      <c r="AP88" s="168"/>
      <c r="AQ88" s="168"/>
      <c r="AR88" s="168"/>
      <c r="AS88" s="168"/>
      <c r="AT88" s="168"/>
      <c r="AU88" s="168"/>
      <c r="AV88" s="168"/>
      <c r="AW88" s="168"/>
      <c r="AX88" s="168"/>
      <c r="AY88" s="168"/>
    </row>
    <row r="89" spans="1:51">
      <c r="A89" s="16" t="s">
        <v>32</v>
      </c>
      <c r="B89" s="163"/>
      <c r="C89" s="107"/>
      <c r="D89" s="23"/>
      <c r="E89" s="24"/>
      <c r="F89" s="24"/>
      <c r="G89" s="24"/>
      <c r="H89" s="24"/>
      <c r="I89" s="24"/>
      <c r="J89" s="24"/>
      <c r="K89" s="24"/>
      <c r="L89" s="24"/>
      <c r="M89" s="22"/>
      <c r="N89" s="23"/>
      <c r="O89" s="24"/>
      <c r="P89" s="24"/>
      <c r="Q89" s="24"/>
      <c r="R89" s="24"/>
      <c r="S89" s="24"/>
      <c r="T89" s="24"/>
      <c r="U89" s="24"/>
      <c r="V89" s="24"/>
      <c r="W89" s="22"/>
      <c r="X89" s="23"/>
      <c r="Y89" s="24"/>
      <c r="Z89" s="24"/>
      <c r="AA89" s="24"/>
      <c r="AB89" s="24"/>
      <c r="AC89" s="24"/>
      <c r="AD89" s="24"/>
      <c r="AE89" s="24"/>
      <c r="AF89" s="24"/>
      <c r="AG89" s="22"/>
      <c r="AH89" s="203" t="str">
        <f t="shared" si="8"/>
        <v/>
      </c>
      <c r="AI89" s="204" t="str">
        <f t="shared" si="9"/>
        <v/>
      </c>
      <c r="AJ89" s="205" t="str">
        <f t="shared" si="10"/>
        <v/>
      </c>
      <c r="AK89" s="206">
        <f t="shared" si="11"/>
        <v>0</v>
      </c>
      <c r="AL89" s="168"/>
      <c r="AM89" s="168"/>
      <c r="AN89" s="168"/>
      <c r="AO89" s="168"/>
      <c r="AP89" s="168"/>
      <c r="AQ89" s="168"/>
      <c r="AR89" s="168"/>
      <c r="AS89" s="168"/>
      <c r="AT89" s="168"/>
      <c r="AU89" s="168"/>
      <c r="AV89" s="168"/>
      <c r="AW89" s="168"/>
      <c r="AX89" s="168"/>
      <c r="AY89" s="168"/>
    </row>
    <row r="90" spans="1:51">
      <c r="A90" s="16" t="s">
        <v>32</v>
      </c>
      <c r="B90" s="163"/>
      <c r="C90" s="107"/>
      <c r="D90" s="23"/>
      <c r="E90" s="24"/>
      <c r="F90" s="24"/>
      <c r="G90" s="24"/>
      <c r="H90" s="24"/>
      <c r="I90" s="24"/>
      <c r="J90" s="24"/>
      <c r="K90" s="24"/>
      <c r="L90" s="24"/>
      <c r="M90" s="22"/>
      <c r="N90" s="23"/>
      <c r="O90" s="24"/>
      <c r="P90" s="24"/>
      <c r="Q90" s="24"/>
      <c r="R90" s="24"/>
      <c r="S90" s="24"/>
      <c r="T90" s="24"/>
      <c r="U90" s="24"/>
      <c r="V90" s="24"/>
      <c r="W90" s="22"/>
      <c r="X90" s="23"/>
      <c r="Y90" s="24"/>
      <c r="Z90" s="24"/>
      <c r="AA90" s="24"/>
      <c r="AB90" s="24"/>
      <c r="AC90" s="24"/>
      <c r="AD90" s="24"/>
      <c r="AE90" s="24"/>
      <c r="AF90" s="24"/>
      <c r="AG90" s="22"/>
      <c r="AH90" s="203" t="str">
        <f t="shared" si="8"/>
        <v/>
      </c>
      <c r="AI90" s="204" t="str">
        <f t="shared" si="9"/>
        <v/>
      </c>
      <c r="AJ90" s="205" t="str">
        <f t="shared" si="10"/>
        <v/>
      </c>
      <c r="AK90" s="206">
        <f t="shared" si="11"/>
        <v>0</v>
      </c>
      <c r="AL90" s="168"/>
      <c r="AM90" s="168"/>
      <c r="AN90" s="168"/>
      <c r="AO90" s="168"/>
      <c r="AP90" s="168"/>
      <c r="AQ90" s="168"/>
      <c r="AR90" s="168"/>
      <c r="AS90" s="168"/>
      <c r="AT90" s="168"/>
      <c r="AU90" s="168"/>
      <c r="AV90" s="168"/>
      <c r="AW90" s="168"/>
      <c r="AX90" s="168"/>
      <c r="AY90" s="168"/>
    </row>
    <row r="91" spans="1:51">
      <c r="A91" s="16" t="s">
        <v>32</v>
      </c>
      <c r="B91" s="163"/>
      <c r="C91" s="107"/>
      <c r="D91" s="23"/>
      <c r="E91" s="24"/>
      <c r="F91" s="24"/>
      <c r="G91" s="24"/>
      <c r="H91" s="24"/>
      <c r="I91" s="24"/>
      <c r="J91" s="24"/>
      <c r="K91" s="24"/>
      <c r="L91" s="24"/>
      <c r="M91" s="22"/>
      <c r="N91" s="23"/>
      <c r="O91" s="24"/>
      <c r="P91" s="24"/>
      <c r="Q91" s="24"/>
      <c r="R91" s="24"/>
      <c r="S91" s="24"/>
      <c r="T91" s="24"/>
      <c r="U91" s="24"/>
      <c r="V91" s="24"/>
      <c r="W91" s="22"/>
      <c r="X91" s="23"/>
      <c r="Y91" s="24"/>
      <c r="Z91" s="24"/>
      <c r="AA91" s="24"/>
      <c r="AB91" s="24"/>
      <c r="AC91" s="24"/>
      <c r="AD91" s="24"/>
      <c r="AE91" s="24"/>
      <c r="AF91" s="24"/>
      <c r="AG91" s="22"/>
      <c r="AH91" s="203" t="str">
        <f t="shared" si="8"/>
        <v/>
      </c>
      <c r="AI91" s="204" t="str">
        <f t="shared" si="9"/>
        <v/>
      </c>
      <c r="AJ91" s="205" t="str">
        <f t="shared" si="10"/>
        <v/>
      </c>
      <c r="AK91" s="206">
        <f t="shared" si="11"/>
        <v>0</v>
      </c>
      <c r="AL91" s="168"/>
      <c r="AM91" s="168"/>
      <c r="AN91" s="168"/>
      <c r="AO91" s="168"/>
      <c r="AP91" s="168"/>
      <c r="AQ91" s="168"/>
      <c r="AR91" s="168"/>
      <c r="AS91" s="168"/>
      <c r="AT91" s="168"/>
      <c r="AU91" s="168"/>
      <c r="AV91" s="168"/>
      <c r="AW91" s="168"/>
      <c r="AX91" s="168"/>
      <c r="AY91" s="168"/>
    </row>
    <row r="92" spans="1:51">
      <c r="A92" s="16" t="s">
        <v>32</v>
      </c>
      <c r="B92" s="163"/>
      <c r="C92" s="107"/>
      <c r="D92" s="23"/>
      <c r="E92" s="24"/>
      <c r="F92" s="24"/>
      <c r="G92" s="24"/>
      <c r="H92" s="24"/>
      <c r="I92" s="24"/>
      <c r="J92" s="24"/>
      <c r="K92" s="24"/>
      <c r="L92" s="24"/>
      <c r="M92" s="22"/>
      <c r="N92" s="23"/>
      <c r="O92" s="24"/>
      <c r="P92" s="24"/>
      <c r="Q92" s="24"/>
      <c r="R92" s="24"/>
      <c r="S92" s="24"/>
      <c r="T92" s="24"/>
      <c r="U92" s="24"/>
      <c r="V92" s="24"/>
      <c r="W92" s="22"/>
      <c r="X92" s="23"/>
      <c r="Y92" s="24"/>
      <c r="Z92" s="24"/>
      <c r="AA92" s="24"/>
      <c r="AB92" s="24"/>
      <c r="AC92" s="24"/>
      <c r="AD92" s="24"/>
      <c r="AE92" s="24"/>
      <c r="AF92" s="24"/>
      <c r="AG92" s="22"/>
      <c r="AH92" s="203" t="str">
        <f t="shared" si="8"/>
        <v/>
      </c>
      <c r="AI92" s="204" t="str">
        <f t="shared" si="9"/>
        <v/>
      </c>
      <c r="AJ92" s="205" t="str">
        <f t="shared" si="10"/>
        <v/>
      </c>
      <c r="AK92" s="206">
        <f t="shared" si="11"/>
        <v>0</v>
      </c>
      <c r="AL92" s="168"/>
      <c r="AM92" s="168"/>
      <c r="AN92" s="168"/>
      <c r="AO92" s="168"/>
      <c r="AP92" s="168"/>
      <c r="AQ92" s="168"/>
      <c r="AR92" s="168"/>
      <c r="AS92" s="168"/>
      <c r="AT92" s="168"/>
      <c r="AU92" s="168"/>
      <c r="AV92" s="168"/>
      <c r="AW92" s="168"/>
      <c r="AX92" s="168"/>
      <c r="AY92" s="168"/>
    </row>
    <row r="93" spans="1:51">
      <c r="A93" s="16" t="s">
        <v>32</v>
      </c>
      <c r="B93" s="163"/>
      <c r="C93" s="107"/>
      <c r="D93" s="23"/>
      <c r="E93" s="24"/>
      <c r="F93" s="24"/>
      <c r="G93" s="24"/>
      <c r="H93" s="24"/>
      <c r="I93" s="24"/>
      <c r="J93" s="24"/>
      <c r="K93" s="24"/>
      <c r="L93" s="24"/>
      <c r="M93" s="22"/>
      <c r="N93" s="23"/>
      <c r="O93" s="24"/>
      <c r="P93" s="24"/>
      <c r="Q93" s="24"/>
      <c r="R93" s="24"/>
      <c r="S93" s="24"/>
      <c r="T93" s="24"/>
      <c r="U93" s="24"/>
      <c r="V93" s="24"/>
      <c r="W93" s="22"/>
      <c r="X93" s="23"/>
      <c r="Y93" s="24"/>
      <c r="Z93" s="24"/>
      <c r="AA93" s="24"/>
      <c r="AB93" s="24"/>
      <c r="AC93" s="24"/>
      <c r="AD93" s="24"/>
      <c r="AE93" s="24"/>
      <c r="AF93" s="24"/>
      <c r="AG93" s="22"/>
      <c r="AH93" s="203" t="str">
        <f t="shared" si="8"/>
        <v/>
      </c>
      <c r="AI93" s="204" t="str">
        <f t="shared" si="9"/>
        <v/>
      </c>
      <c r="AJ93" s="205" t="str">
        <f t="shared" si="10"/>
        <v/>
      </c>
      <c r="AK93" s="206">
        <f t="shared" si="11"/>
        <v>0</v>
      </c>
      <c r="AL93" s="168"/>
      <c r="AM93" s="168"/>
      <c r="AN93" s="168"/>
      <c r="AO93" s="168"/>
      <c r="AP93" s="168"/>
      <c r="AQ93" s="168"/>
      <c r="AR93" s="168"/>
      <c r="AS93" s="168"/>
      <c r="AT93" s="168"/>
      <c r="AU93" s="168"/>
      <c r="AV93" s="168"/>
      <c r="AW93" s="168"/>
      <c r="AX93" s="168"/>
      <c r="AY93" s="168"/>
    </row>
    <row r="94" spans="1:51">
      <c r="A94" s="16" t="s">
        <v>32</v>
      </c>
      <c r="B94" s="163"/>
      <c r="C94" s="107"/>
      <c r="D94" s="23"/>
      <c r="E94" s="24"/>
      <c r="F94" s="24"/>
      <c r="G94" s="24"/>
      <c r="H94" s="24"/>
      <c r="I94" s="24"/>
      <c r="J94" s="24"/>
      <c r="K94" s="24"/>
      <c r="L94" s="24"/>
      <c r="M94" s="22"/>
      <c r="N94" s="23"/>
      <c r="O94" s="24"/>
      <c r="P94" s="24"/>
      <c r="Q94" s="24"/>
      <c r="R94" s="24"/>
      <c r="S94" s="24"/>
      <c r="T94" s="24"/>
      <c r="U94" s="24"/>
      <c r="V94" s="24"/>
      <c r="W94" s="22"/>
      <c r="X94" s="23"/>
      <c r="Y94" s="24"/>
      <c r="Z94" s="24"/>
      <c r="AA94" s="24"/>
      <c r="AB94" s="24"/>
      <c r="AC94" s="24"/>
      <c r="AD94" s="24"/>
      <c r="AE94" s="24"/>
      <c r="AF94" s="24"/>
      <c r="AG94" s="22"/>
      <c r="AH94" s="203" t="str">
        <f t="shared" si="8"/>
        <v/>
      </c>
      <c r="AI94" s="204" t="str">
        <f t="shared" si="9"/>
        <v/>
      </c>
      <c r="AJ94" s="205" t="str">
        <f t="shared" si="10"/>
        <v/>
      </c>
      <c r="AK94" s="206">
        <f t="shared" si="11"/>
        <v>0</v>
      </c>
      <c r="AL94" s="168"/>
      <c r="AM94" s="168"/>
      <c r="AN94" s="168"/>
      <c r="AO94" s="168"/>
      <c r="AP94" s="168"/>
      <c r="AQ94" s="168"/>
      <c r="AR94" s="168"/>
      <c r="AS94" s="168"/>
      <c r="AT94" s="168"/>
      <c r="AU94" s="168"/>
      <c r="AV94" s="168"/>
      <c r="AW94" s="168"/>
      <c r="AX94" s="168"/>
      <c r="AY94" s="168"/>
    </row>
    <row r="95" spans="1:51">
      <c r="A95" s="16" t="s">
        <v>32</v>
      </c>
      <c r="B95" s="163"/>
      <c r="C95" s="107"/>
      <c r="D95" s="23"/>
      <c r="E95" s="24"/>
      <c r="F95" s="24"/>
      <c r="G95" s="24"/>
      <c r="H95" s="24"/>
      <c r="I95" s="24"/>
      <c r="J95" s="24"/>
      <c r="K95" s="24"/>
      <c r="L95" s="24"/>
      <c r="M95" s="22"/>
      <c r="N95" s="23"/>
      <c r="O95" s="24"/>
      <c r="P95" s="24"/>
      <c r="Q95" s="24"/>
      <c r="R95" s="24"/>
      <c r="S95" s="24"/>
      <c r="T95" s="24"/>
      <c r="U95" s="24"/>
      <c r="V95" s="24"/>
      <c r="W95" s="22"/>
      <c r="X95" s="23"/>
      <c r="Y95" s="24"/>
      <c r="Z95" s="24"/>
      <c r="AA95" s="24"/>
      <c r="AB95" s="24"/>
      <c r="AC95" s="24"/>
      <c r="AD95" s="24"/>
      <c r="AE95" s="24"/>
      <c r="AF95" s="24"/>
      <c r="AG95" s="22"/>
      <c r="AH95" s="203" t="str">
        <f t="shared" si="8"/>
        <v/>
      </c>
      <c r="AI95" s="204" t="str">
        <f t="shared" si="9"/>
        <v/>
      </c>
      <c r="AJ95" s="205" t="str">
        <f t="shared" si="10"/>
        <v/>
      </c>
      <c r="AK95" s="206">
        <f t="shared" si="11"/>
        <v>0</v>
      </c>
      <c r="AL95" s="168"/>
      <c r="AM95" s="168"/>
      <c r="AN95" s="168"/>
      <c r="AO95" s="168"/>
      <c r="AP95" s="168"/>
      <c r="AQ95" s="168"/>
      <c r="AR95" s="168"/>
      <c r="AS95" s="168"/>
      <c r="AT95" s="168"/>
      <c r="AU95" s="168"/>
      <c r="AV95" s="168"/>
      <c r="AW95" s="168"/>
      <c r="AX95" s="168"/>
      <c r="AY95" s="168"/>
    </row>
    <row r="96" spans="1:51">
      <c r="A96" s="16" t="s">
        <v>32</v>
      </c>
      <c r="B96" s="163"/>
      <c r="C96" s="107"/>
      <c r="D96" s="23"/>
      <c r="E96" s="24"/>
      <c r="F96" s="24"/>
      <c r="G96" s="24"/>
      <c r="H96" s="24"/>
      <c r="I96" s="24"/>
      <c r="J96" s="24"/>
      <c r="K96" s="24"/>
      <c r="L96" s="24"/>
      <c r="M96" s="22"/>
      <c r="N96" s="23"/>
      <c r="O96" s="24"/>
      <c r="P96" s="24"/>
      <c r="Q96" s="24"/>
      <c r="R96" s="24"/>
      <c r="S96" s="24"/>
      <c r="T96" s="24"/>
      <c r="U96" s="24"/>
      <c r="V96" s="24"/>
      <c r="W96" s="22"/>
      <c r="X96" s="23"/>
      <c r="Y96" s="24"/>
      <c r="Z96" s="24"/>
      <c r="AA96" s="24"/>
      <c r="AB96" s="24"/>
      <c r="AC96" s="24"/>
      <c r="AD96" s="24"/>
      <c r="AE96" s="24"/>
      <c r="AF96" s="24"/>
      <c r="AG96" s="22"/>
      <c r="AH96" s="203" t="str">
        <f t="shared" si="8"/>
        <v/>
      </c>
      <c r="AI96" s="204" t="str">
        <f t="shared" si="9"/>
        <v/>
      </c>
      <c r="AJ96" s="205" t="str">
        <f t="shared" si="10"/>
        <v/>
      </c>
      <c r="AK96" s="206">
        <f t="shared" si="11"/>
        <v>0</v>
      </c>
      <c r="AL96" s="168"/>
      <c r="AM96" s="168"/>
      <c r="AN96" s="168"/>
      <c r="AO96" s="168"/>
      <c r="AP96" s="168"/>
      <c r="AQ96" s="168"/>
      <c r="AR96" s="168"/>
      <c r="AS96" s="168"/>
      <c r="AT96" s="168"/>
      <c r="AU96" s="168"/>
      <c r="AV96" s="168"/>
      <c r="AW96" s="168"/>
      <c r="AX96" s="168"/>
      <c r="AY96" s="168"/>
    </row>
    <row r="97" spans="1:51">
      <c r="A97" s="16" t="s">
        <v>32</v>
      </c>
      <c r="B97" s="163"/>
      <c r="C97" s="107"/>
      <c r="D97" s="23"/>
      <c r="E97" s="24"/>
      <c r="F97" s="24"/>
      <c r="G97" s="24"/>
      <c r="H97" s="24"/>
      <c r="I97" s="24"/>
      <c r="J97" s="24"/>
      <c r="K97" s="24"/>
      <c r="L97" s="24"/>
      <c r="M97" s="22"/>
      <c r="N97" s="23"/>
      <c r="O97" s="24"/>
      <c r="P97" s="24"/>
      <c r="Q97" s="24"/>
      <c r="R97" s="24"/>
      <c r="S97" s="24"/>
      <c r="T97" s="24"/>
      <c r="U97" s="24"/>
      <c r="V97" s="24"/>
      <c r="W97" s="22"/>
      <c r="X97" s="23"/>
      <c r="Y97" s="24"/>
      <c r="Z97" s="24"/>
      <c r="AA97" s="24"/>
      <c r="AB97" s="24"/>
      <c r="AC97" s="24"/>
      <c r="AD97" s="24"/>
      <c r="AE97" s="24"/>
      <c r="AF97" s="24"/>
      <c r="AG97" s="22"/>
      <c r="AH97" s="203" t="str">
        <f t="shared" si="8"/>
        <v/>
      </c>
      <c r="AI97" s="204" t="str">
        <f t="shared" si="9"/>
        <v/>
      </c>
      <c r="AJ97" s="205" t="str">
        <f t="shared" si="10"/>
        <v/>
      </c>
      <c r="AK97" s="206">
        <f t="shared" si="11"/>
        <v>0</v>
      </c>
      <c r="AL97" s="168"/>
      <c r="AM97" s="168"/>
      <c r="AN97" s="168"/>
      <c r="AO97" s="168"/>
      <c r="AP97" s="168"/>
      <c r="AQ97" s="168"/>
      <c r="AR97" s="168"/>
      <c r="AS97" s="168"/>
      <c r="AT97" s="168"/>
      <c r="AU97" s="168"/>
      <c r="AV97" s="168"/>
      <c r="AW97" s="168"/>
      <c r="AX97" s="168"/>
      <c r="AY97" s="168"/>
    </row>
    <row r="98" spans="1:51">
      <c r="A98" s="16" t="s">
        <v>32</v>
      </c>
      <c r="B98" s="163"/>
      <c r="C98" s="107"/>
      <c r="D98" s="23"/>
      <c r="E98" s="24"/>
      <c r="F98" s="24"/>
      <c r="G98" s="24"/>
      <c r="H98" s="24"/>
      <c r="I98" s="24"/>
      <c r="J98" s="24"/>
      <c r="K98" s="24"/>
      <c r="L98" s="24"/>
      <c r="M98" s="22"/>
      <c r="N98" s="23"/>
      <c r="O98" s="24"/>
      <c r="P98" s="24"/>
      <c r="Q98" s="24"/>
      <c r="R98" s="24"/>
      <c r="S98" s="24"/>
      <c r="T98" s="24"/>
      <c r="U98" s="24"/>
      <c r="V98" s="24"/>
      <c r="W98" s="22"/>
      <c r="X98" s="23"/>
      <c r="Y98" s="24"/>
      <c r="Z98" s="24"/>
      <c r="AA98" s="24"/>
      <c r="AB98" s="24"/>
      <c r="AC98" s="24"/>
      <c r="AD98" s="24"/>
      <c r="AE98" s="24"/>
      <c r="AF98" s="24"/>
      <c r="AG98" s="22"/>
      <c r="AH98" s="203" t="str">
        <f t="shared" si="8"/>
        <v/>
      </c>
      <c r="AI98" s="204" t="str">
        <f t="shared" si="9"/>
        <v/>
      </c>
      <c r="AJ98" s="205" t="str">
        <f t="shared" si="10"/>
        <v/>
      </c>
      <c r="AK98" s="206">
        <f t="shared" si="11"/>
        <v>0</v>
      </c>
      <c r="AL98" s="168"/>
      <c r="AM98" s="168"/>
      <c r="AN98" s="168"/>
      <c r="AO98" s="168"/>
      <c r="AP98" s="168"/>
      <c r="AQ98" s="168"/>
      <c r="AR98" s="168"/>
      <c r="AS98" s="168"/>
      <c r="AT98" s="168"/>
      <c r="AU98" s="168"/>
      <c r="AV98" s="168"/>
      <c r="AW98" s="168"/>
      <c r="AX98" s="168"/>
      <c r="AY98" s="168"/>
    </row>
    <row r="99" spans="1:51">
      <c r="A99" s="16" t="s">
        <v>32</v>
      </c>
      <c r="B99" s="163"/>
      <c r="C99" s="107"/>
      <c r="D99" s="23"/>
      <c r="E99" s="24"/>
      <c r="F99" s="24"/>
      <c r="G99" s="24"/>
      <c r="H99" s="24"/>
      <c r="I99" s="24"/>
      <c r="J99" s="24"/>
      <c r="K99" s="24"/>
      <c r="L99" s="24"/>
      <c r="M99" s="22"/>
      <c r="N99" s="23"/>
      <c r="O99" s="24"/>
      <c r="P99" s="24"/>
      <c r="Q99" s="24"/>
      <c r="R99" s="24"/>
      <c r="S99" s="24"/>
      <c r="T99" s="24"/>
      <c r="U99" s="24"/>
      <c r="V99" s="24"/>
      <c r="W99" s="22"/>
      <c r="X99" s="23"/>
      <c r="Y99" s="24"/>
      <c r="Z99" s="24"/>
      <c r="AA99" s="24"/>
      <c r="AB99" s="24"/>
      <c r="AC99" s="24"/>
      <c r="AD99" s="24"/>
      <c r="AE99" s="24"/>
      <c r="AF99" s="24"/>
      <c r="AG99" s="22"/>
      <c r="AH99" s="203" t="str">
        <f t="shared" si="8"/>
        <v/>
      </c>
      <c r="AI99" s="204" t="str">
        <f t="shared" si="9"/>
        <v/>
      </c>
      <c r="AJ99" s="205" t="str">
        <f t="shared" si="10"/>
        <v/>
      </c>
      <c r="AK99" s="206">
        <f t="shared" si="11"/>
        <v>0</v>
      </c>
      <c r="AL99" s="168"/>
      <c r="AM99" s="168"/>
      <c r="AN99" s="168"/>
      <c r="AO99" s="168"/>
      <c r="AP99" s="168"/>
      <c r="AQ99" s="168"/>
      <c r="AR99" s="168"/>
      <c r="AS99" s="168"/>
      <c r="AT99" s="168"/>
      <c r="AU99" s="168"/>
      <c r="AV99" s="168"/>
      <c r="AW99" s="168"/>
      <c r="AX99" s="168"/>
      <c r="AY99" s="168"/>
    </row>
    <row r="100" spans="1:51">
      <c r="A100" s="16" t="s">
        <v>32</v>
      </c>
      <c r="B100" s="163"/>
      <c r="C100" s="107"/>
      <c r="D100" s="23"/>
      <c r="E100" s="24"/>
      <c r="F100" s="24"/>
      <c r="G100" s="24"/>
      <c r="H100" s="24"/>
      <c r="I100" s="24"/>
      <c r="J100" s="24"/>
      <c r="K100" s="24"/>
      <c r="L100" s="24"/>
      <c r="M100" s="22"/>
      <c r="N100" s="23"/>
      <c r="O100" s="24"/>
      <c r="P100" s="24"/>
      <c r="Q100" s="24"/>
      <c r="R100" s="24"/>
      <c r="S100" s="24"/>
      <c r="T100" s="24"/>
      <c r="U100" s="24"/>
      <c r="V100" s="24"/>
      <c r="W100" s="22"/>
      <c r="X100" s="23"/>
      <c r="Y100" s="24"/>
      <c r="Z100" s="24"/>
      <c r="AA100" s="24"/>
      <c r="AB100" s="24"/>
      <c r="AC100" s="24"/>
      <c r="AD100" s="24"/>
      <c r="AE100" s="24"/>
      <c r="AF100" s="24"/>
      <c r="AG100" s="22"/>
      <c r="AH100" s="203" t="str">
        <f t="shared" si="8"/>
        <v/>
      </c>
      <c r="AI100" s="204" t="str">
        <f t="shared" si="9"/>
        <v/>
      </c>
      <c r="AJ100" s="205" t="str">
        <f t="shared" si="10"/>
        <v/>
      </c>
      <c r="AK100" s="206">
        <f t="shared" si="11"/>
        <v>0</v>
      </c>
      <c r="AL100" s="168"/>
      <c r="AM100" s="168"/>
      <c r="AN100" s="168"/>
      <c r="AO100" s="168"/>
      <c r="AP100" s="168"/>
      <c r="AQ100" s="168"/>
      <c r="AR100" s="168"/>
      <c r="AS100" s="168"/>
      <c r="AT100" s="168"/>
      <c r="AU100" s="168"/>
      <c r="AV100" s="168"/>
      <c r="AW100" s="168"/>
      <c r="AX100" s="168"/>
      <c r="AY100" s="168"/>
    </row>
    <row r="101" spans="1:51">
      <c r="A101" s="16" t="s">
        <v>32</v>
      </c>
      <c r="B101" s="163"/>
      <c r="C101" s="107"/>
      <c r="D101" s="23"/>
      <c r="E101" s="24"/>
      <c r="F101" s="24"/>
      <c r="G101" s="24"/>
      <c r="H101" s="24"/>
      <c r="I101" s="24"/>
      <c r="J101" s="24"/>
      <c r="K101" s="24"/>
      <c r="L101" s="24"/>
      <c r="M101" s="22"/>
      <c r="N101" s="23"/>
      <c r="O101" s="24"/>
      <c r="P101" s="24"/>
      <c r="Q101" s="24"/>
      <c r="R101" s="24"/>
      <c r="S101" s="24"/>
      <c r="T101" s="24"/>
      <c r="U101" s="24"/>
      <c r="V101" s="24"/>
      <c r="W101" s="22"/>
      <c r="X101" s="23"/>
      <c r="Y101" s="24"/>
      <c r="Z101" s="24"/>
      <c r="AA101" s="24"/>
      <c r="AB101" s="24"/>
      <c r="AC101" s="24"/>
      <c r="AD101" s="24"/>
      <c r="AE101" s="24"/>
      <c r="AF101" s="24"/>
      <c r="AG101" s="22"/>
      <c r="AH101" s="203" t="str">
        <f t="shared" si="8"/>
        <v/>
      </c>
      <c r="AI101" s="204" t="str">
        <f t="shared" si="9"/>
        <v/>
      </c>
      <c r="AJ101" s="205" t="str">
        <f t="shared" si="10"/>
        <v/>
      </c>
      <c r="AK101" s="206">
        <f t="shared" si="11"/>
        <v>0</v>
      </c>
      <c r="AL101" s="168"/>
      <c r="AM101" s="168"/>
      <c r="AN101" s="168"/>
      <c r="AO101" s="168"/>
      <c r="AP101" s="168"/>
      <c r="AQ101" s="168"/>
      <c r="AR101" s="168"/>
      <c r="AS101" s="168"/>
      <c r="AT101" s="168"/>
      <c r="AU101" s="168"/>
      <c r="AV101" s="168"/>
      <c r="AW101" s="168"/>
      <c r="AX101" s="168"/>
      <c r="AY101" s="168"/>
    </row>
    <row r="102" spans="1:51">
      <c r="A102" s="16" t="s">
        <v>32</v>
      </c>
      <c r="B102" s="163"/>
      <c r="C102" s="107"/>
      <c r="D102" s="23"/>
      <c r="E102" s="24"/>
      <c r="F102" s="24"/>
      <c r="G102" s="24"/>
      <c r="H102" s="24"/>
      <c r="I102" s="24"/>
      <c r="J102" s="24"/>
      <c r="K102" s="24"/>
      <c r="L102" s="24"/>
      <c r="M102" s="22"/>
      <c r="N102" s="23"/>
      <c r="O102" s="24"/>
      <c r="P102" s="24"/>
      <c r="Q102" s="24"/>
      <c r="R102" s="24"/>
      <c r="S102" s="24"/>
      <c r="T102" s="24"/>
      <c r="U102" s="24"/>
      <c r="V102" s="24"/>
      <c r="W102" s="22"/>
      <c r="X102" s="23"/>
      <c r="Y102" s="24"/>
      <c r="Z102" s="24"/>
      <c r="AA102" s="24"/>
      <c r="AB102" s="24"/>
      <c r="AC102" s="24"/>
      <c r="AD102" s="24"/>
      <c r="AE102" s="24"/>
      <c r="AF102" s="24"/>
      <c r="AG102" s="22"/>
      <c r="AH102" s="203" t="str">
        <f t="shared" si="8"/>
        <v/>
      </c>
      <c r="AI102" s="204" t="str">
        <f t="shared" si="9"/>
        <v/>
      </c>
      <c r="AJ102" s="205" t="str">
        <f t="shared" si="10"/>
        <v/>
      </c>
      <c r="AK102" s="206">
        <f t="shared" si="11"/>
        <v>0</v>
      </c>
      <c r="AL102" s="168"/>
      <c r="AM102" s="168"/>
      <c r="AN102" s="168"/>
      <c r="AO102" s="168"/>
      <c r="AP102" s="168"/>
      <c r="AQ102" s="168"/>
      <c r="AR102" s="168"/>
      <c r="AS102" s="168"/>
      <c r="AT102" s="168"/>
      <c r="AU102" s="168"/>
      <c r="AV102" s="168"/>
      <c r="AW102" s="168"/>
      <c r="AX102" s="168"/>
      <c r="AY102" s="168"/>
    </row>
    <row r="103" spans="1:51">
      <c r="A103" s="16" t="s">
        <v>32</v>
      </c>
      <c r="B103" s="163"/>
      <c r="C103" s="107"/>
      <c r="D103" s="23"/>
      <c r="E103" s="24"/>
      <c r="F103" s="24"/>
      <c r="G103" s="24"/>
      <c r="H103" s="24"/>
      <c r="I103" s="24"/>
      <c r="J103" s="24"/>
      <c r="K103" s="24"/>
      <c r="L103" s="24"/>
      <c r="M103" s="22"/>
      <c r="N103" s="23"/>
      <c r="O103" s="24"/>
      <c r="P103" s="24"/>
      <c r="Q103" s="24"/>
      <c r="R103" s="24"/>
      <c r="S103" s="24"/>
      <c r="T103" s="24"/>
      <c r="U103" s="24"/>
      <c r="V103" s="24"/>
      <c r="W103" s="22"/>
      <c r="X103" s="23"/>
      <c r="Y103" s="24"/>
      <c r="Z103" s="24"/>
      <c r="AA103" s="24"/>
      <c r="AB103" s="24"/>
      <c r="AC103" s="24"/>
      <c r="AD103" s="24"/>
      <c r="AE103" s="24"/>
      <c r="AF103" s="24"/>
      <c r="AG103" s="22"/>
      <c r="AH103" s="203" t="str">
        <f t="shared" si="8"/>
        <v/>
      </c>
      <c r="AI103" s="204" t="str">
        <f t="shared" si="9"/>
        <v/>
      </c>
      <c r="AJ103" s="205" t="str">
        <f t="shared" si="10"/>
        <v/>
      </c>
      <c r="AK103" s="206">
        <f t="shared" si="11"/>
        <v>0</v>
      </c>
      <c r="AL103" s="168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8"/>
      <c r="AW103" s="168"/>
      <c r="AX103" s="168"/>
      <c r="AY103" s="168"/>
    </row>
    <row r="104" spans="1:51" ht="13" thickBot="1">
      <c r="A104" s="17" t="s">
        <v>32</v>
      </c>
      <c r="B104" s="164"/>
      <c r="C104" s="117"/>
      <c r="D104" s="31"/>
      <c r="E104" s="32"/>
      <c r="F104" s="32"/>
      <c r="G104" s="32"/>
      <c r="H104" s="32"/>
      <c r="I104" s="32"/>
      <c r="J104" s="32"/>
      <c r="K104" s="32"/>
      <c r="L104" s="32"/>
      <c r="M104" s="30"/>
      <c r="N104" s="31"/>
      <c r="O104" s="32"/>
      <c r="P104" s="32"/>
      <c r="Q104" s="32"/>
      <c r="R104" s="32"/>
      <c r="S104" s="32"/>
      <c r="T104" s="32"/>
      <c r="U104" s="32"/>
      <c r="V104" s="32"/>
      <c r="W104" s="30"/>
      <c r="X104" s="31"/>
      <c r="Y104" s="32"/>
      <c r="Z104" s="32"/>
      <c r="AA104" s="32"/>
      <c r="AB104" s="32"/>
      <c r="AC104" s="32"/>
      <c r="AD104" s="32"/>
      <c r="AE104" s="32"/>
      <c r="AF104" s="32"/>
      <c r="AG104" s="30"/>
      <c r="AH104" s="207" t="str">
        <f t="shared" si="8"/>
        <v/>
      </c>
      <c r="AI104" s="208" t="str">
        <f t="shared" si="9"/>
        <v/>
      </c>
      <c r="AJ104" s="185" t="str">
        <f t="shared" si="10"/>
        <v/>
      </c>
      <c r="AK104" s="209">
        <f t="shared" si="11"/>
        <v>0</v>
      </c>
      <c r="AL104" s="168"/>
      <c r="AM104" s="168"/>
      <c r="AN104" s="168"/>
      <c r="AO104" s="168"/>
      <c r="AP104" s="168"/>
      <c r="AQ104" s="168"/>
      <c r="AR104" s="168"/>
      <c r="AS104" s="168"/>
      <c r="AT104" s="168"/>
      <c r="AU104" s="168"/>
      <c r="AV104" s="168"/>
      <c r="AW104" s="168"/>
      <c r="AX104" s="168"/>
      <c r="AY104" s="168"/>
    </row>
    <row r="105" spans="1:51" ht="13" thickBot="1">
      <c r="A105" s="294" t="s">
        <v>34</v>
      </c>
      <c r="B105" s="154"/>
      <c r="C105" s="154"/>
      <c r="D105" s="92"/>
      <c r="E105" s="93"/>
      <c r="F105" s="93"/>
      <c r="G105" s="93"/>
      <c r="H105" s="93"/>
      <c r="I105" s="93"/>
      <c r="J105" s="93"/>
      <c r="K105" s="93"/>
      <c r="L105" s="93"/>
      <c r="M105" s="96"/>
      <c r="N105" s="92"/>
      <c r="O105" s="93"/>
      <c r="P105" s="93"/>
      <c r="Q105" s="93"/>
      <c r="R105" s="93"/>
      <c r="S105" s="93"/>
      <c r="T105" s="93"/>
      <c r="U105" s="93"/>
      <c r="V105" s="93"/>
      <c r="W105" s="96"/>
      <c r="X105" s="354"/>
      <c r="Y105" s="355"/>
      <c r="Z105" s="355"/>
      <c r="AA105" s="355"/>
      <c r="AB105" s="355"/>
      <c r="AC105" s="355"/>
      <c r="AD105" s="355"/>
      <c r="AE105" s="355"/>
      <c r="AF105" s="355"/>
      <c r="AG105" s="356"/>
      <c r="AH105" s="304" t="s">
        <v>49</v>
      </c>
      <c r="AI105" s="305" t="s">
        <v>50</v>
      </c>
      <c r="AJ105" s="308" t="s">
        <v>51</v>
      </c>
      <c r="AK105" s="210"/>
      <c r="AL105" s="168"/>
      <c r="AM105" s="168"/>
      <c r="AN105" s="168"/>
      <c r="AO105" s="168"/>
      <c r="AP105" s="168"/>
      <c r="AQ105" s="168"/>
      <c r="AR105" s="168"/>
      <c r="AS105" s="168"/>
      <c r="AT105" s="168"/>
      <c r="AU105" s="168"/>
      <c r="AV105" s="168"/>
      <c r="AW105" s="168"/>
      <c r="AX105" s="168"/>
      <c r="AY105" s="168"/>
    </row>
    <row r="106" spans="1:51">
      <c r="A106" s="15" t="s">
        <v>34</v>
      </c>
      <c r="B106" s="163">
        <v>41072</v>
      </c>
      <c r="C106" s="107" t="s">
        <v>95</v>
      </c>
      <c r="D106" s="23">
        <v>0</v>
      </c>
      <c r="E106" s="24">
        <v>0</v>
      </c>
      <c r="F106" s="24">
        <v>0</v>
      </c>
      <c r="G106" s="24">
        <v>0</v>
      </c>
      <c r="H106" s="24">
        <v>0</v>
      </c>
      <c r="I106" s="24">
        <v>0</v>
      </c>
      <c r="J106" s="24">
        <v>0</v>
      </c>
      <c r="K106" s="24">
        <v>0</v>
      </c>
      <c r="L106" s="24">
        <v>0</v>
      </c>
      <c r="M106" s="22">
        <v>0</v>
      </c>
      <c r="N106" s="23"/>
      <c r="O106" s="24"/>
      <c r="P106" s="24"/>
      <c r="Q106" s="24"/>
      <c r="R106" s="24"/>
      <c r="S106" s="24"/>
      <c r="T106" s="24"/>
      <c r="U106" s="24"/>
      <c r="V106" s="24"/>
      <c r="W106" s="22"/>
      <c r="X106" s="23"/>
      <c r="Y106" s="24"/>
      <c r="Z106" s="24"/>
      <c r="AA106" s="24"/>
      <c r="AB106" s="24"/>
      <c r="AC106" s="24"/>
      <c r="AD106" s="24"/>
      <c r="AE106" s="24"/>
      <c r="AF106" s="24"/>
      <c r="AG106" s="22"/>
      <c r="AH106" s="199">
        <f t="shared" ref="AH106:AH135" si="12">IF(COUNT(D106:M106)=0,"",AVERAGE(D106:M106))</f>
        <v>0</v>
      </c>
      <c r="AI106" s="200" t="str">
        <f t="shared" ref="AI106:AI135" si="13">IF(COUNT(N106:W106)=0,"",AVERAGE(N106:W106))</f>
        <v/>
      </c>
      <c r="AJ106" s="200" t="str">
        <f t="shared" ref="AJ106:AJ135" si="14">IF(COUNT(X106:AG106)=0,"",AVERAGE(X106:AG106))</f>
        <v/>
      </c>
      <c r="AK106" s="202">
        <f t="shared" ref="AK106:AK135" si="15">IF(ISNUMBER(AH106),AH106,0)+IF(ISNUMBER(AI106),AI106,0)+IF(ISNUMBER(AJ106),AJ106,0)</f>
        <v>0</v>
      </c>
      <c r="AL106" s="168"/>
      <c r="AM106" s="168"/>
      <c r="AN106" s="168"/>
      <c r="AO106" s="168"/>
      <c r="AP106" s="168"/>
      <c r="AQ106" s="168"/>
      <c r="AR106" s="168"/>
      <c r="AS106" s="168"/>
      <c r="AT106" s="168"/>
      <c r="AU106" s="168"/>
      <c r="AV106" s="168"/>
      <c r="AW106" s="168"/>
      <c r="AX106" s="168"/>
      <c r="AY106" s="168"/>
    </row>
    <row r="107" spans="1:51">
      <c r="A107" s="16" t="s">
        <v>34</v>
      </c>
      <c r="B107" s="163">
        <v>41078</v>
      </c>
      <c r="C107" s="107" t="s">
        <v>95</v>
      </c>
      <c r="D107" s="23">
        <v>0</v>
      </c>
      <c r="E107" s="24">
        <v>0</v>
      </c>
      <c r="F107" s="24">
        <v>0</v>
      </c>
      <c r="G107" s="24">
        <v>0</v>
      </c>
      <c r="H107" s="24">
        <v>0</v>
      </c>
      <c r="I107" s="24">
        <v>0</v>
      </c>
      <c r="J107" s="24">
        <v>0</v>
      </c>
      <c r="K107" s="24">
        <v>0</v>
      </c>
      <c r="L107" s="24">
        <v>0</v>
      </c>
      <c r="M107" s="22">
        <v>0</v>
      </c>
      <c r="N107" s="23"/>
      <c r="O107" s="24"/>
      <c r="P107" s="24"/>
      <c r="Q107" s="24"/>
      <c r="R107" s="24"/>
      <c r="S107" s="24"/>
      <c r="T107" s="24"/>
      <c r="U107" s="24"/>
      <c r="V107" s="24"/>
      <c r="W107" s="22"/>
      <c r="X107" s="23"/>
      <c r="Y107" s="24"/>
      <c r="Z107" s="24"/>
      <c r="AA107" s="24"/>
      <c r="AB107" s="24"/>
      <c r="AC107" s="24"/>
      <c r="AD107" s="24"/>
      <c r="AE107" s="24"/>
      <c r="AF107" s="24"/>
      <c r="AG107" s="22"/>
      <c r="AH107" s="203">
        <f t="shared" si="12"/>
        <v>0</v>
      </c>
      <c r="AI107" s="204" t="str">
        <f t="shared" si="13"/>
        <v/>
      </c>
      <c r="AJ107" s="205" t="str">
        <f t="shared" si="14"/>
        <v/>
      </c>
      <c r="AK107" s="206">
        <f t="shared" si="15"/>
        <v>0</v>
      </c>
      <c r="AL107" s="168"/>
      <c r="AM107" s="168"/>
      <c r="AN107" s="168"/>
      <c r="AO107" s="168"/>
      <c r="AP107" s="168"/>
      <c r="AQ107" s="168"/>
      <c r="AR107" s="168"/>
      <c r="AS107" s="168"/>
      <c r="AT107" s="168"/>
      <c r="AU107" s="168"/>
      <c r="AV107" s="168"/>
      <c r="AW107" s="168"/>
      <c r="AX107" s="168"/>
      <c r="AY107" s="168"/>
    </row>
    <row r="108" spans="1:51">
      <c r="A108" s="16" t="s">
        <v>34</v>
      </c>
      <c r="B108" s="163"/>
      <c r="C108" s="107"/>
      <c r="D108" s="23"/>
      <c r="E108" s="24"/>
      <c r="F108" s="24"/>
      <c r="G108" s="24"/>
      <c r="H108" s="24"/>
      <c r="I108" s="24"/>
      <c r="J108" s="24"/>
      <c r="K108" s="24"/>
      <c r="L108" s="24"/>
      <c r="M108" s="22"/>
      <c r="N108" s="23"/>
      <c r="O108" s="24"/>
      <c r="P108" s="24"/>
      <c r="Q108" s="24"/>
      <c r="R108" s="24"/>
      <c r="S108" s="24"/>
      <c r="T108" s="24"/>
      <c r="U108" s="24"/>
      <c r="V108" s="24"/>
      <c r="W108" s="22"/>
      <c r="X108" s="23"/>
      <c r="Y108" s="24"/>
      <c r="Z108" s="24"/>
      <c r="AA108" s="24"/>
      <c r="AB108" s="24"/>
      <c r="AC108" s="24"/>
      <c r="AD108" s="24"/>
      <c r="AE108" s="24"/>
      <c r="AF108" s="24"/>
      <c r="AG108" s="22"/>
      <c r="AH108" s="203" t="str">
        <f t="shared" si="12"/>
        <v/>
      </c>
      <c r="AI108" s="204" t="str">
        <f t="shared" si="13"/>
        <v/>
      </c>
      <c r="AJ108" s="205" t="str">
        <f t="shared" si="14"/>
        <v/>
      </c>
      <c r="AK108" s="206">
        <f t="shared" si="15"/>
        <v>0</v>
      </c>
      <c r="AL108" s="168"/>
      <c r="AM108" s="168"/>
      <c r="AN108" s="168"/>
      <c r="AO108" s="168"/>
      <c r="AP108" s="168"/>
      <c r="AQ108" s="168"/>
      <c r="AR108" s="168"/>
      <c r="AS108" s="168"/>
      <c r="AT108" s="168"/>
      <c r="AU108" s="168"/>
      <c r="AV108" s="168"/>
      <c r="AW108" s="168"/>
      <c r="AX108" s="168"/>
      <c r="AY108" s="168"/>
    </row>
    <row r="109" spans="1:51">
      <c r="A109" s="16" t="s">
        <v>34</v>
      </c>
      <c r="B109" s="163"/>
      <c r="C109" s="107"/>
      <c r="D109" s="23"/>
      <c r="E109" s="24"/>
      <c r="F109" s="24"/>
      <c r="G109" s="24"/>
      <c r="H109" s="24"/>
      <c r="I109" s="24"/>
      <c r="J109" s="24"/>
      <c r="K109" s="24"/>
      <c r="L109" s="24"/>
      <c r="M109" s="22"/>
      <c r="N109" s="23"/>
      <c r="O109" s="24"/>
      <c r="P109" s="24"/>
      <c r="Q109" s="24"/>
      <c r="R109" s="24"/>
      <c r="S109" s="24"/>
      <c r="T109" s="24"/>
      <c r="U109" s="24"/>
      <c r="V109" s="24"/>
      <c r="W109" s="22"/>
      <c r="X109" s="23"/>
      <c r="Y109" s="24"/>
      <c r="Z109" s="24"/>
      <c r="AA109" s="24"/>
      <c r="AB109" s="24"/>
      <c r="AC109" s="24"/>
      <c r="AD109" s="24"/>
      <c r="AE109" s="24"/>
      <c r="AF109" s="24"/>
      <c r="AG109" s="22"/>
      <c r="AH109" s="203" t="str">
        <f t="shared" si="12"/>
        <v/>
      </c>
      <c r="AI109" s="204" t="str">
        <f t="shared" si="13"/>
        <v/>
      </c>
      <c r="AJ109" s="205" t="str">
        <f t="shared" si="14"/>
        <v/>
      </c>
      <c r="AK109" s="206">
        <f t="shared" si="15"/>
        <v>0</v>
      </c>
      <c r="AL109" s="168"/>
      <c r="AM109" s="168"/>
      <c r="AN109" s="168"/>
      <c r="AO109" s="168"/>
      <c r="AP109" s="168"/>
      <c r="AQ109" s="168"/>
      <c r="AR109" s="168"/>
      <c r="AS109" s="168"/>
      <c r="AT109" s="168"/>
      <c r="AU109" s="168"/>
      <c r="AV109" s="168"/>
      <c r="AW109" s="168"/>
      <c r="AX109" s="168"/>
      <c r="AY109" s="168"/>
    </row>
    <row r="110" spans="1:51">
      <c r="A110" s="16" t="s">
        <v>34</v>
      </c>
      <c r="B110" s="163"/>
      <c r="C110" s="107"/>
      <c r="D110" s="23"/>
      <c r="E110" s="24"/>
      <c r="F110" s="24"/>
      <c r="G110" s="24"/>
      <c r="H110" s="24"/>
      <c r="I110" s="24"/>
      <c r="J110" s="24"/>
      <c r="K110" s="24"/>
      <c r="L110" s="24"/>
      <c r="M110" s="22"/>
      <c r="N110" s="23"/>
      <c r="O110" s="24"/>
      <c r="P110" s="24"/>
      <c r="Q110" s="24"/>
      <c r="R110" s="24"/>
      <c r="S110" s="24"/>
      <c r="T110" s="24"/>
      <c r="U110" s="24"/>
      <c r="V110" s="24"/>
      <c r="W110" s="22"/>
      <c r="X110" s="23"/>
      <c r="Y110" s="24"/>
      <c r="Z110" s="24"/>
      <c r="AA110" s="24"/>
      <c r="AB110" s="24"/>
      <c r="AC110" s="24"/>
      <c r="AD110" s="24"/>
      <c r="AE110" s="24"/>
      <c r="AF110" s="24"/>
      <c r="AG110" s="22"/>
      <c r="AH110" s="203" t="str">
        <f t="shared" si="12"/>
        <v/>
      </c>
      <c r="AI110" s="204" t="str">
        <f t="shared" si="13"/>
        <v/>
      </c>
      <c r="AJ110" s="205" t="str">
        <f t="shared" si="14"/>
        <v/>
      </c>
      <c r="AK110" s="206">
        <f t="shared" si="15"/>
        <v>0</v>
      </c>
      <c r="AL110" s="168"/>
      <c r="AM110" s="168"/>
      <c r="AN110" s="168"/>
      <c r="AO110" s="168"/>
      <c r="AP110" s="168"/>
      <c r="AQ110" s="168"/>
      <c r="AR110" s="168"/>
      <c r="AS110" s="168"/>
      <c r="AT110" s="168"/>
      <c r="AU110" s="168"/>
      <c r="AV110" s="168"/>
      <c r="AW110" s="168"/>
      <c r="AX110" s="168"/>
      <c r="AY110" s="168"/>
    </row>
    <row r="111" spans="1:51">
      <c r="A111" s="16" t="s">
        <v>34</v>
      </c>
      <c r="B111" s="163"/>
      <c r="C111" s="107"/>
      <c r="D111" s="23"/>
      <c r="E111" s="24"/>
      <c r="F111" s="24"/>
      <c r="G111" s="24"/>
      <c r="H111" s="24"/>
      <c r="I111" s="24"/>
      <c r="J111" s="24"/>
      <c r="K111" s="24"/>
      <c r="L111" s="24"/>
      <c r="M111" s="22"/>
      <c r="N111" s="23"/>
      <c r="O111" s="24"/>
      <c r="P111" s="24"/>
      <c r="Q111" s="24"/>
      <c r="R111" s="24"/>
      <c r="S111" s="24"/>
      <c r="T111" s="24"/>
      <c r="U111" s="24"/>
      <c r="V111" s="24"/>
      <c r="W111" s="22"/>
      <c r="X111" s="23"/>
      <c r="Y111" s="24"/>
      <c r="Z111" s="24"/>
      <c r="AA111" s="24"/>
      <c r="AB111" s="24"/>
      <c r="AC111" s="24"/>
      <c r="AD111" s="24"/>
      <c r="AE111" s="24"/>
      <c r="AF111" s="24"/>
      <c r="AG111" s="22"/>
      <c r="AH111" s="203" t="str">
        <f t="shared" si="12"/>
        <v/>
      </c>
      <c r="AI111" s="204" t="str">
        <f t="shared" si="13"/>
        <v/>
      </c>
      <c r="AJ111" s="205" t="str">
        <f t="shared" si="14"/>
        <v/>
      </c>
      <c r="AK111" s="206">
        <f t="shared" si="15"/>
        <v>0</v>
      </c>
      <c r="AL111" s="168"/>
      <c r="AM111" s="168"/>
      <c r="AN111" s="168"/>
      <c r="AO111" s="168"/>
      <c r="AP111" s="168"/>
      <c r="AQ111" s="168"/>
      <c r="AR111" s="168"/>
      <c r="AS111" s="168"/>
      <c r="AT111" s="168"/>
      <c r="AU111" s="168"/>
      <c r="AV111" s="168"/>
      <c r="AW111" s="168"/>
      <c r="AX111" s="168"/>
      <c r="AY111" s="168"/>
    </row>
    <row r="112" spans="1:51">
      <c r="A112" s="16" t="s">
        <v>34</v>
      </c>
      <c r="B112" s="163"/>
      <c r="C112" s="107"/>
      <c r="D112" s="23"/>
      <c r="E112" s="24"/>
      <c r="F112" s="24"/>
      <c r="G112" s="24"/>
      <c r="H112" s="24"/>
      <c r="I112" s="24"/>
      <c r="J112" s="24"/>
      <c r="K112" s="24"/>
      <c r="L112" s="24"/>
      <c r="M112" s="22"/>
      <c r="N112" s="23"/>
      <c r="O112" s="24"/>
      <c r="P112" s="24"/>
      <c r="Q112" s="24"/>
      <c r="R112" s="24"/>
      <c r="S112" s="24"/>
      <c r="T112" s="24"/>
      <c r="U112" s="24"/>
      <c r="V112" s="24"/>
      <c r="W112" s="22"/>
      <c r="X112" s="23"/>
      <c r="Y112" s="24"/>
      <c r="Z112" s="24"/>
      <c r="AA112" s="24"/>
      <c r="AB112" s="24"/>
      <c r="AC112" s="24"/>
      <c r="AD112" s="24"/>
      <c r="AE112" s="24"/>
      <c r="AF112" s="24"/>
      <c r="AG112" s="22"/>
      <c r="AH112" s="203" t="str">
        <f t="shared" si="12"/>
        <v/>
      </c>
      <c r="AI112" s="204" t="str">
        <f t="shared" si="13"/>
        <v/>
      </c>
      <c r="AJ112" s="205" t="str">
        <f t="shared" si="14"/>
        <v/>
      </c>
      <c r="AK112" s="206">
        <f t="shared" si="15"/>
        <v>0</v>
      </c>
      <c r="AL112" s="168"/>
      <c r="AM112" s="168"/>
      <c r="AN112" s="168"/>
      <c r="AO112" s="168"/>
      <c r="AP112" s="168"/>
      <c r="AQ112" s="168"/>
      <c r="AR112" s="168"/>
      <c r="AS112" s="168"/>
      <c r="AT112" s="168"/>
      <c r="AU112" s="168"/>
      <c r="AV112" s="168"/>
      <c r="AW112" s="168"/>
      <c r="AX112" s="168"/>
      <c r="AY112" s="168"/>
    </row>
    <row r="113" spans="1:51">
      <c r="A113" s="16" t="s">
        <v>34</v>
      </c>
      <c r="B113" s="163"/>
      <c r="C113" s="107"/>
      <c r="D113" s="23"/>
      <c r="E113" s="24"/>
      <c r="F113" s="24"/>
      <c r="G113" s="24"/>
      <c r="H113" s="24"/>
      <c r="I113" s="24"/>
      <c r="J113" s="24"/>
      <c r="K113" s="24"/>
      <c r="L113" s="24"/>
      <c r="M113" s="22"/>
      <c r="N113" s="23"/>
      <c r="O113" s="24"/>
      <c r="P113" s="24"/>
      <c r="Q113" s="24"/>
      <c r="R113" s="24"/>
      <c r="S113" s="24"/>
      <c r="T113" s="24"/>
      <c r="U113" s="24"/>
      <c r="V113" s="24"/>
      <c r="W113" s="22"/>
      <c r="X113" s="23"/>
      <c r="Y113" s="24"/>
      <c r="Z113" s="24"/>
      <c r="AA113" s="24"/>
      <c r="AB113" s="24"/>
      <c r="AC113" s="24"/>
      <c r="AD113" s="24"/>
      <c r="AE113" s="24"/>
      <c r="AF113" s="24"/>
      <c r="AG113" s="22"/>
      <c r="AH113" s="203" t="str">
        <f t="shared" si="12"/>
        <v/>
      </c>
      <c r="AI113" s="204" t="str">
        <f t="shared" si="13"/>
        <v/>
      </c>
      <c r="AJ113" s="205" t="str">
        <f t="shared" si="14"/>
        <v/>
      </c>
      <c r="AK113" s="206">
        <f t="shared" si="15"/>
        <v>0</v>
      </c>
      <c r="AL113" s="168"/>
      <c r="AM113" s="168"/>
      <c r="AN113" s="168"/>
      <c r="AO113" s="168"/>
      <c r="AP113" s="168"/>
      <c r="AQ113" s="168"/>
      <c r="AR113" s="168"/>
      <c r="AS113" s="168"/>
      <c r="AT113" s="168"/>
      <c r="AU113" s="168"/>
      <c r="AV113" s="168"/>
      <c r="AW113" s="168"/>
      <c r="AX113" s="168"/>
      <c r="AY113" s="168"/>
    </row>
    <row r="114" spans="1:51">
      <c r="A114" s="16" t="s">
        <v>34</v>
      </c>
      <c r="B114" s="163"/>
      <c r="C114" s="107"/>
      <c r="D114" s="23"/>
      <c r="E114" s="24"/>
      <c r="F114" s="24"/>
      <c r="G114" s="24"/>
      <c r="H114" s="24"/>
      <c r="I114" s="24"/>
      <c r="J114" s="24"/>
      <c r="K114" s="24"/>
      <c r="L114" s="24"/>
      <c r="M114" s="22"/>
      <c r="N114" s="23"/>
      <c r="O114" s="24"/>
      <c r="P114" s="24"/>
      <c r="Q114" s="24"/>
      <c r="R114" s="24"/>
      <c r="S114" s="24"/>
      <c r="T114" s="24"/>
      <c r="U114" s="24"/>
      <c r="V114" s="24"/>
      <c r="W114" s="22"/>
      <c r="X114" s="23"/>
      <c r="Y114" s="24"/>
      <c r="Z114" s="24"/>
      <c r="AA114" s="24"/>
      <c r="AB114" s="24"/>
      <c r="AC114" s="24"/>
      <c r="AD114" s="24"/>
      <c r="AE114" s="24"/>
      <c r="AF114" s="24"/>
      <c r="AG114" s="22"/>
      <c r="AH114" s="203" t="str">
        <f t="shared" si="12"/>
        <v/>
      </c>
      <c r="AI114" s="204" t="str">
        <f t="shared" si="13"/>
        <v/>
      </c>
      <c r="AJ114" s="205" t="str">
        <f t="shared" si="14"/>
        <v/>
      </c>
      <c r="AK114" s="206">
        <f t="shared" si="15"/>
        <v>0</v>
      </c>
      <c r="AL114" s="168"/>
      <c r="AM114" s="168"/>
      <c r="AN114" s="168"/>
      <c r="AO114" s="168"/>
      <c r="AP114" s="168"/>
      <c r="AQ114" s="168"/>
      <c r="AR114" s="168"/>
      <c r="AS114" s="168"/>
      <c r="AT114" s="168"/>
      <c r="AU114" s="168"/>
      <c r="AV114" s="168"/>
      <c r="AW114" s="168"/>
      <c r="AX114" s="168"/>
      <c r="AY114" s="168"/>
    </row>
    <row r="115" spans="1:51">
      <c r="A115" s="16" t="s">
        <v>34</v>
      </c>
      <c r="B115" s="163"/>
      <c r="C115" s="107"/>
      <c r="D115" s="23"/>
      <c r="E115" s="24"/>
      <c r="F115" s="24"/>
      <c r="G115" s="24"/>
      <c r="H115" s="24"/>
      <c r="I115" s="24"/>
      <c r="J115" s="24"/>
      <c r="K115" s="24"/>
      <c r="L115" s="24"/>
      <c r="M115" s="22"/>
      <c r="N115" s="23"/>
      <c r="O115" s="24"/>
      <c r="P115" s="24"/>
      <c r="Q115" s="24"/>
      <c r="R115" s="24"/>
      <c r="S115" s="24"/>
      <c r="T115" s="24"/>
      <c r="U115" s="24"/>
      <c r="V115" s="24"/>
      <c r="W115" s="22"/>
      <c r="X115" s="23"/>
      <c r="Y115" s="24"/>
      <c r="Z115" s="24"/>
      <c r="AA115" s="24"/>
      <c r="AB115" s="24"/>
      <c r="AC115" s="24"/>
      <c r="AD115" s="24"/>
      <c r="AE115" s="24"/>
      <c r="AF115" s="24"/>
      <c r="AG115" s="22"/>
      <c r="AH115" s="203" t="str">
        <f t="shared" si="12"/>
        <v/>
      </c>
      <c r="AI115" s="204" t="str">
        <f t="shared" si="13"/>
        <v/>
      </c>
      <c r="AJ115" s="205" t="str">
        <f t="shared" si="14"/>
        <v/>
      </c>
      <c r="AK115" s="206">
        <f t="shared" si="15"/>
        <v>0</v>
      </c>
      <c r="AL115" s="168"/>
      <c r="AM115" s="168"/>
      <c r="AN115" s="168"/>
      <c r="AO115" s="168"/>
      <c r="AP115" s="168"/>
      <c r="AQ115" s="168"/>
      <c r="AR115" s="168"/>
      <c r="AS115" s="168"/>
      <c r="AT115" s="168"/>
      <c r="AU115" s="168"/>
      <c r="AV115" s="168"/>
      <c r="AW115" s="168"/>
      <c r="AX115" s="168"/>
      <c r="AY115" s="168"/>
    </row>
    <row r="116" spans="1:51">
      <c r="A116" s="16" t="s">
        <v>34</v>
      </c>
      <c r="B116" s="163"/>
      <c r="C116" s="107"/>
      <c r="D116" s="23"/>
      <c r="E116" s="24"/>
      <c r="F116" s="24"/>
      <c r="G116" s="24"/>
      <c r="H116" s="24"/>
      <c r="I116" s="24"/>
      <c r="J116" s="24"/>
      <c r="K116" s="24"/>
      <c r="L116" s="24"/>
      <c r="M116" s="22"/>
      <c r="N116" s="23"/>
      <c r="O116" s="24"/>
      <c r="P116" s="24"/>
      <c r="Q116" s="24"/>
      <c r="R116" s="24"/>
      <c r="S116" s="24"/>
      <c r="T116" s="24"/>
      <c r="U116" s="24"/>
      <c r="V116" s="24"/>
      <c r="W116" s="22"/>
      <c r="X116" s="23"/>
      <c r="Y116" s="24"/>
      <c r="Z116" s="24"/>
      <c r="AA116" s="24"/>
      <c r="AB116" s="24"/>
      <c r="AC116" s="24"/>
      <c r="AD116" s="24"/>
      <c r="AE116" s="24"/>
      <c r="AF116" s="24"/>
      <c r="AG116" s="22"/>
      <c r="AH116" s="203" t="str">
        <f t="shared" si="12"/>
        <v/>
      </c>
      <c r="AI116" s="204" t="str">
        <f t="shared" si="13"/>
        <v/>
      </c>
      <c r="AJ116" s="205" t="str">
        <f t="shared" si="14"/>
        <v/>
      </c>
      <c r="AK116" s="206">
        <f t="shared" si="15"/>
        <v>0</v>
      </c>
      <c r="AL116" s="168"/>
      <c r="AM116" s="168"/>
      <c r="AN116" s="168"/>
      <c r="AO116" s="168"/>
      <c r="AP116" s="168"/>
      <c r="AQ116" s="168"/>
      <c r="AR116" s="168"/>
      <c r="AS116" s="168"/>
      <c r="AT116" s="168"/>
      <c r="AU116" s="168"/>
      <c r="AV116" s="168"/>
      <c r="AW116" s="168"/>
      <c r="AX116" s="168"/>
      <c r="AY116" s="168"/>
    </row>
    <row r="117" spans="1:51">
      <c r="A117" s="16" t="s">
        <v>34</v>
      </c>
      <c r="B117" s="163"/>
      <c r="C117" s="107"/>
      <c r="D117" s="23"/>
      <c r="E117" s="24"/>
      <c r="F117" s="24"/>
      <c r="G117" s="24"/>
      <c r="H117" s="24"/>
      <c r="I117" s="24"/>
      <c r="J117" s="24"/>
      <c r="K117" s="24"/>
      <c r="L117" s="24"/>
      <c r="M117" s="22"/>
      <c r="N117" s="23"/>
      <c r="O117" s="24"/>
      <c r="P117" s="24"/>
      <c r="Q117" s="24"/>
      <c r="R117" s="24"/>
      <c r="S117" s="24"/>
      <c r="T117" s="24"/>
      <c r="U117" s="24"/>
      <c r="V117" s="24"/>
      <c r="W117" s="22"/>
      <c r="X117" s="23"/>
      <c r="Y117" s="24"/>
      <c r="Z117" s="24"/>
      <c r="AA117" s="24"/>
      <c r="AB117" s="24"/>
      <c r="AC117" s="24"/>
      <c r="AD117" s="24"/>
      <c r="AE117" s="24"/>
      <c r="AF117" s="24"/>
      <c r="AG117" s="22"/>
      <c r="AH117" s="203" t="str">
        <f t="shared" si="12"/>
        <v/>
      </c>
      <c r="AI117" s="204" t="str">
        <f t="shared" si="13"/>
        <v/>
      </c>
      <c r="AJ117" s="205" t="str">
        <f t="shared" si="14"/>
        <v/>
      </c>
      <c r="AK117" s="206">
        <f t="shared" si="15"/>
        <v>0</v>
      </c>
      <c r="AL117" s="168"/>
      <c r="AM117" s="168"/>
      <c r="AN117" s="168"/>
      <c r="AO117" s="168"/>
      <c r="AP117" s="168"/>
      <c r="AQ117" s="168"/>
      <c r="AR117" s="168"/>
      <c r="AS117" s="168"/>
      <c r="AT117" s="168"/>
      <c r="AU117" s="168"/>
      <c r="AV117" s="168"/>
      <c r="AW117" s="168"/>
      <c r="AX117" s="168"/>
      <c r="AY117" s="168"/>
    </row>
    <row r="118" spans="1:51">
      <c r="A118" s="16" t="s">
        <v>34</v>
      </c>
      <c r="B118" s="163"/>
      <c r="C118" s="107"/>
      <c r="D118" s="23"/>
      <c r="E118" s="24"/>
      <c r="F118" s="24"/>
      <c r="G118" s="24"/>
      <c r="H118" s="24"/>
      <c r="I118" s="24"/>
      <c r="J118" s="24"/>
      <c r="K118" s="24"/>
      <c r="L118" s="24"/>
      <c r="M118" s="22"/>
      <c r="N118" s="23"/>
      <c r="O118" s="24"/>
      <c r="P118" s="24"/>
      <c r="Q118" s="24"/>
      <c r="R118" s="24"/>
      <c r="S118" s="24"/>
      <c r="T118" s="24"/>
      <c r="U118" s="24"/>
      <c r="V118" s="24"/>
      <c r="W118" s="22"/>
      <c r="X118" s="23"/>
      <c r="Y118" s="24"/>
      <c r="Z118" s="24"/>
      <c r="AA118" s="24"/>
      <c r="AB118" s="24"/>
      <c r="AC118" s="24"/>
      <c r="AD118" s="24"/>
      <c r="AE118" s="24"/>
      <c r="AF118" s="24"/>
      <c r="AG118" s="22"/>
      <c r="AH118" s="203" t="str">
        <f t="shared" si="12"/>
        <v/>
      </c>
      <c r="AI118" s="204" t="str">
        <f t="shared" si="13"/>
        <v/>
      </c>
      <c r="AJ118" s="205" t="str">
        <f t="shared" si="14"/>
        <v/>
      </c>
      <c r="AK118" s="206">
        <f t="shared" si="15"/>
        <v>0</v>
      </c>
      <c r="AL118" s="168"/>
      <c r="AM118" s="168"/>
      <c r="AN118" s="168"/>
      <c r="AO118" s="168"/>
      <c r="AP118" s="168"/>
      <c r="AQ118" s="168"/>
      <c r="AR118" s="168"/>
      <c r="AS118" s="168"/>
      <c r="AT118" s="168"/>
      <c r="AU118" s="168"/>
      <c r="AV118" s="168"/>
      <c r="AW118" s="168"/>
      <c r="AX118" s="168"/>
      <c r="AY118" s="168"/>
    </row>
    <row r="119" spans="1:51">
      <c r="A119" s="16" t="s">
        <v>34</v>
      </c>
      <c r="B119" s="163"/>
      <c r="C119" s="107"/>
      <c r="D119" s="23"/>
      <c r="E119" s="24"/>
      <c r="F119" s="24"/>
      <c r="G119" s="24"/>
      <c r="H119" s="24"/>
      <c r="I119" s="24"/>
      <c r="J119" s="24"/>
      <c r="K119" s="24"/>
      <c r="L119" s="24"/>
      <c r="M119" s="22"/>
      <c r="N119" s="23"/>
      <c r="O119" s="24"/>
      <c r="P119" s="24"/>
      <c r="Q119" s="24"/>
      <c r="R119" s="24"/>
      <c r="S119" s="24"/>
      <c r="T119" s="24"/>
      <c r="U119" s="24"/>
      <c r="V119" s="24"/>
      <c r="W119" s="22"/>
      <c r="X119" s="23"/>
      <c r="Y119" s="24"/>
      <c r="Z119" s="24"/>
      <c r="AA119" s="24"/>
      <c r="AB119" s="24"/>
      <c r="AC119" s="24"/>
      <c r="AD119" s="24"/>
      <c r="AE119" s="24"/>
      <c r="AF119" s="24"/>
      <c r="AG119" s="22"/>
      <c r="AH119" s="203" t="str">
        <f t="shared" si="12"/>
        <v/>
      </c>
      <c r="AI119" s="204" t="str">
        <f t="shared" si="13"/>
        <v/>
      </c>
      <c r="AJ119" s="205" t="str">
        <f t="shared" si="14"/>
        <v/>
      </c>
      <c r="AK119" s="206">
        <f t="shared" si="15"/>
        <v>0</v>
      </c>
      <c r="AL119" s="168"/>
      <c r="AM119" s="168"/>
      <c r="AN119" s="168"/>
      <c r="AO119" s="168"/>
      <c r="AP119" s="168"/>
      <c r="AQ119" s="168"/>
      <c r="AR119" s="168"/>
      <c r="AS119" s="168"/>
      <c r="AT119" s="168"/>
      <c r="AU119" s="168"/>
      <c r="AV119" s="168"/>
      <c r="AW119" s="168"/>
      <c r="AX119" s="168"/>
      <c r="AY119" s="168"/>
    </row>
    <row r="120" spans="1:51">
      <c r="A120" s="16" t="s">
        <v>34</v>
      </c>
      <c r="B120" s="163"/>
      <c r="C120" s="107"/>
      <c r="D120" s="23"/>
      <c r="E120" s="24"/>
      <c r="F120" s="24"/>
      <c r="G120" s="24"/>
      <c r="H120" s="24"/>
      <c r="I120" s="24"/>
      <c r="J120" s="24"/>
      <c r="K120" s="24"/>
      <c r="L120" s="24"/>
      <c r="M120" s="22"/>
      <c r="N120" s="23"/>
      <c r="O120" s="24"/>
      <c r="P120" s="24"/>
      <c r="Q120" s="24"/>
      <c r="R120" s="24"/>
      <c r="S120" s="24"/>
      <c r="T120" s="24"/>
      <c r="U120" s="24"/>
      <c r="V120" s="24"/>
      <c r="W120" s="22"/>
      <c r="X120" s="23"/>
      <c r="Y120" s="24"/>
      <c r="Z120" s="24"/>
      <c r="AA120" s="24"/>
      <c r="AB120" s="24"/>
      <c r="AC120" s="24"/>
      <c r="AD120" s="24"/>
      <c r="AE120" s="24"/>
      <c r="AF120" s="24"/>
      <c r="AG120" s="22"/>
      <c r="AH120" s="203" t="str">
        <f t="shared" si="12"/>
        <v/>
      </c>
      <c r="AI120" s="204" t="str">
        <f t="shared" si="13"/>
        <v/>
      </c>
      <c r="AJ120" s="205" t="str">
        <f t="shared" si="14"/>
        <v/>
      </c>
      <c r="AK120" s="206">
        <f t="shared" si="15"/>
        <v>0</v>
      </c>
      <c r="AL120" s="168"/>
      <c r="AM120" s="168"/>
      <c r="AN120" s="168"/>
      <c r="AO120" s="168"/>
      <c r="AP120" s="168"/>
      <c r="AQ120" s="168"/>
      <c r="AR120" s="168"/>
      <c r="AS120" s="168"/>
      <c r="AT120" s="168"/>
      <c r="AU120" s="168"/>
      <c r="AV120" s="168"/>
      <c r="AW120" s="168"/>
      <c r="AX120" s="168"/>
      <c r="AY120" s="168"/>
    </row>
    <row r="121" spans="1:51">
      <c r="A121" s="16" t="s">
        <v>34</v>
      </c>
      <c r="B121" s="163"/>
      <c r="C121" s="107"/>
      <c r="D121" s="23"/>
      <c r="E121" s="24"/>
      <c r="F121" s="24"/>
      <c r="G121" s="24"/>
      <c r="H121" s="24"/>
      <c r="I121" s="24"/>
      <c r="J121" s="24"/>
      <c r="K121" s="24"/>
      <c r="L121" s="24"/>
      <c r="M121" s="22"/>
      <c r="N121" s="23"/>
      <c r="O121" s="24"/>
      <c r="P121" s="24"/>
      <c r="Q121" s="24"/>
      <c r="R121" s="24"/>
      <c r="S121" s="24"/>
      <c r="T121" s="24"/>
      <c r="U121" s="24"/>
      <c r="V121" s="24"/>
      <c r="W121" s="22"/>
      <c r="X121" s="23"/>
      <c r="Y121" s="24"/>
      <c r="Z121" s="24"/>
      <c r="AA121" s="24"/>
      <c r="AB121" s="24"/>
      <c r="AC121" s="24"/>
      <c r="AD121" s="24"/>
      <c r="AE121" s="24"/>
      <c r="AF121" s="24"/>
      <c r="AG121" s="22"/>
      <c r="AH121" s="203" t="str">
        <f t="shared" si="12"/>
        <v/>
      </c>
      <c r="AI121" s="204" t="str">
        <f t="shared" si="13"/>
        <v/>
      </c>
      <c r="AJ121" s="205" t="str">
        <f t="shared" si="14"/>
        <v/>
      </c>
      <c r="AK121" s="206">
        <f t="shared" si="15"/>
        <v>0</v>
      </c>
      <c r="AL121" s="168"/>
      <c r="AM121" s="168"/>
      <c r="AN121" s="168"/>
      <c r="AO121" s="168"/>
      <c r="AP121" s="168"/>
      <c r="AQ121" s="168"/>
      <c r="AR121" s="168"/>
      <c r="AS121" s="168"/>
      <c r="AT121" s="168"/>
      <c r="AU121" s="168"/>
      <c r="AV121" s="168"/>
      <c r="AW121" s="168"/>
      <c r="AX121" s="168"/>
      <c r="AY121" s="168"/>
    </row>
    <row r="122" spans="1:51">
      <c r="A122" s="16" t="s">
        <v>34</v>
      </c>
      <c r="B122" s="163"/>
      <c r="C122" s="107"/>
      <c r="D122" s="23"/>
      <c r="E122" s="24"/>
      <c r="F122" s="24"/>
      <c r="G122" s="24"/>
      <c r="H122" s="24"/>
      <c r="I122" s="24"/>
      <c r="J122" s="24"/>
      <c r="K122" s="24"/>
      <c r="L122" s="24"/>
      <c r="M122" s="22"/>
      <c r="N122" s="23"/>
      <c r="O122" s="24"/>
      <c r="P122" s="24"/>
      <c r="Q122" s="24"/>
      <c r="R122" s="24"/>
      <c r="S122" s="24"/>
      <c r="T122" s="24"/>
      <c r="U122" s="24"/>
      <c r="V122" s="24"/>
      <c r="W122" s="22"/>
      <c r="X122" s="23"/>
      <c r="Y122" s="24"/>
      <c r="Z122" s="24"/>
      <c r="AA122" s="24"/>
      <c r="AB122" s="24"/>
      <c r="AC122" s="24"/>
      <c r="AD122" s="24"/>
      <c r="AE122" s="24"/>
      <c r="AF122" s="24"/>
      <c r="AG122" s="22"/>
      <c r="AH122" s="203" t="str">
        <f t="shared" si="12"/>
        <v/>
      </c>
      <c r="AI122" s="204" t="str">
        <f t="shared" si="13"/>
        <v/>
      </c>
      <c r="AJ122" s="205" t="str">
        <f t="shared" si="14"/>
        <v/>
      </c>
      <c r="AK122" s="206">
        <f t="shared" si="15"/>
        <v>0</v>
      </c>
      <c r="AL122" s="168"/>
      <c r="AM122" s="168"/>
      <c r="AN122" s="168"/>
      <c r="AO122" s="168"/>
      <c r="AP122" s="168"/>
      <c r="AQ122" s="168"/>
      <c r="AR122" s="168"/>
      <c r="AS122" s="168"/>
      <c r="AT122" s="168"/>
      <c r="AU122" s="168"/>
      <c r="AV122" s="168"/>
      <c r="AW122" s="168"/>
      <c r="AX122" s="168"/>
      <c r="AY122" s="168"/>
    </row>
    <row r="123" spans="1:51">
      <c r="A123" s="16" t="s">
        <v>34</v>
      </c>
      <c r="B123" s="163"/>
      <c r="C123" s="107"/>
      <c r="D123" s="23"/>
      <c r="E123" s="24"/>
      <c r="F123" s="24"/>
      <c r="G123" s="24"/>
      <c r="H123" s="24"/>
      <c r="I123" s="24"/>
      <c r="J123" s="24"/>
      <c r="K123" s="24"/>
      <c r="L123" s="24"/>
      <c r="M123" s="22"/>
      <c r="N123" s="23"/>
      <c r="O123" s="24"/>
      <c r="P123" s="24"/>
      <c r="Q123" s="24"/>
      <c r="R123" s="24"/>
      <c r="S123" s="24"/>
      <c r="T123" s="24"/>
      <c r="U123" s="24"/>
      <c r="V123" s="24"/>
      <c r="W123" s="22"/>
      <c r="X123" s="23"/>
      <c r="Y123" s="24"/>
      <c r="Z123" s="24"/>
      <c r="AA123" s="24"/>
      <c r="AB123" s="24"/>
      <c r="AC123" s="24"/>
      <c r="AD123" s="24"/>
      <c r="AE123" s="24"/>
      <c r="AF123" s="24"/>
      <c r="AG123" s="22"/>
      <c r="AH123" s="203" t="str">
        <f t="shared" si="12"/>
        <v/>
      </c>
      <c r="AI123" s="204" t="str">
        <f t="shared" si="13"/>
        <v/>
      </c>
      <c r="AJ123" s="205" t="str">
        <f t="shared" si="14"/>
        <v/>
      </c>
      <c r="AK123" s="206">
        <f t="shared" si="15"/>
        <v>0</v>
      </c>
      <c r="AL123" s="168"/>
      <c r="AM123" s="168"/>
      <c r="AN123" s="168"/>
      <c r="AO123" s="168"/>
      <c r="AP123" s="168"/>
      <c r="AQ123" s="168"/>
      <c r="AR123" s="168"/>
      <c r="AS123" s="168"/>
      <c r="AT123" s="168"/>
      <c r="AU123" s="168"/>
      <c r="AV123" s="168"/>
      <c r="AW123" s="168"/>
      <c r="AX123" s="168"/>
      <c r="AY123" s="168"/>
    </row>
    <row r="124" spans="1:51">
      <c r="A124" s="16" t="s">
        <v>34</v>
      </c>
      <c r="B124" s="163"/>
      <c r="C124" s="107"/>
      <c r="D124" s="23"/>
      <c r="E124" s="24"/>
      <c r="F124" s="24"/>
      <c r="G124" s="24"/>
      <c r="H124" s="24"/>
      <c r="I124" s="24"/>
      <c r="J124" s="24"/>
      <c r="K124" s="24"/>
      <c r="L124" s="24"/>
      <c r="M124" s="22"/>
      <c r="N124" s="23"/>
      <c r="O124" s="24"/>
      <c r="P124" s="24"/>
      <c r="Q124" s="24"/>
      <c r="R124" s="24"/>
      <c r="S124" s="24"/>
      <c r="T124" s="24"/>
      <c r="U124" s="24"/>
      <c r="V124" s="24"/>
      <c r="W124" s="22"/>
      <c r="X124" s="23"/>
      <c r="Y124" s="24"/>
      <c r="Z124" s="24"/>
      <c r="AA124" s="24"/>
      <c r="AB124" s="24"/>
      <c r="AC124" s="24"/>
      <c r="AD124" s="24"/>
      <c r="AE124" s="24"/>
      <c r="AF124" s="24"/>
      <c r="AG124" s="22"/>
      <c r="AH124" s="203" t="str">
        <f t="shared" si="12"/>
        <v/>
      </c>
      <c r="AI124" s="204" t="str">
        <f t="shared" si="13"/>
        <v/>
      </c>
      <c r="AJ124" s="205" t="str">
        <f t="shared" si="14"/>
        <v/>
      </c>
      <c r="AK124" s="206">
        <f t="shared" si="15"/>
        <v>0</v>
      </c>
      <c r="AL124" s="168"/>
      <c r="AM124" s="168"/>
      <c r="AN124" s="168"/>
      <c r="AO124" s="168"/>
      <c r="AP124" s="168"/>
      <c r="AQ124" s="168"/>
      <c r="AR124" s="168"/>
      <c r="AS124" s="168"/>
      <c r="AT124" s="168"/>
      <c r="AU124" s="168"/>
      <c r="AV124" s="168"/>
      <c r="AW124" s="168"/>
      <c r="AX124" s="168"/>
      <c r="AY124" s="168"/>
    </row>
    <row r="125" spans="1:51">
      <c r="A125" s="16" t="s">
        <v>34</v>
      </c>
      <c r="B125" s="163"/>
      <c r="C125" s="107"/>
      <c r="D125" s="23"/>
      <c r="E125" s="24"/>
      <c r="F125" s="24"/>
      <c r="G125" s="24"/>
      <c r="H125" s="24"/>
      <c r="I125" s="24"/>
      <c r="J125" s="24"/>
      <c r="K125" s="24"/>
      <c r="L125" s="24"/>
      <c r="M125" s="22"/>
      <c r="N125" s="23"/>
      <c r="O125" s="24"/>
      <c r="P125" s="24"/>
      <c r="Q125" s="24"/>
      <c r="R125" s="24"/>
      <c r="S125" s="24"/>
      <c r="T125" s="24"/>
      <c r="U125" s="24"/>
      <c r="V125" s="24"/>
      <c r="W125" s="22"/>
      <c r="X125" s="23"/>
      <c r="Y125" s="24"/>
      <c r="Z125" s="24"/>
      <c r="AA125" s="24"/>
      <c r="AB125" s="24"/>
      <c r="AC125" s="24"/>
      <c r="AD125" s="24"/>
      <c r="AE125" s="24"/>
      <c r="AF125" s="24"/>
      <c r="AG125" s="22"/>
      <c r="AH125" s="203" t="str">
        <f t="shared" si="12"/>
        <v/>
      </c>
      <c r="AI125" s="204" t="str">
        <f t="shared" si="13"/>
        <v/>
      </c>
      <c r="AJ125" s="205" t="str">
        <f t="shared" si="14"/>
        <v/>
      </c>
      <c r="AK125" s="206">
        <f t="shared" si="15"/>
        <v>0</v>
      </c>
      <c r="AL125" s="168"/>
      <c r="AM125" s="168"/>
      <c r="AN125" s="168"/>
      <c r="AO125" s="168"/>
      <c r="AP125" s="168"/>
      <c r="AQ125" s="168"/>
      <c r="AR125" s="168"/>
      <c r="AS125" s="168"/>
      <c r="AT125" s="168"/>
      <c r="AU125" s="168"/>
      <c r="AV125" s="168"/>
      <c r="AW125" s="168"/>
      <c r="AX125" s="168"/>
      <c r="AY125" s="168"/>
    </row>
    <row r="126" spans="1:51">
      <c r="A126" s="16" t="s">
        <v>34</v>
      </c>
      <c r="B126" s="163"/>
      <c r="C126" s="107"/>
      <c r="D126" s="23"/>
      <c r="E126" s="24"/>
      <c r="F126" s="24"/>
      <c r="G126" s="24"/>
      <c r="H126" s="24"/>
      <c r="I126" s="24"/>
      <c r="J126" s="24"/>
      <c r="K126" s="24"/>
      <c r="L126" s="24"/>
      <c r="M126" s="22"/>
      <c r="N126" s="23"/>
      <c r="O126" s="24"/>
      <c r="P126" s="24"/>
      <c r="Q126" s="24"/>
      <c r="R126" s="24"/>
      <c r="S126" s="24"/>
      <c r="T126" s="24"/>
      <c r="U126" s="24"/>
      <c r="V126" s="24"/>
      <c r="W126" s="22"/>
      <c r="X126" s="23"/>
      <c r="Y126" s="24"/>
      <c r="Z126" s="24"/>
      <c r="AA126" s="24"/>
      <c r="AB126" s="24"/>
      <c r="AC126" s="24"/>
      <c r="AD126" s="24"/>
      <c r="AE126" s="24"/>
      <c r="AF126" s="24"/>
      <c r="AG126" s="22"/>
      <c r="AH126" s="203" t="str">
        <f t="shared" si="12"/>
        <v/>
      </c>
      <c r="AI126" s="204" t="str">
        <f t="shared" si="13"/>
        <v/>
      </c>
      <c r="AJ126" s="205" t="str">
        <f t="shared" si="14"/>
        <v/>
      </c>
      <c r="AK126" s="206">
        <f t="shared" si="15"/>
        <v>0</v>
      </c>
      <c r="AL126" s="168"/>
      <c r="AM126" s="168"/>
      <c r="AN126" s="168"/>
      <c r="AO126" s="168"/>
      <c r="AP126" s="168"/>
      <c r="AQ126" s="168"/>
      <c r="AR126" s="168"/>
      <c r="AS126" s="168"/>
      <c r="AT126" s="168"/>
      <c r="AU126" s="168"/>
      <c r="AV126" s="168"/>
      <c r="AW126" s="168"/>
      <c r="AX126" s="168"/>
      <c r="AY126" s="168"/>
    </row>
    <row r="127" spans="1:51">
      <c r="A127" s="16" t="s">
        <v>34</v>
      </c>
      <c r="B127" s="163"/>
      <c r="C127" s="107"/>
      <c r="D127" s="23"/>
      <c r="E127" s="24"/>
      <c r="F127" s="24"/>
      <c r="G127" s="24"/>
      <c r="H127" s="24"/>
      <c r="I127" s="24"/>
      <c r="J127" s="24"/>
      <c r="K127" s="24"/>
      <c r="L127" s="24"/>
      <c r="M127" s="22"/>
      <c r="N127" s="23"/>
      <c r="O127" s="24"/>
      <c r="P127" s="24"/>
      <c r="Q127" s="24"/>
      <c r="R127" s="24"/>
      <c r="S127" s="24"/>
      <c r="T127" s="24"/>
      <c r="U127" s="24"/>
      <c r="V127" s="24"/>
      <c r="W127" s="22"/>
      <c r="X127" s="23"/>
      <c r="Y127" s="24"/>
      <c r="Z127" s="24"/>
      <c r="AA127" s="24"/>
      <c r="AB127" s="24"/>
      <c r="AC127" s="24"/>
      <c r="AD127" s="24"/>
      <c r="AE127" s="24"/>
      <c r="AF127" s="24"/>
      <c r="AG127" s="22"/>
      <c r="AH127" s="203" t="str">
        <f t="shared" si="12"/>
        <v/>
      </c>
      <c r="AI127" s="204" t="str">
        <f t="shared" si="13"/>
        <v/>
      </c>
      <c r="AJ127" s="205" t="str">
        <f t="shared" si="14"/>
        <v/>
      </c>
      <c r="AK127" s="206">
        <f t="shared" si="15"/>
        <v>0</v>
      </c>
      <c r="AL127" s="168"/>
      <c r="AM127" s="168"/>
      <c r="AN127" s="168"/>
      <c r="AO127" s="168"/>
      <c r="AP127" s="168"/>
      <c r="AQ127" s="168"/>
      <c r="AR127" s="168"/>
      <c r="AS127" s="168"/>
      <c r="AT127" s="168"/>
      <c r="AU127" s="168"/>
      <c r="AV127" s="168"/>
      <c r="AW127" s="168"/>
      <c r="AX127" s="168"/>
      <c r="AY127" s="168"/>
    </row>
    <row r="128" spans="1:51">
      <c r="A128" s="16" t="s">
        <v>34</v>
      </c>
      <c r="B128" s="163"/>
      <c r="C128" s="107"/>
      <c r="D128" s="23"/>
      <c r="E128" s="24"/>
      <c r="F128" s="24"/>
      <c r="G128" s="24"/>
      <c r="H128" s="24"/>
      <c r="I128" s="24"/>
      <c r="J128" s="24"/>
      <c r="K128" s="24"/>
      <c r="L128" s="24"/>
      <c r="M128" s="22"/>
      <c r="N128" s="23"/>
      <c r="O128" s="24"/>
      <c r="P128" s="24"/>
      <c r="Q128" s="24"/>
      <c r="R128" s="24"/>
      <c r="S128" s="24"/>
      <c r="T128" s="24"/>
      <c r="U128" s="24"/>
      <c r="V128" s="24"/>
      <c r="W128" s="22"/>
      <c r="X128" s="23"/>
      <c r="Y128" s="24"/>
      <c r="Z128" s="24"/>
      <c r="AA128" s="24"/>
      <c r="AB128" s="24"/>
      <c r="AC128" s="24"/>
      <c r="AD128" s="24"/>
      <c r="AE128" s="24"/>
      <c r="AF128" s="24"/>
      <c r="AG128" s="22"/>
      <c r="AH128" s="203" t="str">
        <f t="shared" si="12"/>
        <v/>
      </c>
      <c r="AI128" s="204" t="str">
        <f t="shared" si="13"/>
        <v/>
      </c>
      <c r="AJ128" s="205" t="str">
        <f t="shared" si="14"/>
        <v/>
      </c>
      <c r="AK128" s="206">
        <f t="shared" si="15"/>
        <v>0</v>
      </c>
      <c r="AL128" s="168"/>
      <c r="AM128" s="168"/>
      <c r="AN128" s="168"/>
      <c r="AO128" s="168"/>
      <c r="AP128" s="168"/>
      <c r="AQ128" s="168"/>
      <c r="AR128" s="168"/>
      <c r="AS128" s="168"/>
      <c r="AT128" s="168"/>
      <c r="AU128" s="168"/>
      <c r="AV128" s="168"/>
      <c r="AW128" s="168"/>
      <c r="AX128" s="168"/>
      <c r="AY128" s="168"/>
    </row>
    <row r="129" spans="1:51">
      <c r="A129" s="16" t="s">
        <v>34</v>
      </c>
      <c r="B129" s="163"/>
      <c r="C129" s="107"/>
      <c r="D129" s="23"/>
      <c r="E129" s="24"/>
      <c r="F129" s="24"/>
      <c r="G129" s="24"/>
      <c r="H129" s="24"/>
      <c r="I129" s="24"/>
      <c r="J129" s="24"/>
      <c r="K129" s="24"/>
      <c r="L129" s="24"/>
      <c r="M129" s="22"/>
      <c r="N129" s="23"/>
      <c r="O129" s="24"/>
      <c r="P129" s="24"/>
      <c r="Q129" s="24"/>
      <c r="R129" s="24"/>
      <c r="S129" s="24"/>
      <c r="T129" s="24"/>
      <c r="U129" s="24"/>
      <c r="V129" s="24"/>
      <c r="W129" s="22"/>
      <c r="X129" s="23"/>
      <c r="Y129" s="24"/>
      <c r="Z129" s="24"/>
      <c r="AA129" s="24"/>
      <c r="AB129" s="24"/>
      <c r="AC129" s="24"/>
      <c r="AD129" s="24"/>
      <c r="AE129" s="24"/>
      <c r="AF129" s="24"/>
      <c r="AG129" s="22"/>
      <c r="AH129" s="203" t="str">
        <f t="shared" si="12"/>
        <v/>
      </c>
      <c r="AI129" s="204" t="str">
        <f t="shared" si="13"/>
        <v/>
      </c>
      <c r="AJ129" s="205" t="str">
        <f t="shared" si="14"/>
        <v/>
      </c>
      <c r="AK129" s="206">
        <f t="shared" si="15"/>
        <v>0</v>
      </c>
      <c r="AL129" s="168"/>
      <c r="AM129" s="168"/>
      <c r="AN129" s="168"/>
      <c r="AO129" s="168"/>
      <c r="AP129" s="168"/>
      <c r="AQ129" s="168"/>
      <c r="AR129" s="168"/>
      <c r="AS129" s="168"/>
      <c r="AT129" s="168"/>
      <c r="AU129" s="168"/>
      <c r="AV129" s="168"/>
      <c r="AW129" s="168"/>
      <c r="AX129" s="168"/>
      <c r="AY129" s="168"/>
    </row>
    <row r="130" spans="1:51">
      <c r="A130" s="16" t="s">
        <v>34</v>
      </c>
      <c r="B130" s="163"/>
      <c r="C130" s="107"/>
      <c r="D130" s="23"/>
      <c r="E130" s="24"/>
      <c r="F130" s="24"/>
      <c r="G130" s="24"/>
      <c r="H130" s="24"/>
      <c r="I130" s="24"/>
      <c r="J130" s="24"/>
      <c r="K130" s="24"/>
      <c r="L130" s="24"/>
      <c r="M130" s="22"/>
      <c r="N130" s="23"/>
      <c r="O130" s="24"/>
      <c r="P130" s="24"/>
      <c r="Q130" s="24"/>
      <c r="R130" s="24"/>
      <c r="S130" s="24"/>
      <c r="T130" s="24"/>
      <c r="U130" s="24"/>
      <c r="V130" s="24"/>
      <c r="W130" s="22"/>
      <c r="X130" s="23"/>
      <c r="Y130" s="24"/>
      <c r="Z130" s="24"/>
      <c r="AA130" s="24"/>
      <c r="AB130" s="24"/>
      <c r="AC130" s="24"/>
      <c r="AD130" s="24"/>
      <c r="AE130" s="24"/>
      <c r="AF130" s="24"/>
      <c r="AG130" s="22"/>
      <c r="AH130" s="203" t="str">
        <f t="shared" si="12"/>
        <v/>
      </c>
      <c r="AI130" s="204" t="str">
        <f t="shared" si="13"/>
        <v/>
      </c>
      <c r="AJ130" s="205" t="str">
        <f t="shared" si="14"/>
        <v/>
      </c>
      <c r="AK130" s="206">
        <f t="shared" si="15"/>
        <v>0</v>
      </c>
      <c r="AL130" s="168"/>
      <c r="AM130" s="168"/>
      <c r="AN130" s="168"/>
      <c r="AO130" s="168"/>
      <c r="AP130" s="168"/>
      <c r="AQ130" s="168"/>
      <c r="AR130" s="168"/>
      <c r="AS130" s="168"/>
      <c r="AT130" s="168"/>
      <c r="AU130" s="168"/>
      <c r="AV130" s="168"/>
      <c r="AW130" s="168"/>
      <c r="AX130" s="168"/>
      <c r="AY130" s="168"/>
    </row>
    <row r="131" spans="1:51">
      <c r="A131" s="16" t="s">
        <v>34</v>
      </c>
      <c r="B131" s="163"/>
      <c r="C131" s="107"/>
      <c r="D131" s="23"/>
      <c r="E131" s="24"/>
      <c r="F131" s="24"/>
      <c r="G131" s="24"/>
      <c r="H131" s="24"/>
      <c r="I131" s="24"/>
      <c r="J131" s="24"/>
      <c r="K131" s="24"/>
      <c r="L131" s="24"/>
      <c r="M131" s="22"/>
      <c r="N131" s="23"/>
      <c r="O131" s="24"/>
      <c r="P131" s="24"/>
      <c r="Q131" s="24"/>
      <c r="R131" s="24"/>
      <c r="S131" s="24"/>
      <c r="T131" s="24"/>
      <c r="U131" s="24"/>
      <c r="V131" s="24"/>
      <c r="W131" s="22"/>
      <c r="X131" s="23"/>
      <c r="Y131" s="24"/>
      <c r="Z131" s="24"/>
      <c r="AA131" s="24"/>
      <c r="AB131" s="24"/>
      <c r="AC131" s="24"/>
      <c r="AD131" s="24"/>
      <c r="AE131" s="24"/>
      <c r="AF131" s="24"/>
      <c r="AG131" s="22"/>
      <c r="AH131" s="203" t="str">
        <f t="shared" si="12"/>
        <v/>
      </c>
      <c r="AI131" s="204" t="str">
        <f t="shared" si="13"/>
        <v/>
      </c>
      <c r="AJ131" s="205" t="str">
        <f t="shared" si="14"/>
        <v/>
      </c>
      <c r="AK131" s="206">
        <f t="shared" si="15"/>
        <v>0</v>
      </c>
      <c r="AL131" s="168"/>
      <c r="AM131" s="168"/>
      <c r="AN131" s="168"/>
      <c r="AO131" s="168"/>
      <c r="AP131" s="168"/>
      <c r="AQ131" s="168"/>
      <c r="AR131" s="168"/>
      <c r="AS131" s="168"/>
      <c r="AT131" s="168"/>
      <c r="AU131" s="168"/>
      <c r="AV131" s="168"/>
      <c r="AW131" s="168"/>
      <c r="AX131" s="168"/>
      <c r="AY131" s="168"/>
    </row>
    <row r="132" spans="1:51">
      <c r="A132" s="16" t="s">
        <v>34</v>
      </c>
      <c r="B132" s="163"/>
      <c r="C132" s="107"/>
      <c r="D132" s="23"/>
      <c r="E132" s="24"/>
      <c r="F132" s="24"/>
      <c r="G132" s="24"/>
      <c r="H132" s="24"/>
      <c r="I132" s="24"/>
      <c r="J132" s="24"/>
      <c r="K132" s="24"/>
      <c r="L132" s="24"/>
      <c r="M132" s="22"/>
      <c r="N132" s="23"/>
      <c r="O132" s="24"/>
      <c r="P132" s="24"/>
      <c r="Q132" s="24"/>
      <c r="R132" s="24"/>
      <c r="S132" s="24"/>
      <c r="T132" s="24"/>
      <c r="U132" s="24"/>
      <c r="V132" s="24"/>
      <c r="W132" s="22"/>
      <c r="X132" s="23"/>
      <c r="Y132" s="24"/>
      <c r="Z132" s="24"/>
      <c r="AA132" s="24"/>
      <c r="AB132" s="24"/>
      <c r="AC132" s="24"/>
      <c r="AD132" s="24"/>
      <c r="AE132" s="24"/>
      <c r="AF132" s="24"/>
      <c r="AG132" s="22"/>
      <c r="AH132" s="203" t="str">
        <f t="shared" si="12"/>
        <v/>
      </c>
      <c r="AI132" s="204" t="str">
        <f t="shared" si="13"/>
        <v/>
      </c>
      <c r="AJ132" s="205" t="str">
        <f t="shared" si="14"/>
        <v/>
      </c>
      <c r="AK132" s="206">
        <f t="shared" si="15"/>
        <v>0</v>
      </c>
      <c r="AL132" s="168"/>
      <c r="AM132" s="168"/>
      <c r="AN132" s="168"/>
      <c r="AO132" s="168"/>
      <c r="AP132" s="168"/>
      <c r="AQ132" s="168"/>
      <c r="AR132" s="168"/>
      <c r="AS132" s="168"/>
      <c r="AT132" s="168"/>
      <c r="AU132" s="168"/>
      <c r="AV132" s="168"/>
      <c r="AW132" s="168"/>
      <c r="AX132" s="168"/>
      <c r="AY132" s="168"/>
    </row>
    <row r="133" spans="1:51">
      <c r="A133" s="16" t="s">
        <v>34</v>
      </c>
      <c r="B133" s="163"/>
      <c r="C133" s="107"/>
      <c r="D133" s="23"/>
      <c r="E133" s="24"/>
      <c r="F133" s="24"/>
      <c r="G133" s="24"/>
      <c r="H133" s="24"/>
      <c r="I133" s="24"/>
      <c r="J133" s="24"/>
      <c r="K133" s="24"/>
      <c r="L133" s="24"/>
      <c r="M133" s="22"/>
      <c r="N133" s="23"/>
      <c r="O133" s="24"/>
      <c r="P133" s="24"/>
      <c r="Q133" s="24"/>
      <c r="R133" s="24"/>
      <c r="S133" s="24"/>
      <c r="T133" s="24"/>
      <c r="U133" s="24"/>
      <c r="V133" s="24"/>
      <c r="W133" s="22"/>
      <c r="X133" s="23"/>
      <c r="Y133" s="24"/>
      <c r="Z133" s="24"/>
      <c r="AA133" s="24"/>
      <c r="AB133" s="24"/>
      <c r="AC133" s="24"/>
      <c r="AD133" s="24"/>
      <c r="AE133" s="24"/>
      <c r="AF133" s="24"/>
      <c r="AG133" s="22"/>
      <c r="AH133" s="203" t="str">
        <f t="shared" si="12"/>
        <v/>
      </c>
      <c r="AI133" s="204" t="str">
        <f t="shared" si="13"/>
        <v/>
      </c>
      <c r="AJ133" s="205" t="str">
        <f t="shared" si="14"/>
        <v/>
      </c>
      <c r="AK133" s="206">
        <f t="shared" si="15"/>
        <v>0</v>
      </c>
      <c r="AL133" s="168"/>
      <c r="AM133" s="168"/>
      <c r="AN133" s="168"/>
      <c r="AO133" s="168"/>
      <c r="AP133" s="168"/>
      <c r="AQ133" s="168"/>
      <c r="AR133" s="168"/>
      <c r="AS133" s="168"/>
      <c r="AT133" s="168"/>
      <c r="AU133" s="168"/>
      <c r="AV133" s="168"/>
      <c r="AW133" s="168"/>
      <c r="AX133" s="168"/>
      <c r="AY133" s="168"/>
    </row>
    <row r="134" spans="1:51">
      <c r="A134" s="16" t="s">
        <v>34</v>
      </c>
      <c r="B134" s="163"/>
      <c r="C134" s="107"/>
      <c r="D134" s="23"/>
      <c r="E134" s="24"/>
      <c r="F134" s="24"/>
      <c r="G134" s="24"/>
      <c r="H134" s="24"/>
      <c r="I134" s="24"/>
      <c r="J134" s="24"/>
      <c r="K134" s="24"/>
      <c r="L134" s="24"/>
      <c r="M134" s="22"/>
      <c r="N134" s="23"/>
      <c r="O134" s="24"/>
      <c r="P134" s="24"/>
      <c r="Q134" s="24"/>
      <c r="R134" s="24"/>
      <c r="S134" s="24"/>
      <c r="T134" s="24"/>
      <c r="U134" s="24"/>
      <c r="V134" s="24"/>
      <c r="W134" s="22"/>
      <c r="X134" s="23"/>
      <c r="Y134" s="24"/>
      <c r="Z134" s="24"/>
      <c r="AA134" s="24"/>
      <c r="AB134" s="24"/>
      <c r="AC134" s="24"/>
      <c r="AD134" s="24"/>
      <c r="AE134" s="24"/>
      <c r="AF134" s="24"/>
      <c r="AG134" s="22"/>
      <c r="AH134" s="203" t="str">
        <f t="shared" si="12"/>
        <v/>
      </c>
      <c r="AI134" s="204" t="str">
        <f t="shared" si="13"/>
        <v/>
      </c>
      <c r="AJ134" s="205" t="str">
        <f t="shared" si="14"/>
        <v/>
      </c>
      <c r="AK134" s="206">
        <f t="shared" si="15"/>
        <v>0</v>
      </c>
      <c r="AL134" s="168"/>
      <c r="AM134" s="168"/>
      <c r="AN134" s="168"/>
      <c r="AO134" s="168"/>
      <c r="AP134" s="168"/>
      <c r="AQ134" s="168"/>
      <c r="AR134" s="168"/>
      <c r="AS134" s="168"/>
      <c r="AT134" s="168"/>
      <c r="AU134" s="168"/>
      <c r="AV134" s="168"/>
      <c r="AW134" s="168"/>
      <c r="AX134" s="168"/>
      <c r="AY134" s="168"/>
    </row>
    <row r="135" spans="1:51" ht="13" thickBot="1">
      <c r="A135" s="17" t="s">
        <v>34</v>
      </c>
      <c r="B135" s="164"/>
      <c r="C135" s="113"/>
      <c r="D135" s="31"/>
      <c r="E135" s="32"/>
      <c r="F135" s="32"/>
      <c r="G135" s="32"/>
      <c r="H135" s="32"/>
      <c r="I135" s="32"/>
      <c r="J135" s="32"/>
      <c r="K135" s="32"/>
      <c r="L135" s="32"/>
      <c r="M135" s="30"/>
      <c r="N135" s="31"/>
      <c r="O135" s="32"/>
      <c r="P135" s="32"/>
      <c r="Q135" s="32"/>
      <c r="R135" s="32"/>
      <c r="S135" s="32"/>
      <c r="T135" s="32"/>
      <c r="U135" s="32"/>
      <c r="V135" s="32"/>
      <c r="W135" s="30"/>
      <c r="X135" s="31"/>
      <c r="Y135" s="32"/>
      <c r="Z135" s="32"/>
      <c r="AA135" s="32"/>
      <c r="AB135" s="32"/>
      <c r="AC135" s="32"/>
      <c r="AD135" s="32"/>
      <c r="AE135" s="32"/>
      <c r="AF135" s="32"/>
      <c r="AG135" s="30"/>
      <c r="AH135" s="207" t="str">
        <f t="shared" si="12"/>
        <v/>
      </c>
      <c r="AI135" s="208" t="str">
        <f t="shared" si="13"/>
        <v/>
      </c>
      <c r="AJ135" s="185" t="str">
        <f t="shared" si="14"/>
        <v/>
      </c>
      <c r="AK135" s="209">
        <f t="shared" si="15"/>
        <v>0</v>
      </c>
      <c r="AL135" s="168"/>
      <c r="AM135" s="168"/>
      <c r="AN135" s="168"/>
      <c r="AO135" s="168"/>
      <c r="AP135" s="168"/>
      <c r="AQ135" s="168"/>
      <c r="AR135" s="168"/>
      <c r="AS135" s="168"/>
      <c r="AT135" s="168"/>
      <c r="AU135" s="168"/>
      <c r="AV135" s="168"/>
      <c r="AW135" s="168"/>
      <c r="AX135" s="168"/>
      <c r="AY135" s="168"/>
    </row>
    <row r="136" spans="1:51" ht="13" thickBot="1">
      <c r="A136" s="294" t="s">
        <v>33</v>
      </c>
      <c r="B136" s="154"/>
      <c r="C136" s="154"/>
      <c r="D136" s="92"/>
      <c r="E136" s="93"/>
      <c r="F136" s="93"/>
      <c r="G136" s="93"/>
      <c r="H136" s="93"/>
      <c r="I136" s="93"/>
      <c r="J136" s="93"/>
      <c r="K136" s="93"/>
      <c r="L136" s="93"/>
      <c r="M136" s="96"/>
      <c r="N136" s="92"/>
      <c r="O136" s="93"/>
      <c r="P136" s="93"/>
      <c r="Q136" s="93"/>
      <c r="R136" s="93"/>
      <c r="S136" s="93"/>
      <c r="T136" s="93"/>
      <c r="U136" s="93"/>
      <c r="V136" s="93"/>
      <c r="W136" s="96"/>
      <c r="X136" s="354"/>
      <c r="Y136" s="355"/>
      <c r="Z136" s="355"/>
      <c r="AA136" s="355"/>
      <c r="AB136" s="355"/>
      <c r="AC136" s="355"/>
      <c r="AD136" s="355"/>
      <c r="AE136" s="355"/>
      <c r="AF136" s="355"/>
      <c r="AG136" s="356"/>
      <c r="AH136" s="304" t="s">
        <v>49</v>
      </c>
      <c r="AI136" s="305" t="s">
        <v>50</v>
      </c>
      <c r="AJ136" s="305" t="s">
        <v>51</v>
      </c>
      <c r="AK136" s="210"/>
      <c r="AL136" s="168"/>
      <c r="AM136" s="168"/>
      <c r="AN136" s="168"/>
      <c r="AO136" s="168"/>
      <c r="AP136" s="168"/>
      <c r="AQ136" s="168"/>
      <c r="AR136" s="168"/>
      <c r="AS136" s="168"/>
      <c r="AT136" s="168"/>
      <c r="AU136" s="168"/>
      <c r="AV136" s="168"/>
      <c r="AW136" s="168"/>
      <c r="AX136" s="168"/>
      <c r="AY136" s="168"/>
    </row>
    <row r="137" spans="1:51">
      <c r="A137" s="15" t="s">
        <v>33</v>
      </c>
      <c r="B137" s="163">
        <v>41080</v>
      </c>
      <c r="C137" s="107" t="s">
        <v>88</v>
      </c>
      <c r="D137" s="23">
        <v>0</v>
      </c>
      <c r="E137" s="24">
        <v>0</v>
      </c>
      <c r="F137" s="24">
        <v>0</v>
      </c>
      <c r="G137" s="24">
        <v>0</v>
      </c>
      <c r="H137" s="24">
        <v>0</v>
      </c>
      <c r="I137" s="24">
        <v>0</v>
      </c>
      <c r="J137" s="24">
        <v>0</v>
      </c>
      <c r="K137" s="24">
        <v>0</v>
      </c>
      <c r="L137" s="24">
        <v>0</v>
      </c>
      <c r="M137" s="22">
        <v>0</v>
      </c>
      <c r="N137" s="23"/>
      <c r="O137" s="24"/>
      <c r="P137" s="24"/>
      <c r="Q137" s="24"/>
      <c r="R137" s="24"/>
      <c r="S137" s="24"/>
      <c r="T137" s="24"/>
      <c r="U137" s="24"/>
      <c r="V137" s="24"/>
      <c r="W137" s="22"/>
      <c r="X137" s="23"/>
      <c r="Y137" s="24"/>
      <c r="Z137" s="24"/>
      <c r="AA137" s="24"/>
      <c r="AB137" s="24"/>
      <c r="AC137" s="24"/>
      <c r="AD137" s="24"/>
      <c r="AE137" s="24"/>
      <c r="AF137" s="24"/>
      <c r="AG137" s="22"/>
      <c r="AH137" s="199">
        <f t="shared" ref="AH137:AH166" si="16">IF(COUNT(D137:M137)=0,"",AVERAGE(D137:M137))</f>
        <v>0</v>
      </c>
      <c r="AI137" s="200" t="str">
        <f t="shared" ref="AI137:AI166" si="17">IF(COUNT(N137:W137)=0,"",AVERAGE(N137:W137))</f>
        <v/>
      </c>
      <c r="AJ137" s="205" t="str">
        <f t="shared" ref="AJ137:AJ166" si="18">IF(COUNT(X137:AG137)=0,"",AVERAGE(X137:AG137))</f>
        <v/>
      </c>
      <c r="AK137" s="202">
        <f t="shared" ref="AK137:AK166" si="19">IF(ISNUMBER(AH137),AH137,0)+IF(ISNUMBER(AI137),AI137,0)+IF(ISNUMBER(AJ137),AJ137,0)</f>
        <v>0</v>
      </c>
      <c r="AL137" s="168"/>
      <c r="AM137" s="168"/>
      <c r="AN137" s="168"/>
      <c r="AO137" s="168"/>
      <c r="AP137" s="168"/>
      <c r="AQ137" s="168"/>
      <c r="AR137" s="168"/>
      <c r="AS137" s="168"/>
      <c r="AT137" s="168"/>
      <c r="AU137" s="168"/>
      <c r="AV137" s="168"/>
      <c r="AW137" s="168"/>
      <c r="AX137" s="168"/>
      <c r="AY137" s="168"/>
    </row>
    <row r="138" spans="1:51">
      <c r="A138" s="16" t="s">
        <v>33</v>
      </c>
      <c r="B138" s="163">
        <v>41089</v>
      </c>
      <c r="C138" s="107" t="s">
        <v>88</v>
      </c>
      <c r="D138" s="23">
        <v>0</v>
      </c>
      <c r="E138" s="24">
        <v>0</v>
      </c>
      <c r="F138" s="24">
        <v>0</v>
      </c>
      <c r="G138" s="24">
        <v>0</v>
      </c>
      <c r="H138" s="24">
        <v>0</v>
      </c>
      <c r="I138" s="24">
        <v>0</v>
      </c>
      <c r="J138" s="24">
        <v>0</v>
      </c>
      <c r="K138" s="24">
        <v>0</v>
      </c>
      <c r="L138" s="24">
        <v>0</v>
      </c>
      <c r="M138" s="22">
        <v>0</v>
      </c>
      <c r="N138" s="23"/>
      <c r="O138" s="24"/>
      <c r="P138" s="24"/>
      <c r="Q138" s="24"/>
      <c r="R138" s="24"/>
      <c r="S138" s="24"/>
      <c r="T138" s="24"/>
      <c r="U138" s="24"/>
      <c r="V138" s="24"/>
      <c r="W138" s="22"/>
      <c r="X138" s="23"/>
      <c r="Y138" s="24"/>
      <c r="Z138" s="24"/>
      <c r="AA138" s="24"/>
      <c r="AB138" s="24"/>
      <c r="AC138" s="24"/>
      <c r="AD138" s="24"/>
      <c r="AE138" s="24"/>
      <c r="AF138" s="24"/>
      <c r="AG138" s="22"/>
      <c r="AH138" s="203">
        <f t="shared" si="16"/>
        <v>0</v>
      </c>
      <c r="AI138" s="204" t="str">
        <f t="shared" si="17"/>
        <v/>
      </c>
      <c r="AJ138" s="205" t="str">
        <f t="shared" si="18"/>
        <v/>
      </c>
      <c r="AK138" s="206">
        <f t="shared" si="19"/>
        <v>0</v>
      </c>
      <c r="AL138" s="168"/>
      <c r="AM138" s="168"/>
      <c r="AN138" s="168"/>
      <c r="AO138" s="168"/>
      <c r="AP138" s="168"/>
      <c r="AQ138" s="168"/>
      <c r="AR138" s="168"/>
      <c r="AS138" s="168"/>
      <c r="AT138" s="168"/>
      <c r="AU138" s="168"/>
      <c r="AV138" s="168"/>
      <c r="AW138" s="168"/>
      <c r="AX138" s="168"/>
      <c r="AY138" s="168"/>
    </row>
    <row r="139" spans="1:51">
      <c r="A139" s="16" t="s">
        <v>33</v>
      </c>
      <c r="B139" s="163">
        <v>41094</v>
      </c>
      <c r="C139" s="107" t="s">
        <v>89</v>
      </c>
      <c r="D139" s="23">
        <v>0</v>
      </c>
      <c r="E139" s="24">
        <v>6</v>
      </c>
      <c r="F139" s="24">
        <v>0</v>
      </c>
      <c r="G139" s="24">
        <v>0</v>
      </c>
      <c r="H139" s="24">
        <v>0</v>
      </c>
      <c r="I139" s="24">
        <v>0</v>
      </c>
      <c r="J139" s="24">
        <v>4</v>
      </c>
      <c r="K139" s="24">
        <v>3</v>
      </c>
      <c r="L139" s="24">
        <v>3</v>
      </c>
      <c r="M139" s="22">
        <v>0</v>
      </c>
      <c r="N139" s="23"/>
      <c r="O139" s="24"/>
      <c r="P139" s="24"/>
      <c r="Q139" s="24"/>
      <c r="R139" s="24"/>
      <c r="S139" s="24"/>
      <c r="T139" s="24"/>
      <c r="U139" s="24"/>
      <c r="V139" s="24"/>
      <c r="W139" s="22"/>
      <c r="X139" s="23"/>
      <c r="Y139" s="24"/>
      <c r="Z139" s="24"/>
      <c r="AA139" s="24"/>
      <c r="AB139" s="24"/>
      <c r="AC139" s="24"/>
      <c r="AD139" s="24"/>
      <c r="AE139" s="24"/>
      <c r="AF139" s="24"/>
      <c r="AG139" s="22"/>
      <c r="AH139" s="203">
        <f t="shared" si="16"/>
        <v>1.6</v>
      </c>
      <c r="AI139" s="204" t="str">
        <f t="shared" si="17"/>
        <v/>
      </c>
      <c r="AJ139" s="205" t="str">
        <f t="shared" si="18"/>
        <v/>
      </c>
      <c r="AK139" s="206">
        <f t="shared" si="19"/>
        <v>1.6</v>
      </c>
      <c r="AL139" s="168"/>
      <c r="AM139" s="168"/>
      <c r="AN139" s="168"/>
      <c r="AO139" s="168"/>
      <c r="AP139" s="168"/>
      <c r="AQ139" s="168"/>
      <c r="AR139" s="168"/>
      <c r="AS139" s="168"/>
      <c r="AT139" s="168"/>
      <c r="AU139" s="168"/>
      <c r="AV139" s="168"/>
      <c r="AW139" s="168"/>
      <c r="AX139" s="168"/>
      <c r="AY139" s="168"/>
    </row>
    <row r="140" spans="1:51">
      <c r="A140" s="16" t="s">
        <v>33</v>
      </c>
      <c r="B140" s="163">
        <v>41102</v>
      </c>
      <c r="C140" s="107" t="s">
        <v>89</v>
      </c>
      <c r="D140" s="23">
        <v>0</v>
      </c>
      <c r="E140" s="24">
        <v>2</v>
      </c>
      <c r="F140" s="24">
        <v>7</v>
      </c>
      <c r="G140" s="24">
        <v>0</v>
      </c>
      <c r="H140" s="24">
        <v>4</v>
      </c>
      <c r="I140" s="24">
        <v>0</v>
      </c>
      <c r="J140" s="24">
        <v>8</v>
      </c>
      <c r="K140" s="24">
        <v>7</v>
      </c>
      <c r="L140" s="24">
        <v>2</v>
      </c>
      <c r="M140" s="22">
        <v>11</v>
      </c>
      <c r="N140" s="23">
        <v>0</v>
      </c>
      <c r="O140" s="24">
        <v>15</v>
      </c>
      <c r="P140" s="24">
        <v>4</v>
      </c>
      <c r="Q140" s="24">
        <v>0</v>
      </c>
      <c r="R140" s="24">
        <v>2</v>
      </c>
      <c r="S140" s="24">
        <v>0</v>
      </c>
      <c r="T140" s="24">
        <v>3</v>
      </c>
      <c r="U140" s="24">
        <v>13</v>
      </c>
      <c r="V140" s="24">
        <v>3</v>
      </c>
      <c r="W140" s="22">
        <v>15</v>
      </c>
      <c r="X140" s="23"/>
      <c r="Y140" s="24"/>
      <c r="Z140" s="24"/>
      <c r="AA140" s="24"/>
      <c r="AB140" s="24"/>
      <c r="AC140" s="24"/>
      <c r="AD140" s="24"/>
      <c r="AE140" s="24"/>
      <c r="AF140" s="24"/>
      <c r="AG140" s="22"/>
      <c r="AH140" s="203">
        <f t="shared" si="16"/>
        <v>4.0999999999999996</v>
      </c>
      <c r="AI140" s="204">
        <f t="shared" si="17"/>
        <v>5.5</v>
      </c>
      <c r="AJ140" s="205" t="str">
        <f t="shared" si="18"/>
        <v/>
      </c>
      <c r="AK140" s="206">
        <f t="shared" si="19"/>
        <v>9.6</v>
      </c>
      <c r="AL140" s="168"/>
      <c r="AM140" s="168"/>
      <c r="AN140" s="168"/>
      <c r="AO140" s="168"/>
      <c r="AP140" s="168"/>
      <c r="AQ140" s="168"/>
      <c r="AR140" s="168"/>
      <c r="AS140" s="168"/>
      <c r="AT140" s="168"/>
      <c r="AU140" s="168"/>
      <c r="AV140" s="168"/>
      <c r="AW140" s="168"/>
      <c r="AX140" s="168"/>
      <c r="AY140" s="168"/>
    </row>
    <row r="141" spans="1:51">
      <c r="A141" s="16" t="s">
        <v>33</v>
      </c>
      <c r="B141" s="163">
        <v>41108</v>
      </c>
      <c r="C141" s="107" t="s">
        <v>89</v>
      </c>
      <c r="D141" s="23">
        <v>0</v>
      </c>
      <c r="E141" s="24">
        <v>0</v>
      </c>
      <c r="F141" s="24">
        <v>1</v>
      </c>
      <c r="G141" s="24">
        <v>0</v>
      </c>
      <c r="H141" s="24">
        <v>0</v>
      </c>
      <c r="I141" s="24">
        <v>0</v>
      </c>
      <c r="J141" s="24">
        <v>0</v>
      </c>
      <c r="K141" s="24">
        <v>3</v>
      </c>
      <c r="L141" s="24">
        <v>0</v>
      </c>
      <c r="M141" s="22">
        <v>10</v>
      </c>
      <c r="N141" s="23">
        <v>0</v>
      </c>
      <c r="O141" s="24">
        <v>0</v>
      </c>
      <c r="P141" s="24">
        <v>0</v>
      </c>
      <c r="Q141" s="24">
        <v>0</v>
      </c>
      <c r="R141" s="24">
        <v>0</v>
      </c>
      <c r="S141" s="24">
        <v>0</v>
      </c>
      <c r="T141" s="24">
        <v>2</v>
      </c>
      <c r="U141" s="24">
        <v>7</v>
      </c>
      <c r="V141" s="24">
        <v>0</v>
      </c>
      <c r="W141" s="22">
        <v>8</v>
      </c>
      <c r="X141" s="23"/>
      <c r="Y141" s="24"/>
      <c r="Z141" s="24"/>
      <c r="AA141" s="24"/>
      <c r="AB141" s="24"/>
      <c r="AC141" s="24"/>
      <c r="AD141" s="24"/>
      <c r="AE141" s="24"/>
      <c r="AF141" s="24"/>
      <c r="AG141" s="22"/>
      <c r="AH141" s="203">
        <f t="shared" si="16"/>
        <v>1.4</v>
      </c>
      <c r="AI141" s="204">
        <f t="shared" si="17"/>
        <v>1.7</v>
      </c>
      <c r="AJ141" s="205" t="str">
        <f t="shared" si="18"/>
        <v/>
      </c>
      <c r="AK141" s="206">
        <f t="shared" si="19"/>
        <v>3.0999999999999996</v>
      </c>
      <c r="AL141" s="168"/>
      <c r="AM141" s="168"/>
      <c r="AN141" s="168"/>
      <c r="AO141" s="168"/>
      <c r="AP141" s="168"/>
      <c r="AQ141" s="168"/>
      <c r="AR141" s="168"/>
      <c r="AS141" s="168"/>
      <c r="AT141" s="168"/>
      <c r="AU141" s="168"/>
      <c r="AV141" s="168"/>
      <c r="AW141" s="168"/>
      <c r="AX141" s="168"/>
      <c r="AY141" s="168"/>
    </row>
    <row r="142" spans="1:51">
      <c r="A142" s="16" t="s">
        <v>33</v>
      </c>
      <c r="B142" s="163">
        <v>41113</v>
      </c>
      <c r="C142" s="107" t="s">
        <v>89</v>
      </c>
      <c r="D142" s="23">
        <v>0</v>
      </c>
      <c r="E142" s="24">
        <v>0</v>
      </c>
      <c r="F142" s="24">
        <v>0</v>
      </c>
      <c r="G142" s="24">
        <v>0</v>
      </c>
      <c r="H142" s="24">
        <v>0</v>
      </c>
      <c r="I142" s="24">
        <v>0</v>
      </c>
      <c r="J142" s="24">
        <v>0</v>
      </c>
      <c r="K142" s="24">
        <v>0</v>
      </c>
      <c r="L142" s="24">
        <v>0</v>
      </c>
      <c r="M142" s="22">
        <v>0</v>
      </c>
      <c r="N142" s="23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2</v>
      </c>
      <c r="V142" s="24">
        <v>0</v>
      </c>
      <c r="W142" s="22">
        <v>14</v>
      </c>
      <c r="X142" s="23"/>
      <c r="Y142" s="24"/>
      <c r="Z142" s="24"/>
      <c r="AA142" s="24"/>
      <c r="AB142" s="24"/>
      <c r="AC142" s="24"/>
      <c r="AD142" s="24"/>
      <c r="AE142" s="24"/>
      <c r="AF142" s="24"/>
      <c r="AG142" s="22"/>
      <c r="AH142" s="203">
        <f t="shared" si="16"/>
        <v>0</v>
      </c>
      <c r="AI142" s="204">
        <f t="shared" si="17"/>
        <v>1.6</v>
      </c>
      <c r="AJ142" s="205" t="str">
        <f t="shared" si="18"/>
        <v/>
      </c>
      <c r="AK142" s="206">
        <f t="shared" si="19"/>
        <v>1.6</v>
      </c>
      <c r="AL142" s="168"/>
      <c r="AM142" s="168"/>
      <c r="AN142" s="168"/>
      <c r="AO142" s="168"/>
      <c r="AP142" s="168"/>
      <c r="AQ142" s="168"/>
      <c r="AR142" s="168"/>
      <c r="AS142" s="168"/>
      <c r="AT142" s="168"/>
      <c r="AU142" s="168"/>
      <c r="AV142" s="168"/>
      <c r="AW142" s="168"/>
      <c r="AX142" s="168"/>
      <c r="AY142" s="168"/>
    </row>
    <row r="143" spans="1:51">
      <c r="A143" s="16" t="s">
        <v>33</v>
      </c>
      <c r="B143" s="163">
        <v>41120</v>
      </c>
      <c r="C143" s="107" t="s">
        <v>87</v>
      </c>
      <c r="D143" s="23">
        <v>0</v>
      </c>
      <c r="E143" s="24">
        <v>0</v>
      </c>
      <c r="F143" s="24">
        <v>0</v>
      </c>
      <c r="G143" s="24">
        <v>0</v>
      </c>
      <c r="H143" s="24">
        <v>0</v>
      </c>
      <c r="I143" s="24">
        <v>0</v>
      </c>
      <c r="J143" s="24">
        <v>0</v>
      </c>
      <c r="K143" s="24">
        <v>0</v>
      </c>
      <c r="L143" s="24">
        <v>0</v>
      </c>
      <c r="M143" s="22">
        <v>0</v>
      </c>
      <c r="N143" s="23">
        <v>0</v>
      </c>
      <c r="O143" s="24">
        <v>0</v>
      </c>
      <c r="P143" s="24">
        <v>0</v>
      </c>
      <c r="Q143" s="24">
        <v>0</v>
      </c>
      <c r="R143" s="24">
        <v>0</v>
      </c>
      <c r="S143" s="24">
        <v>0</v>
      </c>
      <c r="T143" s="24">
        <v>0</v>
      </c>
      <c r="U143" s="24">
        <v>1</v>
      </c>
      <c r="V143" s="24">
        <v>0</v>
      </c>
      <c r="W143" s="22">
        <v>13</v>
      </c>
      <c r="X143" s="23"/>
      <c r="Y143" s="24"/>
      <c r="Z143" s="24"/>
      <c r="AA143" s="24"/>
      <c r="AB143" s="24"/>
      <c r="AC143" s="24"/>
      <c r="AD143" s="24"/>
      <c r="AE143" s="24"/>
      <c r="AF143" s="24"/>
      <c r="AG143" s="22"/>
      <c r="AH143" s="203">
        <f t="shared" si="16"/>
        <v>0</v>
      </c>
      <c r="AI143" s="204">
        <f t="shared" si="17"/>
        <v>1.4</v>
      </c>
      <c r="AJ143" s="205" t="str">
        <f t="shared" si="18"/>
        <v/>
      </c>
      <c r="AK143" s="206">
        <f t="shared" si="19"/>
        <v>1.4</v>
      </c>
      <c r="AL143" s="168"/>
      <c r="AM143" s="168"/>
      <c r="AN143" s="168"/>
      <c r="AO143" s="168"/>
      <c r="AP143" s="168"/>
      <c r="AQ143" s="168"/>
      <c r="AR143" s="168"/>
      <c r="AS143" s="168"/>
      <c r="AT143" s="168"/>
      <c r="AU143" s="168"/>
      <c r="AV143" s="168"/>
      <c r="AW143" s="168"/>
      <c r="AX143" s="168"/>
      <c r="AY143" s="168"/>
    </row>
    <row r="144" spans="1:51">
      <c r="A144" s="16" t="s">
        <v>33</v>
      </c>
      <c r="B144" s="163">
        <v>41129</v>
      </c>
      <c r="C144" s="107" t="s">
        <v>87</v>
      </c>
      <c r="D144" s="23">
        <v>0</v>
      </c>
      <c r="E144" s="24">
        <v>0</v>
      </c>
      <c r="F144" s="24">
        <v>0</v>
      </c>
      <c r="G144" s="24">
        <v>0</v>
      </c>
      <c r="H144" s="24">
        <v>0</v>
      </c>
      <c r="I144" s="24">
        <v>0</v>
      </c>
      <c r="J144" s="24">
        <v>0</v>
      </c>
      <c r="K144" s="24">
        <v>0</v>
      </c>
      <c r="L144" s="24">
        <v>0</v>
      </c>
      <c r="M144" s="22">
        <v>0</v>
      </c>
      <c r="N144" s="23">
        <v>0</v>
      </c>
      <c r="O144" s="24">
        <v>0</v>
      </c>
      <c r="P144" s="24">
        <v>0</v>
      </c>
      <c r="Q144" s="24">
        <v>0</v>
      </c>
      <c r="R144" s="24">
        <v>0</v>
      </c>
      <c r="S144" s="24">
        <v>0</v>
      </c>
      <c r="T144" s="24">
        <v>0</v>
      </c>
      <c r="U144" s="24">
        <v>0</v>
      </c>
      <c r="V144" s="24">
        <v>0</v>
      </c>
      <c r="W144" s="22">
        <v>6</v>
      </c>
      <c r="X144" s="23"/>
      <c r="Y144" s="24"/>
      <c r="Z144" s="24"/>
      <c r="AA144" s="24"/>
      <c r="AB144" s="24"/>
      <c r="AC144" s="24"/>
      <c r="AD144" s="24"/>
      <c r="AE144" s="24"/>
      <c r="AF144" s="24"/>
      <c r="AG144" s="22"/>
      <c r="AH144" s="203">
        <f t="shared" si="16"/>
        <v>0</v>
      </c>
      <c r="AI144" s="204">
        <f t="shared" si="17"/>
        <v>0.6</v>
      </c>
      <c r="AJ144" s="205" t="str">
        <f t="shared" si="18"/>
        <v/>
      </c>
      <c r="AK144" s="206">
        <f t="shared" si="19"/>
        <v>0.6</v>
      </c>
      <c r="AL144" s="168"/>
      <c r="AM144" s="168"/>
      <c r="AN144" s="168"/>
      <c r="AO144" s="168"/>
      <c r="AP144" s="168"/>
      <c r="AQ144" s="168"/>
      <c r="AR144" s="168"/>
      <c r="AS144" s="168"/>
      <c r="AT144" s="168"/>
      <c r="AU144" s="168"/>
      <c r="AV144" s="168"/>
      <c r="AW144" s="168"/>
      <c r="AX144" s="168"/>
      <c r="AY144" s="168"/>
    </row>
    <row r="145" spans="1:51">
      <c r="A145" s="16" t="s">
        <v>33</v>
      </c>
      <c r="B145" s="163">
        <v>41135</v>
      </c>
      <c r="C145" s="107" t="s">
        <v>87</v>
      </c>
      <c r="D145" s="23">
        <v>0</v>
      </c>
      <c r="E145" s="24">
        <v>0</v>
      </c>
      <c r="F145" s="24">
        <v>0</v>
      </c>
      <c r="G145" s="24">
        <v>0</v>
      </c>
      <c r="H145" s="24">
        <v>0</v>
      </c>
      <c r="I145" s="24">
        <v>0</v>
      </c>
      <c r="J145" s="24">
        <v>0</v>
      </c>
      <c r="K145" s="24">
        <v>0</v>
      </c>
      <c r="L145" s="24">
        <v>0</v>
      </c>
      <c r="M145" s="22">
        <v>0</v>
      </c>
      <c r="N145" s="23">
        <v>0</v>
      </c>
      <c r="O145" s="24">
        <v>0</v>
      </c>
      <c r="P145" s="24">
        <v>0</v>
      </c>
      <c r="Q145" s="24">
        <v>0</v>
      </c>
      <c r="R145" s="24">
        <v>0</v>
      </c>
      <c r="S145" s="24">
        <v>0</v>
      </c>
      <c r="T145" s="24">
        <v>0</v>
      </c>
      <c r="U145" s="24">
        <v>0</v>
      </c>
      <c r="V145" s="24">
        <v>0</v>
      </c>
      <c r="W145" s="22">
        <v>5</v>
      </c>
      <c r="X145" s="23"/>
      <c r="Y145" s="24"/>
      <c r="Z145" s="24"/>
      <c r="AA145" s="24"/>
      <c r="AB145" s="24"/>
      <c r="AC145" s="24"/>
      <c r="AD145" s="24"/>
      <c r="AE145" s="24"/>
      <c r="AF145" s="24"/>
      <c r="AG145" s="22"/>
      <c r="AH145" s="203">
        <f t="shared" si="16"/>
        <v>0</v>
      </c>
      <c r="AI145" s="204">
        <f t="shared" si="17"/>
        <v>0.5</v>
      </c>
      <c r="AJ145" s="205" t="str">
        <f t="shared" si="18"/>
        <v/>
      </c>
      <c r="AK145" s="206">
        <f t="shared" si="19"/>
        <v>0.5</v>
      </c>
      <c r="AL145" s="168"/>
      <c r="AM145" s="168"/>
      <c r="AN145" s="168"/>
      <c r="AO145" s="168"/>
      <c r="AP145" s="168"/>
      <c r="AQ145" s="168"/>
      <c r="AR145" s="168"/>
      <c r="AS145" s="168"/>
      <c r="AT145" s="168"/>
      <c r="AU145" s="168"/>
      <c r="AV145" s="168"/>
      <c r="AW145" s="168"/>
      <c r="AX145" s="168"/>
      <c r="AY145" s="168"/>
    </row>
    <row r="146" spans="1:51">
      <c r="A146" s="16" t="s">
        <v>33</v>
      </c>
      <c r="B146" s="163">
        <v>41141</v>
      </c>
      <c r="C146" s="107" t="s">
        <v>87</v>
      </c>
      <c r="D146" s="23">
        <v>0</v>
      </c>
      <c r="E146" s="24">
        <v>0</v>
      </c>
      <c r="F146" s="24">
        <v>0</v>
      </c>
      <c r="G146" s="24">
        <v>0</v>
      </c>
      <c r="H146" s="24">
        <v>0</v>
      </c>
      <c r="I146" s="24">
        <v>0</v>
      </c>
      <c r="J146" s="24">
        <v>0</v>
      </c>
      <c r="K146" s="24">
        <v>0</v>
      </c>
      <c r="L146" s="24">
        <v>0</v>
      </c>
      <c r="M146" s="22">
        <v>0</v>
      </c>
      <c r="N146" s="23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2">
        <v>4</v>
      </c>
      <c r="X146" s="23"/>
      <c r="Y146" s="24"/>
      <c r="Z146" s="24"/>
      <c r="AA146" s="24"/>
      <c r="AB146" s="24"/>
      <c r="AC146" s="24"/>
      <c r="AD146" s="24"/>
      <c r="AE146" s="24"/>
      <c r="AF146" s="24"/>
      <c r="AG146" s="22"/>
      <c r="AH146" s="203">
        <f t="shared" si="16"/>
        <v>0</v>
      </c>
      <c r="AI146" s="204">
        <f t="shared" si="17"/>
        <v>0.4</v>
      </c>
      <c r="AJ146" s="205" t="str">
        <f t="shared" si="18"/>
        <v/>
      </c>
      <c r="AK146" s="206">
        <f t="shared" si="19"/>
        <v>0.4</v>
      </c>
      <c r="AL146" s="168"/>
      <c r="AM146" s="168"/>
      <c r="AN146" s="168"/>
      <c r="AO146" s="168"/>
      <c r="AP146" s="168"/>
      <c r="AQ146" s="168"/>
      <c r="AR146" s="168"/>
      <c r="AS146" s="168"/>
      <c r="AT146" s="168"/>
      <c r="AU146" s="168"/>
      <c r="AV146" s="168"/>
      <c r="AW146" s="168"/>
      <c r="AX146" s="168"/>
      <c r="AY146" s="168"/>
    </row>
    <row r="147" spans="1:51">
      <c r="A147" s="16" t="s">
        <v>33</v>
      </c>
      <c r="B147" s="163">
        <v>41149</v>
      </c>
      <c r="C147" s="107" t="s">
        <v>87</v>
      </c>
      <c r="D147" s="23">
        <v>0</v>
      </c>
      <c r="E147" s="24">
        <v>0</v>
      </c>
      <c r="F147" s="24">
        <v>0</v>
      </c>
      <c r="G147" s="24">
        <v>0</v>
      </c>
      <c r="H147" s="24">
        <v>0</v>
      </c>
      <c r="I147" s="24">
        <v>0</v>
      </c>
      <c r="J147" s="24">
        <v>0</v>
      </c>
      <c r="K147" s="24">
        <v>0</v>
      </c>
      <c r="L147" s="24">
        <v>0</v>
      </c>
      <c r="M147" s="22">
        <v>0</v>
      </c>
      <c r="N147" s="23">
        <v>0</v>
      </c>
      <c r="O147" s="24">
        <v>0</v>
      </c>
      <c r="P147" s="24">
        <v>0</v>
      </c>
      <c r="Q147" s="24">
        <v>0</v>
      </c>
      <c r="R147" s="24">
        <v>0</v>
      </c>
      <c r="S147" s="24">
        <v>0</v>
      </c>
      <c r="T147" s="24">
        <v>0</v>
      </c>
      <c r="U147" s="24">
        <v>0</v>
      </c>
      <c r="V147" s="24">
        <v>0</v>
      </c>
      <c r="W147" s="22">
        <v>2</v>
      </c>
      <c r="X147" s="23">
        <v>0</v>
      </c>
      <c r="Y147" s="24">
        <v>0</v>
      </c>
      <c r="Z147" s="24">
        <v>0</v>
      </c>
      <c r="AA147" s="24">
        <v>0</v>
      </c>
      <c r="AB147" s="24">
        <v>0</v>
      </c>
      <c r="AC147" s="24">
        <v>0</v>
      </c>
      <c r="AD147" s="24">
        <v>0</v>
      </c>
      <c r="AE147" s="24">
        <v>0</v>
      </c>
      <c r="AF147" s="24">
        <v>0</v>
      </c>
      <c r="AG147" s="22">
        <v>1</v>
      </c>
      <c r="AH147" s="203">
        <f t="shared" si="16"/>
        <v>0</v>
      </c>
      <c r="AI147" s="204">
        <f t="shared" si="17"/>
        <v>0.2</v>
      </c>
      <c r="AJ147" s="205">
        <f t="shared" si="18"/>
        <v>0.1</v>
      </c>
      <c r="AK147" s="206">
        <f t="shared" si="19"/>
        <v>0.30000000000000004</v>
      </c>
      <c r="AL147" s="168"/>
      <c r="AM147" s="168"/>
      <c r="AN147" s="168"/>
      <c r="AO147" s="168"/>
      <c r="AP147" s="168"/>
      <c r="AQ147" s="168"/>
      <c r="AR147" s="168"/>
      <c r="AS147" s="168"/>
      <c r="AT147" s="168"/>
      <c r="AU147" s="168"/>
      <c r="AV147" s="168"/>
      <c r="AW147" s="168"/>
      <c r="AX147" s="168"/>
      <c r="AY147" s="168"/>
    </row>
    <row r="148" spans="1:51">
      <c r="A148" s="16" t="s">
        <v>33</v>
      </c>
      <c r="B148" s="163">
        <v>41155</v>
      </c>
      <c r="C148" s="107" t="s">
        <v>87</v>
      </c>
      <c r="D148" s="23">
        <v>0</v>
      </c>
      <c r="E148" s="24">
        <v>0</v>
      </c>
      <c r="F148" s="24">
        <v>0</v>
      </c>
      <c r="G148" s="24">
        <v>0</v>
      </c>
      <c r="H148" s="24">
        <v>0</v>
      </c>
      <c r="I148" s="24">
        <v>0</v>
      </c>
      <c r="J148" s="24">
        <v>0</v>
      </c>
      <c r="K148" s="24">
        <v>0</v>
      </c>
      <c r="L148" s="24">
        <v>0</v>
      </c>
      <c r="M148" s="22">
        <v>0</v>
      </c>
      <c r="N148" s="23">
        <v>0</v>
      </c>
      <c r="O148" s="24">
        <v>0</v>
      </c>
      <c r="P148" s="24">
        <v>0</v>
      </c>
      <c r="Q148" s="24">
        <v>0</v>
      </c>
      <c r="R148" s="24">
        <v>0</v>
      </c>
      <c r="S148" s="24">
        <v>0</v>
      </c>
      <c r="T148" s="24">
        <v>0</v>
      </c>
      <c r="U148" s="24">
        <v>0</v>
      </c>
      <c r="V148" s="24">
        <v>0</v>
      </c>
      <c r="W148" s="22">
        <v>0</v>
      </c>
      <c r="X148" s="23">
        <v>0</v>
      </c>
      <c r="Y148" s="24">
        <v>0</v>
      </c>
      <c r="Z148" s="24">
        <v>0</v>
      </c>
      <c r="AA148" s="24">
        <v>0</v>
      </c>
      <c r="AB148" s="24">
        <v>0</v>
      </c>
      <c r="AC148" s="24">
        <v>0</v>
      </c>
      <c r="AD148" s="24">
        <v>0</v>
      </c>
      <c r="AE148" s="24">
        <v>0</v>
      </c>
      <c r="AF148" s="24">
        <v>0</v>
      </c>
      <c r="AG148" s="22">
        <v>3</v>
      </c>
      <c r="AH148" s="203">
        <f t="shared" si="16"/>
        <v>0</v>
      </c>
      <c r="AI148" s="204">
        <f t="shared" si="17"/>
        <v>0</v>
      </c>
      <c r="AJ148" s="205">
        <f t="shared" si="18"/>
        <v>0.3</v>
      </c>
      <c r="AK148" s="206">
        <f t="shared" si="19"/>
        <v>0.3</v>
      </c>
      <c r="AL148" s="168"/>
      <c r="AM148" s="168"/>
      <c r="AN148" s="168"/>
      <c r="AO148" s="168"/>
      <c r="AP148" s="168"/>
      <c r="AQ148" s="168"/>
      <c r="AR148" s="168"/>
      <c r="AS148" s="168"/>
      <c r="AT148" s="168"/>
      <c r="AU148" s="168"/>
      <c r="AV148" s="168"/>
      <c r="AW148" s="168"/>
      <c r="AX148" s="168"/>
      <c r="AY148" s="168"/>
    </row>
    <row r="149" spans="1:51">
      <c r="A149" s="16" t="s">
        <v>33</v>
      </c>
      <c r="B149" s="163">
        <v>41162</v>
      </c>
      <c r="C149" s="107" t="s">
        <v>87</v>
      </c>
      <c r="D149" s="23">
        <v>0</v>
      </c>
      <c r="E149" s="24">
        <v>0</v>
      </c>
      <c r="F149" s="24">
        <v>0</v>
      </c>
      <c r="G149" s="24">
        <v>0</v>
      </c>
      <c r="H149" s="24">
        <v>0</v>
      </c>
      <c r="I149" s="24">
        <v>0</v>
      </c>
      <c r="J149" s="24">
        <v>0</v>
      </c>
      <c r="K149" s="24">
        <v>0</v>
      </c>
      <c r="L149" s="24">
        <v>0</v>
      </c>
      <c r="M149" s="22">
        <v>0</v>
      </c>
      <c r="N149" s="23">
        <v>0</v>
      </c>
      <c r="O149" s="24">
        <v>0</v>
      </c>
      <c r="P149" s="24">
        <v>0</v>
      </c>
      <c r="Q149" s="24">
        <v>0</v>
      </c>
      <c r="R149" s="24">
        <v>0</v>
      </c>
      <c r="S149" s="24">
        <v>0</v>
      </c>
      <c r="T149" s="24">
        <v>0</v>
      </c>
      <c r="U149" s="24">
        <v>0</v>
      </c>
      <c r="V149" s="24">
        <v>0</v>
      </c>
      <c r="W149" s="22">
        <v>0</v>
      </c>
      <c r="X149" s="23">
        <v>0</v>
      </c>
      <c r="Y149" s="24">
        <v>0</v>
      </c>
      <c r="Z149" s="24">
        <v>0</v>
      </c>
      <c r="AA149" s="24">
        <v>0</v>
      </c>
      <c r="AB149" s="24">
        <v>0</v>
      </c>
      <c r="AC149" s="24">
        <v>0</v>
      </c>
      <c r="AD149" s="24">
        <v>0</v>
      </c>
      <c r="AE149" s="24">
        <v>0</v>
      </c>
      <c r="AF149" s="24">
        <v>0</v>
      </c>
      <c r="AG149" s="22">
        <v>3</v>
      </c>
      <c r="AH149" s="203">
        <f t="shared" si="16"/>
        <v>0</v>
      </c>
      <c r="AI149" s="204">
        <f t="shared" si="17"/>
        <v>0</v>
      </c>
      <c r="AJ149" s="205">
        <f t="shared" si="18"/>
        <v>0.3</v>
      </c>
      <c r="AK149" s="206">
        <f t="shared" si="19"/>
        <v>0.3</v>
      </c>
      <c r="AL149" s="168"/>
      <c r="AM149" s="168"/>
      <c r="AN149" s="168"/>
      <c r="AO149" s="168"/>
      <c r="AP149" s="168"/>
      <c r="AQ149" s="168"/>
      <c r="AR149" s="168"/>
      <c r="AS149" s="168"/>
      <c r="AT149" s="168"/>
      <c r="AU149" s="168"/>
      <c r="AV149" s="168"/>
      <c r="AW149" s="168"/>
      <c r="AX149" s="168"/>
      <c r="AY149" s="168"/>
    </row>
    <row r="150" spans="1:51">
      <c r="A150" s="16" t="s">
        <v>33</v>
      </c>
      <c r="B150" s="163">
        <v>41169</v>
      </c>
      <c r="C150" s="107" t="s">
        <v>87</v>
      </c>
      <c r="D150" s="23">
        <v>0</v>
      </c>
      <c r="E150" s="24">
        <v>0</v>
      </c>
      <c r="F150" s="24">
        <v>0</v>
      </c>
      <c r="G150" s="24">
        <v>0</v>
      </c>
      <c r="H150" s="24">
        <v>0</v>
      </c>
      <c r="I150" s="24">
        <v>0</v>
      </c>
      <c r="J150" s="24">
        <v>0</v>
      </c>
      <c r="K150" s="24">
        <v>0</v>
      </c>
      <c r="L150" s="24">
        <v>0</v>
      </c>
      <c r="M150" s="22">
        <v>0</v>
      </c>
      <c r="N150" s="23">
        <v>0</v>
      </c>
      <c r="O150" s="24">
        <v>0</v>
      </c>
      <c r="P150" s="24">
        <v>0</v>
      </c>
      <c r="Q150" s="24">
        <v>0</v>
      </c>
      <c r="R150" s="24">
        <v>0</v>
      </c>
      <c r="S150" s="24">
        <v>0</v>
      </c>
      <c r="T150" s="24">
        <v>0</v>
      </c>
      <c r="U150" s="24">
        <v>0</v>
      </c>
      <c r="V150" s="24">
        <v>0</v>
      </c>
      <c r="W150" s="22">
        <v>0</v>
      </c>
      <c r="X150" s="23">
        <v>0</v>
      </c>
      <c r="Y150" s="24">
        <v>0</v>
      </c>
      <c r="Z150" s="24">
        <v>0</v>
      </c>
      <c r="AA150" s="24">
        <v>0</v>
      </c>
      <c r="AB150" s="24">
        <v>0</v>
      </c>
      <c r="AC150" s="24">
        <v>0</v>
      </c>
      <c r="AD150" s="24">
        <v>0</v>
      </c>
      <c r="AE150" s="24">
        <v>0</v>
      </c>
      <c r="AF150" s="24">
        <v>0</v>
      </c>
      <c r="AG150" s="22">
        <v>3</v>
      </c>
      <c r="AH150" s="203">
        <f t="shared" si="16"/>
        <v>0</v>
      </c>
      <c r="AI150" s="204">
        <f t="shared" si="17"/>
        <v>0</v>
      </c>
      <c r="AJ150" s="205">
        <f t="shared" si="18"/>
        <v>0.3</v>
      </c>
      <c r="AK150" s="206">
        <f t="shared" si="19"/>
        <v>0.3</v>
      </c>
      <c r="AL150" s="168"/>
      <c r="AM150" s="168"/>
      <c r="AN150" s="168"/>
      <c r="AO150" s="168"/>
      <c r="AP150" s="168"/>
      <c r="AQ150" s="168"/>
      <c r="AR150" s="168"/>
      <c r="AS150" s="168"/>
      <c r="AT150" s="168"/>
      <c r="AU150" s="168"/>
      <c r="AV150" s="168"/>
      <c r="AW150" s="168"/>
      <c r="AX150" s="168"/>
      <c r="AY150" s="168"/>
    </row>
    <row r="151" spans="1:51">
      <c r="A151" s="16" t="s">
        <v>33</v>
      </c>
      <c r="B151" s="163">
        <v>41176</v>
      </c>
      <c r="C151" s="107" t="s">
        <v>87</v>
      </c>
      <c r="D151" s="23">
        <v>0</v>
      </c>
      <c r="E151" s="24">
        <v>0</v>
      </c>
      <c r="F151" s="24">
        <v>0</v>
      </c>
      <c r="G151" s="24">
        <v>0</v>
      </c>
      <c r="H151" s="24">
        <v>0</v>
      </c>
      <c r="I151" s="24">
        <v>0</v>
      </c>
      <c r="J151" s="24">
        <v>0</v>
      </c>
      <c r="K151" s="24">
        <v>0</v>
      </c>
      <c r="L151" s="24">
        <v>0</v>
      </c>
      <c r="M151" s="22">
        <v>0</v>
      </c>
      <c r="N151" s="23">
        <v>0</v>
      </c>
      <c r="O151" s="24">
        <v>0</v>
      </c>
      <c r="P151" s="24">
        <v>0</v>
      </c>
      <c r="Q151" s="24">
        <v>0</v>
      </c>
      <c r="R151" s="24">
        <v>0</v>
      </c>
      <c r="S151" s="24">
        <v>0</v>
      </c>
      <c r="T151" s="24">
        <v>0</v>
      </c>
      <c r="U151" s="24">
        <v>0</v>
      </c>
      <c r="V151" s="24">
        <v>0</v>
      </c>
      <c r="W151" s="22">
        <v>0</v>
      </c>
      <c r="X151" s="23">
        <v>0</v>
      </c>
      <c r="Y151" s="24">
        <v>0</v>
      </c>
      <c r="Z151" s="24">
        <v>0</v>
      </c>
      <c r="AA151" s="24">
        <v>0</v>
      </c>
      <c r="AB151" s="24">
        <v>0</v>
      </c>
      <c r="AC151" s="24">
        <v>0</v>
      </c>
      <c r="AD151" s="24">
        <v>0</v>
      </c>
      <c r="AE151" s="24">
        <v>0</v>
      </c>
      <c r="AF151" s="24">
        <v>0</v>
      </c>
      <c r="AG151" s="22">
        <v>3</v>
      </c>
      <c r="AH151" s="203">
        <f t="shared" si="16"/>
        <v>0</v>
      </c>
      <c r="AI151" s="204">
        <f t="shared" si="17"/>
        <v>0</v>
      </c>
      <c r="AJ151" s="205">
        <f t="shared" si="18"/>
        <v>0.3</v>
      </c>
      <c r="AK151" s="206">
        <f t="shared" si="19"/>
        <v>0.3</v>
      </c>
      <c r="AL151" s="168"/>
      <c r="AM151" s="168"/>
      <c r="AN151" s="168"/>
      <c r="AO151" s="168"/>
      <c r="AP151" s="168"/>
      <c r="AQ151" s="168"/>
      <c r="AR151" s="168"/>
      <c r="AS151" s="168"/>
      <c r="AT151" s="168"/>
      <c r="AU151" s="168"/>
      <c r="AV151" s="168"/>
      <c r="AW151" s="168"/>
      <c r="AX151" s="168"/>
      <c r="AY151" s="168"/>
    </row>
    <row r="152" spans="1:51">
      <c r="A152" s="16" t="s">
        <v>33</v>
      </c>
      <c r="B152" s="163">
        <v>41183</v>
      </c>
      <c r="C152" s="107" t="s">
        <v>87</v>
      </c>
      <c r="D152" s="23">
        <v>0</v>
      </c>
      <c r="E152" s="24">
        <v>0</v>
      </c>
      <c r="F152" s="24">
        <v>0</v>
      </c>
      <c r="G152" s="24">
        <v>0</v>
      </c>
      <c r="H152" s="24">
        <v>0</v>
      </c>
      <c r="I152" s="24">
        <v>0</v>
      </c>
      <c r="J152" s="24">
        <v>0</v>
      </c>
      <c r="K152" s="24">
        <v>0</v>
      </c>
      <c r="L152" s="24">
        <v>0</v>
      </c>
      <c r="M152" s="22">
        <v>0</v>
      </c>
      <c r="N152" s="23">
        <v>0</v>
      </c>
      <c r="O152" s="24">
        <v>0</v>
      </c>
      <c r="P152" s="24">
        <v>0</v>
      </c>
      <c r="Q152" s="24">
        <v>0</v>
      </c>
      <c r="R152" s="24">
        <v>0</v>
      </c>
      <c r="S152" s="24">
        <v>0</v>
      </c>
      <c r="T152" s="24">
        <v>0</v>
      </c>
      <c r="U152" s="24">
        <v>0</v>
      </c>
      <c r="V152" s="24">
        <v>0</v>
      </c>
      <c r="W152" s="22">
        <v>0</v>
      </c>
      <c r="X152" s="23">
        <v>0</v>
      </c>
      <c r="Y152" s="24">
        <v>0</v>
      </c>
      <c r="Z152" s="24">
        <v>0</v>
      </c>
      <c r="AA152" s="24">
        <v>0</v>
      </c>
      <c r="AB152" s="24">
        <v>0</v>
      </c>
      <c r="AC152" s="24">
        <v>0</v>
      </c>
      <c r="AD152" s="24">
        <v>0</v>
      </c>
      <c r="AE152" s="24">
        <v>0</v>
      </c>
      <c r="AF152" s="24">
        <v>0</v>
      </c>
      <c r="AG152" s="22">
        <v>3</v>
      </c>
      <c r="AH152" s="203">
        <f t="shared" si="16"/>
        <v>0</v>
      </c>
      <c r="AI152" s="204">
        <f t="shared" si="17"/>
        <v>0</v>
      </c>
      <c r="AJ152" s="205">
        <f t="shared" si="18"/>
        <v>0.3</v>
      </c>
      <c r="AK152" s="206">
        <f t="shared" si="19"/>
        <v>0.3</v>
      </c>
      <c r="AL152" s="168"/>
      <c r="AM152" s="168"/>
      <c r="AN152" s="168"/>
      <c r="AO152" s="168"/>
      <c r="AP152" s="168"/>
      <c r="AQ152" s="168"/>
      <c r="AR152" s="168"/>
      <c r="AS152" s="168"/>
      <c r="AT152" s="168"/>
      <c r="AU152" s="168"/>
      <c r="AV152" s="168"/>
      <c r="AW152" s="168"/>
      <c r="AX152" s="168"/>
      <c r="AY152" s="168"/>
    </row>
    <row r="153" spans="1:51">
      <c r="A153" s="16" t="s">
        <v>33</v>
      </c>
      <c r="B153" s="163">
        <v>41190</v>
      </c>
      <c r="C153" s="107" t="s">
        <v>87</v>
      </c>
      <c r="D153" s="23">
        <v>0</v>
      </c>
      <c r="E153" s="24">
        <v>0</v>
      </c>
      <c r="F153" s="24">
        <v>0</v>
      </c>
      <c r="G153" s="24">
        <v>0</v>
      </c>
      <c r="H153" s="24">
        <v>0</v>
      </c>
      <c r="I153" s="24">
        <v>0</v>
      </c>
      <c r="J153" s="24">
        <v>0</v>
      </c>
      <c r="K153" s="24">
        <v>0</v>
      </c>
      <c r="L153" s="24">
        <v>0</v>
      </c>
      <c r="M153" s="22">
        <v>0</v>
      </c>
      <c r="N153" s="23">
        <v>0</v>
      </c>
      <c r="O153" s="24">
        <v>0</v>
      </c>
      <c r="P153" s="24">
        <v>0</v>
      </c>
      <c r="Q153" s="24">
        <v>0</v>
      </c>
      <c r="R153" s="24">
        <v>0</v>
      </c>
      <c r="S153" s="24">
        <v>0</v>
      </c>
      <c r="T153" s="24">
        <v>0</v>
      </c>
      <c r="U153" s="24">
        <v>0</v>
      </c>
      <c r="V153" s="24">
        <v>0</v>
      </c>
      <c r="W153" s="22">
        <v>0</v>
      </c>
      <c r="X153" s="23">
        <v>0</v>
      </c>
      <c r="Y153" s="24">
        <v>0</v>
      </c>
      <c r="Z153" s="24">
        <v>0</v>
      </c>
      <c r="AA153" s="24">
        <v>0</v>
      </c>
      <c r="AB153" s="24">
        <v>0</v>
      </c>
      <c r="AC153" s="24">
        <v>0</v>
      </c>
      <c r="AD153" s="24">
        <v>0</v>
      </c>
      <c r="AE153" s="24">
        <v>0</v>
      </c>
      <c r="AF153" s="24">
        <v>0</v>
      </c>
      <c r="AG153" s="22">
        <v>3</v>
      </c>
      <c r="AH153" s="203">
        <f t="shared" si="16"/>
        <v>0</v>
      </c>
      <c r="AI153" s="204">
        <f t="shared" si="17"/>
        <v>0</v>
      </c>
      <c r="AJ153" s="205">
        <f t="shared" si="18"/>
        <v>0.3</v>
      </c>
      <c r="AK153" s="206">
        <f t="shared" si="19"/>
        <v>0.3</v>
      </c>
      <c r="AL153" s="168"/>
      <c r="AM153" s="168"/>
      <c r="AN153" s="168"/>
      <c r="AO153" s="168"/>
      <c r="AP153" s="168"/>
      <c r="AQ153" s="168"/>
      <c r="AR153" s="168"/>
      <c r="AS153" s="168"/>
      <c r="AT153" s="168"/>
      <c r="AU153" s="168"/>
      <c r="AV153" s="168"/>
      <c r="AW153" s="168"/>
      <c r="AX153" s="168"/>
      <c r="AY153" s="168"/>
    </row>
    <row r="154" spans="1:51">
      <c r="A154" s="16" t="s">
        <v>33</v>
      </c>
      <c r="B154" s="163">
        <v>41197</v>
      </c>
      <c r="C154" s="107" t="s">
        <v>87</v>
      </c>
      <c r="D154" s="23">
        <v>0</v>
      </c>
      <c r="E154" s="24">
        <v>0</v>
      </c>
      <c r="F154" s="24">
        <v>0</v>
      </c>
      <c r="G154" s="24">
        <v>0</v>
      </c>
      <c r="H154" s="24">
        <v>0</v>
      </c>
      <c r="I154" s="24">
        <v>0</v>
      </c>
      <c r="J154" s="24">
        <v>0</v>
      </c>
      <c r="K154" s="24">
        <v>0</v>
      </c>
      <c r="L154" s="24">
        <v>0</v>
      </c>
      <c r="M154" s="22">
        <v>0</v>
      </c>
      <c r="N154" s="23">
        <v>0</v>
      </c>
      <c r="O154" s="24">
        <v>0</v>
      </c>
      <c r="P154" s="24">
        <v>0</v>
      </c>
      <c r="Q154" s="24">
        <v>0</v>
      </c>
      <c r="R154" s="24">
        <v>0</v>
      </c>
      <c r="S154" s="24">
        <v>0</v>
      </c>
      <c r="T154" s="24">
        <v>0</v>
      </c>
      <c r="U154" s="24">
        <v>0</v>
      </c>
      <c r="V154" s="24">
        <v>0</v>
      </c>
      <c r="W154" s="22">
        <v>0</v>
      </c>
      <c r="X154" s="23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24">
        <v>0</v>
      </c>
      <c r="AG154" s="22">
        <v>3</v>
      </c>
      <c r="AH154" s="203">
        <f t="shared" si="16"/>
        <v>0</v>
      </c>
      <c r="AI154" s="204">
        <f t="shared" si="17"/>
        <v>0</v>
      </c>
      <c r="AJ154" s="205">
        <f t="shared" si="18"/>
        <v>0.3</v>
      </c>
      <c r="AK154" s="206">
        <f t="shared" si="19"/>
        <v>0.3</v>
      </c>
      <c r="AL154" s="168"/>
      <c r="AM154" s="168"/>
      <c r="AN154" s="168"/>
      <c r="AO154" s="168"/>
      <c r="AP154" s="168"/>
      <c r="AQ154" s="168"/>
      <c r="AR154" s="168"/>
      <c r="AS154" s="168"/>
      <c r="AT154" s="168"/>
      <c r="AU154" s="168"/>
      <c r="AV154" s="168"/>
      <c r="AW154" s="168"/>
      <c r="AX154" s="168"/>
      <c r="AY154" s="168"/>
    </row>
    <row r="155" spans="1:51">
      <c r="A155" s="16" t="s">
        <v>33</v>
      </c>
      <c r="B155" s="163"/>
      <c r="C155" s="107"/>
      <c r="D155" s="23"/>
      <c r="E155" s="24"/>
      <c r="F155" s="24"/>
      <c r="G155" s="24"/>
      <c r="H155" s="24"/>
      <c r="I155" s="24"/>
      <c r="J155" s="24"/>
      <c r="K155" s="24"/>
      <c r="L155" s="24"/>
      <c r="M155" s="22"/>
      <c r="N155" s="23"/>
      <c r="O155" s="24"/>
      <c r="P155" s="24"/>
      <c r="Q155" s="24"/>
      <c r="R155" s="24"/>
      <c r="S155" s="24"/>
      <c r="T155" s="24"/>
      <c r="U155" s="24"/>
      <c r="V155" s="24"/>
      <c r="W155" s="22"/>
      <c r="X155" s="23"/>
      <c r="Y155" s="24"/>
      <c r="Z155" s="24"/>
      <c r="AA155" s="24"/>
      <c r="AB155" s="24"/>
      <c r="AC155" s="24"/>
      <c r="AD155" s="24"/>
      <c r="AE155" s="24"/>
      <c r="AF155" s="24"/>
      <c r="AG155" s="22"/>
      <c r="AH155" s="203" t="str">
        <f t="shared" si="16"/>
        <v/>
      </c>
      <c r="AI155" s="204" t="str">
        <f t="shared" si="17"/>
        <v/>
      </c>
      <c r="AJ155" s="205" t="str">
        <f t="shared" si="18"/>
        <v/>
      </c>
      <c r="AK155" s="206">
        <f t="shared" si="19"/>
        <v>0</v>
      </c>
      <c r="AL155" s="168"/>
      <c r="AM155" s="168"/>
      <c r="AN155" s="168"/>
      <c r="AO155" s="168"/>
      <c r="AP155" s="168"/>
      <c r="AQ155" s="168"/>
      <c r="AR155" s="168"/>
      <c r="AS155" s="168"/>
      <c r="AT155" s="168"/>
      <c r="AU155" s="168"/>
      <c r="AV155" s="168"/>
      <c r="AW155" s="168"/>
      <c r="AX155" s="168"/>
      <c r="AY155" s="168"/>
    </row>
    <row r="156" spans="1:51">
      <c r="A156" s="16" t="s">
        <v>33</v>
      </c>
      <c r="B156" s="163"/>
      <c r="C156" s="107"/>
      <c r="D156" s="23"/>
      <c r="E156" s="24"/>
      <c r="F156" s="24"/>
      <c r="G156" s="24"/>
      <c r="H156" s="24"/>
      <c r="I156" s="24"/>
      <c r="J156" s="24"/>
      <c r="K156" s="24"/>
      <c r="L156" s="24"/>
      <c r="M156" s="22"/>
      <c r="N156" s="23"/>
      <c r="O156" s="24"/>
      <c r="P156" s="24"/>
      <c r="Q156" s="24"/>
      <c r="R156" s="24"/>
      <c r="S156" s="24"/>
      <c r="T156" s="24"/>
      <c r="U156" s="24"/>
      <c r="V156" s="24"/>
      <c r="W156" s="22"/>
      <c r="X156" s="23"/>
      <c r="Y156" s="24"/>
      <c r="Z156" s="24"/>
      <c r="AA156" s="24"/>
      <c r="AB156" s="24"/>
      <c r="AC156" s="24"/>
      <c r="AD156" s="24"/>
      <c r="AE156" s="24"/>
      <c r="AF156" s="24"/>
      <c r="AG156" s="22"/>
      <c r="AH156" s="203" t="str">
        <f t="shared" si="16"/>
        <v/>
      </c>
      <c r="AI156" s="204" t="str">
        <f t="shared" si="17"/>
        <v/>
      </c>
      <c r="AJ156" s="205" t="str">
        <f t="shared" si="18"/>
        <v/>
      </c>
      <c r="AK156" s="206">
        <f t="shared" si="19"/>
        <v>0</v>
      </c>
      <c r="AL156" s="168"/>
      <c r="AM156" s="168"/>
      <c r="AN156" s="168"/>
      <c r="AO156" s="168"/>
      <c r="AP156" s="168"/>
      <c r="AQ156" s="168"/>
      <c r="AR156" s="168"/>
      <c r="AS156" s="168"/>
      <c r="AT156" s="168"/>
      <c r="AU156" s="168"/>
      <c r="AV156" s="168"/>
      <c r="AW156" s="168"/>
      <c r="AX156" s="168"/>
      <c r="AY156" s="168"/>
    </row>
    <row r="157" spans="1:51">
      <c r="A157" s="16" t="s">
        <v>33</v>
      </c>
      <c r="B157" s="163"/>
      <c r="C157" s="107"/>
      <c r="D157" s="23"/>
      <c r="E157" s="24"/>
      <c r="F157" s="24"/>
      <c r="G157" s="24"/>
      <c r="H157" s="24"/>
      <c r="I157" s="24"/>
      <c r="J157" s="24"/>
      <c r="K157" s="24"/>
      <c r="L157" s="24"/>
      <c r="M157" s="22"/>
      <c r="N157" s="23"/>
      <c r="O157" s="24"/>
      <c r="P157" s="24"/>
      <c r="Q157" s="24"/>
      <c r="R157" s="24"/>
      <c r="S157" s="24"/>
      <c r="T157" s="24"/>
      <c r="U157" s="24"/>
      <c r="V157" s="24"/>
      <c r="W157" s="22"/>
      <c r="X157" s="23"/>
      <c r="Y157" s="24"/>
      <c r="Z157" s="24"/>
      <c r="AA157" s="24"/>
      <c r="AB157" s="24"/>
      <c r="AC157" s="24"/>
      <c r="AD157" s="24"/>
      <c r="AE157" s="24"/>
      <c r="AF157" s="24"/>
      <c r="AG157" s="22"/>
      <c r="AH157" s="203" t="str">
        <f t="shared" si="16"/>
        <v/>
      </c>
      <c r="AI157" s="204" t="str">
        <f t="shared" si="17"/>
        <v/>
      </c>
      <c r="AJ157" s="205" t="str">
        <f t="shared" si="18"/>
        <v/>
      </c>
      <c r="AK157" s="206">
        <f t="shared" si="19"/>
        <v>0</v>
      </c>
      <c r="AL157" s="168"/>
      <c r="AM157" s="168"/>
      <c r="AN157" s="168"/>
      <c r="AO157" s="168"/>
      <c r="AP157" s="168"/>
      <c r="AQ157" s="168"/>
      <c r="AR157" s="168"/>
      <c r="AS157" s="168"/>
      <c r="AT157" s="168"/>
      <c r="AU157" s="168"/>
      <c r="AV157" s="168"/>
      <c r="AW157" s="168"/>
      <c r="AX157" s="168"/>
      <c r="AY157" s="168"/>
    </row>
    <row r="158" spans="1:51">
      <c r="A158" s="16" t="s">
        <v>33</v>
      </c>
      <c r="B158" s="163"/>
      <c r="C158" s="107"/>
      <c r="D158" s="23"/>
      <c r="E158" s="24"/>
      <c r="F158" s="24"/>
      <c r="G158" s="24"/>
      <c r="H158" s="24"/>
      <c r="I158" s="24"/>
      <c r="J158" s="24"/>
      <c r="K158" s="24"/>
      <c r="L158" s="24"/>
      <c r="M158" s="22"/>
      <c r="N158" s="23"/>
      <c r="O158" s="24"/>
      <c r="P158" s="24"/>
      <c r="Q158" s="24"/>
      <c r="R158" s="24"/>
      <c r="S158" s="24"/>
      <c r="T158" s="24"/>
      <c r="U158" s="24"/>
      <c r="V158" s="24"/>
      <c r="W158" s="22"/>
      <c r="X158" s="23"/>
      <c r="Y158" s="24"/>
      <c r="Z158" s="24"/>
      <c r="AA158" s="24"/>
      <c r="AB158" s="24"/>
      <c r="AC158" s="24"/>
      <c r="AD158" s="24"/>
      <c r="AE158" s="24"/>
      <c r="AF158" s="24"/>
      <c r="AG158" s="22"/>
      <c r="AH158" s="203" t="str">
        <f t="shared" si="16"/>
        <v/>
      </c>
      <c r="AI158" s="204" t="str">
        <f t="shared" si="17"/>
        <v/>
      </c>
      <c r="AJ158" s="205" t="str">
        <f t="shared" si="18"/>
        <v/>
      </c>
      <c r="AK158" s="206">
        <f t="shared" si="19"/>
        <v>0</v>
      </c>
      <c r="AL158" s="168"/>
      <c r="AM158" s="168"/>
      <c r="AN158" s="168"/>
      <c r="AO158" s="168"/>
      <c r="AP158" s="168"/>
      <c r="AQ158" s="168"/>
      <c r="AR158" s="168"/>
      <c r="AS158" s="168"/>
      <c r="AT158" s="168"/>
      <c r="AU158" s="168"/>
      <c r="AV158" s="168"/>
      <c r="AW158" s="168"/>
      <c r="AX158" s="168"/>
      <c r="AY158" s="168"/>
    </row>
    <row r="159" spans="1:51">
      <c r="A159" s="16" t="s">
        <v>33</v>
      </c>
      <c r="B159" s="163"/>
      <c r="C159" s="107"/>
      <c r="D159" s="23"/>
      <c r="E159" s="24"/>
      <c r="F159" s="24"/>
      <c r="G159" s="24"/>
      <c r="H159" s="24"/>
      <c r="I159" s="24"/>
      <c r="J159" s="24"/>
      <c r="K159" s="24"/>
      <c r="L159" s="24"/>
      <c r="M159" s="22"/>
      <c r="N159" s="23"/>
      <c r="O159" s="24"/>
      <c r="P159" s="24"/>
      <c r="Q159" s="24"/>
      <c r="R159" s="24"/>
      <c r="S159" s="24"/>
      <c r="T159" s="24"/>
      <c r="U159" s="24"/>
      <c r="V159" s="24"/>
      <c r="W159" s="22"/>
      <c r="X159" s="23"/>
      <c r="Y159" s="24"/>
      <c r="Z159" s="24"/>
      <c r="AA159" s="24"/>
      <c r="AB159" s="24"/>
      <c r="AC159" s="24"/>
      <c r="AD159" s="24"/>
      <c r="AE159" s="24"/>
      <c r="AF159" s="24"/>
      <c r="AG159" s="22"/>
      <c r="AH159" s="203" t="str">
        <f t="shared" si="16"/>
        <v/>
      </c>
      <c r="AI159" s="204" t="str">
        <f t="shared" si="17"/>
        <v/>
      </c>
      <c r="AJ159" s="205" t="str">
        <f t="shared" si="18"/>
        <v/>
      </c>
      <c r="AK159" s="206">
        <f t="shared" si="19"/>
        <v>0</v>
      </c>
      <c r="AL159" s="168"/>
      <c r="AM159" s="168"/>
      <c r="AN159" s="168"/>
      <c r="AO159" s="168"/>
      <c r="AP159" s="168"/>
      <c r="AQ159" s="168"/>
      <c r="AR159" s="168"/>
      <c r="AS159" s="168"/>
      <c r="AT159" s="168"/>
      <c r="AU159" s="168"/>
      <c r="AV159" s="168"/>
      <c r="AW159" s="168"/>
      <c r="AX159" s="168"/>
      <c r="AY159" s="168"/>
    </row>
    <row r="160" spans="1:51">
      <c r="A160" s="16" t="s">
        <v>33</v>
      </c>
      <c r="B160" s="163"/>
      <c r="C160" s="107"/>
      <c r="D160" s="23"/>
      <c r="E160" s="24"/>
      <c r="F160" s="24"/>
      <c r="G160" s="24"/>
      <c r="H160" s="24"/>
      <c r="I160" s="24"/>
      <c r="J160" s="24"/>
      <c r="K160" s="24"/>
      <c r="L160" s="24"/>
      <c r="M160" s="22"/>
      <c r="N160" s="23"/>
      <c r="O160" s="24"/>
      <c r="P160" s="24"/>
      <c r="Q160" s="24"/>
      <c r="R160" s="24"/>
      <c r="S160" s="24"/>
      <c r="T160" s="24"/>
      <c r="U160" s="24"/>
      <c r="V160" s="24"/>
      <c r="W160" s="22"/>
      <c r="X160" s="23"/>
      <c r="Y160" s="24"/>
      <c r="Z160" s="24"/>
      <c r="AA160" s="24"/>
      <c r="AB160" s="24"/>
      <c r="AC160" s="24"/>
      <c r="AD160" s="24"/>
      <c r="AE160" s="24"/>
      <c r="AF160" s="24"/>
      <c r="AG160" s="22"/>
      <c r="AH160" s="203" t="str">
        <f t="shared" si="16"/>
        <v/>
      </c>
      <c r="AI160" s="204" t="str">
        <f t="shared" si="17"/>
        <v/>
      </c>
      <c r="AJ160" s="205" t="str">
        <f t="shared" si="18"/>
        <v/>
      </c>
      <c r="AK160" s="206">
        <f t="shared" si="19"/>
        <v>0</v>
      </c>
      <c r="AL160" s="168"/>
      <c r="AM160" s="168"/>
      <c r="AN160" s="168"/>
      <c r="AO160" s="168"/>
      <c r="AP160" s="168"/>
      <c r="AQ160" s="168"/>
      <c r="AR160" s="168"/>
      <c r="AS160" s="168"/>
      <c r="AT160" s="168"/>
      <c r="AU160" s="168"/>
      <c r="AV160" s="168"/>
      <c r="AW160" s="168"/>
      <c r="AX160" s="168"/>
      <c r="AY160" s="168"/>
    </row>
    <row r="161" spans="1:51">
      <c r="A161" s="16" t="s">
        <v>33</v>
      </c>
      <c r="B161" s="163"/>
      <c r="C161" s="107"/>
      <c r="D161" s="23"/>
      <c r="E161" s="24"/>
      <c r="F161" s="24"/>
      <c r="G161" s="24"/>
      <c r="H161" s="24"/>
      <c r="I161" s="24"/>
      <c r="J161" s="24"/>
      <c r="K161" s="24"/>
      <c r="L161" s="24"/>
      <c r="M161" s="22"/>
      <c r="N161" s="23"/>
      <c r="O161" s="24"/>
      <c r="P161" s="24"/>
      <c r="Q161" s="24"/>
      <c r="R161" s="24"/>
      <c r="S161" s="24"/>
      <c r="T161" s="24"/>
      <c r="U161" s="24"/>
      <c r="V161" s="24"/>
      <c r="W161" s="22"/>
      <c r="X161" s="23"/>
      <c r="Y161" s="24"/>
      <c r="Z161" s="24"/>
      <c r="AA161" s="24"/>
      <c r="AB161" s="24"/>
      <c r="AC161" s="24"/>
      <c r="AD161" s="24"/>
      <c r="AE161" s="24"/>
      <c r="AF161" s="24"/>
      <c r="AG161" s="22"/>
      <c r="AH161" s="203" t="str">
        <f t="shared" si="16"/>
        <v/>
      </c>
      <c r="AI161" s="204" t="str">
        <f t="shared" si="17"/>
        <v/>
      </c>
      <c r="AJ161" s="205" t="str">
        <f t="shared" si="18"/>
        <v/>
      </c>
      <c r="AK161" s="206">
        <f t="shared" si="19"/>
        <v>0</v>
      </c>
      <c r="AL161" s="168"/>
      <c r="AM161" s="168"/>
      <c r="AN161" s="168"/>
      <c r="AO161" s="168"/>
      <c r="AP161" s="168"/>
      <c r="AQ161" s="168"/>
      <c r="AR161" s="168"/>
      <c r="AS161" s="168"/>
      <c r="AT161" s="168"/>
      <c r="AU161" s="168"/>
      <c r="AV161" s="168"/>
      <c r="AW161" s="168"/>
      <c r="AX161" s="168"/>
      <c r="AY161" s="168"/>
    </row>
    <row r="162" spans="1:51">
      <c r="A162" s="16" t="s">
        <v>33</v>
      </c>
      <c r="B162" s="163"/>
      <c r="C162" s="107"/>
      <c r="D162" s="23"/>
      <c r="E162" s="24"/>
      <c r="F162" s="24"/>
      <c r="G162" s="24"/>
      <c r="H162" s="24"/>
      <c r="I162" s="24"/>
      <c r="J162" s="24"/>
      <c r="K162" s="24"/>
      <c r="L162" s="24"/>
      <c r="M162" s="22"/>
      <c r="N162" s="23"/>
      <c r="O162" s="24"/>
      <c r="P162" s="24"/>
      <c r="Q162" s="24"/>
      <c r="R162" s="24"/>
      <c r="S162" s="24"/>
      <c r="T162" s="24"/>
      <c r="U162" s="24"/>
      <c r="V162" s="24"/>
      <c r="W162" s="22"/>
      <c r="X162" s="23"/>
      <c r="Y162" s="24"/>
      <c r="Z162" s="24"/>
      <c r="AA162" s="24"/>
      <c r="AB162" s="24"/>
      <c r="AC162" s="24"/>
      <c r="AD162" s="24"/>
      <c r="AE162" s="24"/>
      <c r="AF162" s="24"/>
      <c r="AG162" s="22"/>
      <c r="AH162" s="203" t="str">
        <f t="shared" si="16"/>
        <v/>
      </c>
      <c r="AI162" s="204" t="str">
        <f t="shared" si="17"/>
        <v/>
      </c>
      <c r="AJ162" s="205" t="str">
        <f t="shared" si="18"/>
        <v/>
      </c>
      <c r="AK162" s="206">
        <f t="shared" si="19"/>
        <v>0</v>
      </c>
      <c r="AL162" s="168"/>
      <c r="AM162" s="168"/>
      <c r="AN162" s="168"/>
      <c r="AO162" s="168"/>
      <c r="AP162" s="168"/>
      <c r="AQ162" s="168"/>
      <c r="AR162" s="168"/>
      <c r="AS162" s="168"/>
      <c r="AT162" s="168"/>
      <c r="AU162" s="168"/>
      <c r="AV162" s="168"/>
      <c r="AW162" s="168"/>
      <c r="AX162" s="168"/>
      <c r="AY162" s="168"/>
    </row>
    <row r="163" spans="1:51">
      <c r="A163" s="16" t="s">
        <v>33</v>
      </c>
      <c r="B163" s="163"/>
      <c r="C163" s="107"/>
      <c r="D163" s="23"/>
      <c r="E163" s="24"/>
      <c r="F163" s="24"/>
      <c r="G163" s="24"/>
      <c r="H163" s="24"/>
      <c r="I163" s="24"/>
      <c r="J163" s="24"/>
      <c r="K163" s="24"/>
      <c r="L163" s="24"/>
      <c r="M163" s="22"/>
      <c r="N163" s="23"/>
      <c r="O163" s="24"/>
      <c r="P163" s="24"/>
      <c r="Q163" s="24"/>
      <c r="R163" s="24"/>
      <c r="S163" s="24"/>
      <c r="T163" s="24"/>
      <c r="U163" s="24"/>
      <c r="V163" s="24"/>
      <c r="W163" s="22"/>
      <c r="X163" s="23"/>
      <c r="Y163" s="24"/>
      <c r="Z163" s="24"/>
      <c r="AA163" s="24"/>
      <c r="AB163" s="24"/>
      <c r="AC163" s="24"/>
      <c r="AD163" s="24"/>
      <c r="AE163" s="24"/>
      <c r="AF163" s="24"/>
      <c r="AG163" s="22"/>
      <c r="AH163" s="203" t="str">
        <f t="shared" si="16"/>
        <v/>
      </c>
      <c r="AI163" s="204" t="str">
        <f t="shared" si="17"/>
        <v/>
      </c>
      <c r="AJ163" s="205" t="str">
        <f t="shared" si="18"/>
        <v/>
      </c>
      <c r="AK163" s="206">
        <f t="shared" si="19"/>
        <v>0</v>
      </c>
      <c r="AL163" s="168"/>
      <c r="AM163" s="168"/>
      <c r="AN163" s="168"/>
      <c r="AO163" s="168"/>
      <c r="AP163" s="168"/>
      <c r="AQ163" s="168"/>
      <c r="AR163" s="168"/>
      <c r="AS163" s="168"/>
      <c r="AT163" s="168"/>
      <c r="AU163" s="168"/>
      <c r="AV163" s="168"/>
      <c r="AW163" s="168"/>
      <c r="AX163" s="168"/>
      <c r="AY163" s="168"/>
    </row>
    <row r="164" spans="1:51">
      <c r="A164" s="16" t="s">
        <v>33</v>
      </c>
      <c r="B164" s="163"/>
      <c r="C164" s="107"/>
      <c r="D164" s="23"/>
      <c r="E164" s="24"/>
      <c r="F164" s="24"/>
      <c r="G164" s="24"/>
      <c r="H164" s="24"/>
      <c r="I164" s="24"/>
      <c r="J164" s="24"/>
      <c r="K164" s="24"/>
      <c r="L164" s="24"/>
      <c r="M164" s="22"/>
      <c r="N164" s="23"/>
      <c r="O164" s="24"/>
      <c r="P164" s="24"/>
      <c r="Q164" s="24"/>
      <c r="R164" s="24"/>
      <c r="S164" s="24"/>
      <c r="T164" s="24"/>
      <c r="U164" s="24"/>
      <c r="V164" s="24"/>
      <c r="W164" s="22"/>
      <c r="X164" s="23"/>
      <c r="Y164" s="24"/>
      <c r="Z164" s="24"/>
      <c r="AA164" s="24"/>
      <c r="AB164" s="24"/>
      <c r="AC164" s="24"/>
      <c r="AD164" s="24"/>
      <c r="AE164" s="24"/>
      <c r="AF164" s="24"/>
      <c r="AG164" s="22"/>
      <c r="AH164" s="203" t="str">
        <f t="shared" si="16"/>
        <v/>
      </c>
      <c r="AI164" s="204" t="str">
        <f t="shared" si="17"/>
        <v/>
      </c>
      <c r="AJ164" s="205" t="str">
        <f t="shared" si="18"/>
        <v/>
      </c>
      <c r="AK164" s="206">
        <f t="shared" si="19"/>
        <v>0</v>
      </c>
      <c r="AL164" s="168"/>
      <c r="AM164" s="168"/>
      <c r="AN164" s="168"/>
      <c r="AO164" s="168"/>
      <c r="AP164" s="168"/>
      <c r="AQ164" s="168"/>
      <c r="AR164" s="168"/>
      <c r="AS164" s="168"/>
      <c r="AT164" s="168"/>
      <c r="AU164" s="168"/>
      <c r="AV164" s="168"/>
      <c r="AW164" s="168"/>
      <c r="AX164" s="168"/>
      <c r="AY164" s="168"/>
    </row>
    <row r="165" spans="1:51">
      <c r="A165" s="16" t="s">
        <v>33</v>
      </c>
      <c r="B165" s="163"/>
      <c r="C165" s="107"/>
      <c r="D165" s="23"/>
      <c r="E165" s="24"/>
      <c r="F165" s="24"/>
      <c r="G165" s="24"/>
      <c r="H165" s="24"/>
      <c r="I165" s="24"/>
      <c r="J165" s="24"/>
      <c r="K165" s="24"/>
      <c r="L165" s="24"/>
      <c r="M165" s="22"/>
      <c r="N165" s="23"/>
      <c r="O165" s="24"/>
      <c r="P165" s="24"/>
      <c r="Q165" s="24"/>
      <c r="R165" s="24"/>
      <c r="S165" s="24"/>
      <c r="T165" s="24"/>
      <c r="U165" s="24"/>
      <c r="V165" s="24"/>
      <c r="W165" s="22"/>
      <c r="X165" s="23"/>
      <c r="Y165" s="24"/>
      <c r="Z165" s="24"/>
      <c r="AA165" s="24"/>
      <c r="AB165" s="24"/>
      <c r="AC165" s="24"/>
      <c r="AD165" s="24"/>
      <c r="AE165" s="24"/>
      <c r="AF165" s="24"/>
      <c r="AG165" s="22"/>
      <c r="AH165" s="203" t="str">
        <f t="shared" si="16"/>
        <v/>
      </c>
      <c r="AI165" s="204" t="str">
        <f t="shared" si="17"/>
        <v/>
      </c>
      <c r="AJ165" s="205" t="str">
        <f t="shared" si="18"/>
        <v/>
      </c>
      <c r="AK165" s="206">
        <f t="shared" si="19"/>
        <v>0</v>
      </c>
      <c r="AL165" s="168"/>
      <c r="AM165" s="168"/>
      <c r="AN165" s="168"/>
      <c r="AO165" s="168"/>
      <c r="AP165" s="168"/>
      <c r="AQ165" s="168"/>
      <c r="AR165" s="168"/>
      <c r="AS165" s="168"/>
      <c r="AT165" s="168"/>
      <c r="AU165" s="168"/>
      <c r="AV165" s="168"/>
      <c r="AW165" s="168"/>
      <c r="AX165" s="168"/>
      <c r="AY165" s="168"/>
    </row>
    <row r="166" spans="1:51" ht="13" thickBot="1">
      <c r="A166" s="17" t="s">
        <v>33</v>
      </c>
      <c r="B166" s="164"/>
      <c r="C166" s="113"/>
      <c r="D166" s="31"/>
      <c r="E166" s="32"/>
      <c r="F166" s="32"/>
      <c r="G166" s="32"/>
      <c r="H166" s="32"/>
      <c r="I166" s="32"/>
      <c r="J166" s="32"/>
      <c r="K166" s="32"/>
      <c r="L166" s="32"/>
      <c r="M166" s="30"/>
      <c r="N166" s="31"/>
      <c r="O166" s="32"/>
      <c r="P166" s="32"/>
      <c r="Q166" s="32"/>
      <c r="R166" s="32"/>
      <c r="S166" s="32"/>
      <c r="T166" s="32"/>
      <c r="U166" s="32"/>
      <c r="V166" s="32"/>
      <c r="W166" s="30"/>
      <c r="X166" s="31"/>
      <c r="Y166" s="32"/>
      <c r="Z166" s="32"/>
      <c r="AA166" s="32"/>
      <c r="AB166" s="32"/>
      <c r="AC166" s="32"/>
      <c r="AD166" s="32"/>
      <c r="AE166" s="32"/>
      <c r="AF166" s="32"/>
      <c r="AG166" s="30"/>
      <c r="AH166" s="207" t="str">
        <f t="shared" si="16"/>
        <v/>
      </c>
      <c r="AI166" s="208" t="str">
        <f t="shared" si="17"/>
        <v/>
      </c>
      <c r="AJ166" s="185" t="str">
        <f t="shared" si="18"/>
        <v/>
      </c>
      <c r="AK166" s="209">
        <f t="shared" si="19"/>
        <v>0</v>
      </c>
      <c r="AL166" s="168"/>
      <c r="AM166" s="168"/>
      <c r="AN166" s="168"/>
      <c r="AO166" s="168"/>
      <c r="AP166" s="168"/>
      <c r="AQ166" s="168"/>
      <c r="AR166" s="168"/>
      <c r="AS166" s="168"/>
      <c r="AT166" s="168"/>
      <c r="AU166" s="168"/>
      <c r="AV166" s="168"/>
      <c r="AW166" s="168"/>
      <c r="AX166" s="168"/>
      <c r="AY166" s="168"/>
    </row>
    <row r="167" spans="1:51">
      <c r="A167" s="168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8"/>
      <c r="AB167" s="168"/>
      <c r="AC167" s="168"/>
      <c r="AD167" s="168"/>
      <c r="AE167" s="168"/>
      <c r="AF167" s="168"/>
      <c r="AG167" s="168"/>
      <c r="AH167" s="168"/>
      <c r="AI167" s="168"/>
      <c r="AJ167" s="168"/>
      <c r="AK167" s="168"/>
      <c r="AL167" s="168"/>
      <c r="AM167" s="168"/>
      <c r="AN167" s="168"/>
      <c r="AO167" s="168"/>
      <c r="AP167" s="168"/>
      <c r="AQ167" s="168"/>
      <c r="AR167" s="168"/>
      <c r="AS167" s="168"/>
      <c r="AT167" s="168"/>
      <c r="AU167" s="168"/>
      <c r="AV167" s="168"/>
      <c r="AW167" s="168"/>
      <c r="AX167" s="168"/>
      <c r="AY167" s="168"/>
    </row>
    <row r="168" spans="1:51">
      <c r="A168" s="168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  <c r="AB168" s="168"/>
      <c r="AC168" s="168"/>
      <c r="AD168" s="168"/>
      <c r="AE168" s="168"/>
      <c r="AF168" s="168"/>
      <c r="AG168" s="168"/>
      <c r="AH168" s="168"/>
      <c r="AI168" s="168"/>
      <c r="AJ168" s="168"/>
      <c r="AK168" s="168"/>
      <c r="AL168" s="168"/>
      <c r="AM168" s="168"/>
      <c r="AN168" s="168"/>
      <c r="AO168" s="168"/>
      <c r="AP168" s="168"/>
      <c r="AQ168" s="168"/>
      <c r="AR168" s="168"/>
      <c r="AS168" s="168"/>
      <c r="AT168" s="168"/>
      <c r="AU168" s="168"/>
      <c r="AV168" s="168"/>
      <c r="AW168" s="168"/>
      <c r="AX168" s="168"/>
      <c r="AY168" s="168"/>
    </row>
    <row r="169" spans="1:51">
      <c r="A169" s="168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8"/>
      <c r="AB169" s="168"/>
      <c r="AC169" s="168"/>
      <c r="AD169" s="168"/>
      <c r="AE169" s="168"/>
      <c r="AF169" s="168"/>
      <c r="AG169" s="168"/>
      <c r="AH169" s="168"/>
      <c r="AI169" s="168"/>
      <c r="AJ169" s="168"/>
      <c r="AK169" s="168"/>
      <c r="AL169" s="168"/>
      <c r="AM169" s="168"/>
      <c r="AN169" s="168"/>
      <c r="AO169" s="168"/>
      <c r="AP169" s="168"/>
      <c r="AQ169" s="168"/>
      <c r="AR169" s="168"/>
      <c r="AS169" s="168"/>
      <c r="AT169" s="168"/>
      <c r="AU169" s="168"/>
      <c r="AV169" s="168"/>
      <c r="AW169" s="168"/>
      <c r="AX169" s="168"/>
      <c r="AY169" s="168"/>
    </row>
    <row r="170" spans="1:51">
      <c r="A170" s="168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  <c r="AB170" s="168"/>
      <c r="AC170" s="168"/>
      <c r="AD170" s="168"/>
      <c r="AE170" s="168"/>
      <c r="AF170" s="168"/>
      <c r="AG170" s="168"/>
      <c r="AH170" s="168"/>
      <c r="AI170" s="168"/>
      <c r="AJ170" s="168"/>
      <c r="AK170" s="168"/>
      <c r="AL170" s="168"/>
      <c r="AM170" s="168"/>
      <c r="AN170" s="168"/>
      <c r="AO170" s="168"/>
      <c r="AP170" s="168"/>
      <c r="AQ170" s="168"/>
      <c r="AR170" s="168"/>
      <c r="AS170" s="168"/>
      <c r="AT170" s="168"/>
      <c r="AU170" s="168"/>
      <c r="AV170" s="168"/>
      <c r="AW170" s="168"/>
      <c r="AX170" s="168"/>
      <c r="AY170" s="168"/>
    </row>
    <row r="171" spans="1:51">
      <c r="A171" s="168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  <c r="AA171" s="168"/>
      <c r="AB171" s="168"/>
      <c r="AC171" s="168"/>
      <c r="AD171" s="168"/>
      <c r="AE171" s="168"/>
      <c r="AF171" s="168"/>
      <c r="AG171" s="168"/>
      <c r="AH171" s="168"/>
      <c r="AI171" s="168"/>
      <c r="AJ171" s="168"/>
      <c r="AK171" s="168"/>
      <c r="AL171" s="168"/>
      <c r="AM171" s="168"/>
      <c r="AN171" s="168"/>
      <c r="AO171" s="168"/>
      <c r="AP171" s="168"/>
      <c r="AQ171" s="168"/>
      <c r="AR171" s="168"/>
      <c r="AS171" s="168"/>
      <c r="AT171" s="168"/>
      <c r="AU171" s="168"/>
      <c r="AV171" s="168"/>
      <c r="AW171" s="168"/>
      <c r="AX171" s="168"/>
      <c r="AY171" s="168"/>
    </row>
  </sheetData>
  <sheetProtection sheet="1" objects="1" scenarios="1" selectLockedCells="1" autoFilter="0"/>
  <autoFilter ref="A11:A135"/>
  <mergeCells count="9">
    <mergeCell ref="X11:AG11"/>
    <mergeCell ref="AH11:AJ11"/>
    <mergeCell ref="A3:A4"/>
    <mergeCell ref="B3:B4"/>
    <mergeCell ref="C3:C4"/>
    <mergeCell ref="D3:M3"/>
    <mergeCell ref="N3:W3"/>
    <mergeCell ref="D11:M11"/>
    <mergeCell ref="N11:W11"/>
  </mergeCells>
  <phoneticPr fontId="12" type="noConversion"/>
  <dataValidations count="3">
    <dataValidation type="date" operator="greaterThanOrEqual" allowBlank="1" showInputMessage="1" showErrorMessage="1" errorTitle="Felaktigt datum" error="Mata in datum i formen ÅÅÅ-MM-DD. Endast datum mellan 1/5 och 31/12 2006 är tillåtna." sqref="B106:B135 B137:B166 B5:B9 B75:B104 B44:B73 B13:B42">
      <formula1>40634</formula1>
    </dataValidation>
    <dataValidation showInputMessage="1" showErrorMessage="1" sqref="A5:A9"/>
    <dataValidation type="whole" allowBlank="1" showInputMessage="1" showErrorMessage="1" errorTitle="Felaktigt värde" error="Endast tal mellan 0 och 100 kan matas in." sqref="D5:W9">
      <formula1>0</formula1>
      <formula2>100</formula2>
    </dataValidation>
  </dataValidations>
  <printOptions horizontalCentered="1"/>
  <pageMargins left="0.31496062992125984" right="0.27559055118110237" top="0.55118110236220474" bottom="0.22" header="0.51181102362204722" footer="0.17"/>
  <pageSetup paperSize="9" orientation="landscape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C4C20115EBDEF4B94A10845CF543C94" ma:contentTypeVersion="0" ma:contentTypeDescription="Skapa ett nytt dokument." ma:contentTypeScope="" ma:versionID="45f769ae6f3fa37170c79eb1b8eda1b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88ddc45a2a1ba233d786d3fa5db79e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E5D727D3-CC5D-4899-8452-0F4CEA924E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F604397-3337-48B6-844E-C4B065D472CD}">
  <ds:schemaRefs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5BE2BCA-6219-40FD-B4B4-7140E5DD398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673FCF6-6315-4C28-8CB7-09F6802841B7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7</vt:i4>
      </vt:variant>
    </vt:vector>
  </HeadingPairs>
  <TitlesOfParts>
    <vt:vector size="7" baseType="lpstr">
      <vt:lpstr>Betula_pubescens</vt:lpstr>
      <vt:lpstr>Betula_pendula</vt:lpstr>
      <vt:lpstr>Pinus_sylvestris</vt:lpstr>
      <vt:lpstr>Picea_abies_Krutzsch</vt:lpstr>
      <vt:lpstr>Pca_abies_estimates</vt:lpstr>
      <vt:lpstr>Vaccinium_myrtillus_abundance</vt:lpstr>
      <vt:lpstr>Vaccinium_vitis-idea_abundance</vt:lpstr>
    </vt:vector>
  </TitlesOfParts>
  <Company>SLU Umeå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</dc:creator>
  <cp:lastModifiedBy>Kjell Bolmgren</cp:lastModifiedBy>
  <cp:lastPrinted>2007-04-25T06:46:26Z</cp:lastPrinted>
  <dcterms:created xsi:type="dcterms:W3CDTF">2001-05-15T10:57:42Z</dcterms:created>
  <dcterms:modified xsi:type="dcterms:W3CDTF">2016-01-08T13:10:48Z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Dokument</vt:lpwstr>
  </property>
  <property fmtid="{D5CDD505-2E9C-101B-9397-08002B2CF9AE}" pid="3" name="ContentTypeId">
    <vt:lpwstr>0x010100BC4C20115EBDEF4B94A10845CF543C94</vt:lpwstr>
  </property>
</Properties>
</file>